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seño 4\Desktop\"/>
    </mc:Choice>
  </mc:AlternateContent>
  <xr:revisionPtr revIDLastSave="0" documentId="8_{8CCC90EC-8F04-45DC-9482-4ECEEC98170D}" xr6:coauthVersionLast="47" xr6:coauthVersionMax="47" xr10:uidLastSave="{00000000-0000-0000-0000-000000000000}"/>
  <bookViews>
    <workbookView xWindow="-120" yWindow="-120" windowWidth="29040" windowHeight="15840" xr2:uid="{D855DD2B-68FF-4A9D-A990-54E1F6D0342B}"/>
  </bookViews>
  <sheets>
    <sheet name="INDIC-DIS2" sheetId="1" r:id="rId1"/>
  </sheets>
  <externalReferences>
    <externalReference r:id="rId2"/>
  </externalReferences>
  <definedNames>
    <definedName name="_xlnm._FilterDatabase" localSheetId="0" hidden="1">'INDIC-DIS2'!$C$13:$P$548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548" i="1" l="1" a="1"/>
  <c r="C548" i="1" s="1"/>
  <c r="C547" i="1" a="1"/>
  <c r="C547" i="1" s="1"/>
  <c r="C546" i="1" a="1"/>
  <c r="C546" i="1" s="1"/>
  <c r="C545" i="1" a="1"/>
  <c r="C545" i="1" s="1"/>
  <c r="G544" i="1"/>
  <c r="C544" i="1" a="1"/>
  <c r="C544" i="1" s="1"/>
  <c r="M543" i="1"/>
  <c r="R543" i="1" s="1"/>
  <c r="D543" i="1"/>
  <c r="C543" i="1" a="1"/>
  <c r="C543" i="1" s="1"/>
  <c r="I542" i="1"/>
  <c r="C542" i="1" a="1"/>
  <c r="C542" i="1" s="1"/>
  <c r="M541" i="1"/>
  <c r="R541" i="1" s="1"/>
  <c r="I541" i="1"/>
  <c r="H541" i="1"/>
  <c r="G541" i="1"/>
  <c r="F541" i="1"/>
  <c r="E541" i="1"/>
  <c r="D541" i="1"/>
  <c r="C541" i="1"/>
  <c r="J541" i="1" s="1"/>
  <c r="B541" i="1" s="1"/>
  <c r="K541" i="1" s="1"/>
  <c r="C541" i="1" a="1"/>
  <c r="C540" i="1"/>
  <c r="C540" i="1" a="1"/>
  <c r="I539" i="1"/>
  <c r="H539" i="1"/>
  <c r="C539" i="1"/>
  <c r="J539" i="1" s="1"/>
  <c r="B539" i="1" s="1"/>
  <c r="K539" i="1" s="1"/>
  <c r="C539" i="1" a="1"/>
  <c r="R538" i="1"/>
  <c r="M538" i="1"/>
  <c r="H538" i="1"/>
  <c r="G538" i="1"/>
  <c r="F538" i="1"/>
  <c r="E538" i="1"/>
  <c r="D538" i="1"/>
  <c r="C538" i="1"/>
  <c r="J538" i="1" s="1"/>
  <c r="B538" i="1" s="1"/>
  <c r="K538" i="1" s="1"/>
  <c r="C538" i="1" a="1"/>
  <c r="C537" i="1" a="1"/>
  <c r="C537" i="1" s="1"/>
  <c r="G536" i="1"/>
  <c r="C536" i="1" a="1"/>
  <c r="C536" i="1" s="1"/>
  <c r="M535" i="1"/>
  <c r="R535" i="1" s="1"/>
  <c r="G535" i="1"/>
  <c r="E535" i="1"/>
  <c r="D535" i="1"/>
  <c r="C535" i="1"/>
  <c r="F535" i="1" s="1"/>
  <c r="C535" i="1" a="1"/>
  <c r="I534" i="1"/>
  <c r="C534" i="1" a="1"/>
  <c r="C534" i="1" s="1"/>
  <c r="R533" i="1"/>
  <c r="M533" i="1"/>
  <c r="I533" i="1"/>
  <c r="H533" i="1"/>
  <c r="G533" i="1"/>
  <c r="F533" i="1"/>
  <c r="E533" i="1"/>
  <c r="D533" i="1"/>
  <c r="C533" i="1"/>
  <c r="J533" i="1" s="1"/>
  <c r="B533" i="1" s="1"/>
  <c r="K533" i="1" s="1"/>
  <c r="C533" i="1" a="1"/>
  <c r="C532" i="1"/>
  <c r="C532" i="1" a="1"/>
  <c r="I531" i="1"/>
  <c r="H531" i="1"/>
  <c r="C531" i="1"/>
  <c r="J531" i="1" s="1"/>
  <c r="B531" i="1" s="1"/>
  <c r="K531" i="1" s="1"/>
  <c r="C531" i="1" a="1"/>
  <c r="R530" i="1"/>
  <c r="M530" i="1"/>
  <c r="H530" i="1"/>
  <c r="G530" i="1"/>
  <c r="F530" i="1"/>
  <c r="E530" i="1"/>
  <c r="D530" i="1"/>
  <c r="C530" i="1"/>
  <c r="J530" i="1" s="1"/>
  <c r="B530" i="1" s="1"/>
  <c r="K530" i="1" s="1"/>
  <c r="C530" i="1" a="1"/>
  <c r="C529" i="1" a="1"/>
  <c r="C529" i="1" s="1"/>
  <c r="C528" i="1" a="1"/>
  <c r="C528" i="1" s="1"/>
  <c r="M527" i="1"/>
  <c r="R527" i="1" s="1"/>
  <c r="G527" i="1"/>
  <c r="E527" i="1"/>
  <c r="D527" i="1"/>
  <c r="C527" i="1"/>
  <c r="F527" i="1" s="1"/>
  <c r="C527" i="1" a="1"/>
  <c r="M526" i="1"/>
  <c r="R526" i="1" s="1"/>
  <c r="J526" i="1"/>
  <c r="B526" i="1" s="1"/>
  <c r="K526" i="1" s="1"/>
  <c r="C526" i="1" a="1"/>
  <c r="C526" i="1" s="1"/>
  <c r="R525" i="1"/>
  <c r="M525" i="1"/>
  <c r="I525" i="1"/>
  <c r="H525" i="1"/>
  <c r="G525" i="1"/>
  <c r="F525" i="1"/>
  <c r="E525" i="1"/>
  <c r="D525" i="1"/>
  <c r="C525" i="1"/>
  <c r="J525" i="1" s="1"/>
  <c r="C525" i="1" a="1"/>
  <c r="B525" i="1"/>
  <c r="K525" i="1" s="1"/>
  <c r="M524" i="1"/>
  <c r="R524" i="1" s="1"/>
  <c r="F524" i="1"/>
  <c r="D524" i="1"/>
  <c r="C524" i="1"/>
  <c r="C524" i="1" a="1"/>
  <c r="I523" i="1"/>
  <c r="H523" i="1"/>
  <c r="C523" i="1"/>
  <c r="C523" i="1" a="1"/>
  <c r="R522" i="1"/>
  <c r="M522" i="1"/>
  <c r="H522" i="1"/>
  <c r="G522" i="1"/>
  <c r="F522" i="1"/>
  <c r="E522" i="1"/>
  <c r="D522" i="1"/>
  <c r="C522" i="1"/>
  <c r="J522" i="1" s="1"/>
  <c r="B522" i="1" s="1"/>
  <c r="K522" i="1" s="1"/>
  <c r="C522" i="1" a="1"/>
  <c r="C521" i="1" a="1"/>
  <c r="C521" i="1" s="1"/>
  <c r="J520" i="1"/>
  <c r="B520" i="1" s="1"/>
  <c r="K520" i="1" s="1"/>
  <c r="I520" i="1"/>
  <c r="C520" i="1" a="1"/>
  <c r="C520" i="1" s="1"/>
  <c r="M519" i="1"/>
  <c r="R519" i="1" s="1"/>
  <c r="D519" i="1"/>
  <c r="C519" i="1"/>
  <c r="C519" i="1" a="1"/>
  <c r="C518" i="1" a="1"/>
  <c r="C518" i="1" s="1"/>
  <c r="R517" i="1"/>
  <c r="M517" i="1"/>
  <c r="I517" i="1"/>
  <c r="H517" i="1"/>
  <c r="G517" i="1"/>
  <c r="F517" i="1"/>
  <c r="E517" i="1"/>
  <c r="D517" i="1"/>
  <c r="C517" i="1"/>
  <c r="J517" i="1" s="1"/>
  <c r="B517" i="1" s="1"/>
  <c r="K517" i="1" s="1"/>
  <c r="C517" i="1" a="1"/>
  <c r="C516" i="1" a="1"/>
  <c r="C516" i="1" s="1"/>
  <c r="C515" i="1" a="1"/>
  <c r="C515" i="1" s="1"/>
  <c r="R514" i="1"/>
  <c r="M514" i="1"/>
  <c r="H514" i="1"/>
  <c r="G514" i="1"/>
  <c r="F514" i="1"/>
  <c r="E514" i="1"/>
  <c r="D514" i="1"/>
  <c r="C514" i="1"/>
  <c r="J514" i="1" s="1"/>
  <c r="B514" i="1" s="1"/>
  <c r="K514" i="1" s="1"/>
  <c r="C514" i="1" a="1"/>
  <c r="J513" i="1"/>
  <c r="B513" i="1" s="1"/>
  <c r="K513" i="1" s="1"/>
  <c r="C513" i="1" a="1"/>
  <c r="C513" i="1" s="1"/>
  <c r="J512" i="1"/>
  <c r="B512" i="1" s="1"/>
  <c r="K512" i="1" s="1"/>
  <c r="I512" i="1"/>
  <c r="C512" i="1" a="1"/>
  <c r="C512" i="1" s="1"/>
  <c r="M511" i="1"/>
  <c r="R511" i="1" s="1"/>
  <c r="D511" i="1"/>
  <c r="C511" i="1"/>
  <c r="C511" i="1" a="1"/>
  <c r="C510" i="1" a="1"/>
  <c r="C510" i="1" s="1"/>
  <c r="M509" i="1"/>
  <c r="R509" i="1" s="1"/>
  <c r="I509" i="1"/>
  <c r="H509" i="1"/>
  <c r="G509" i="1"/>
  <c r="F509" i="1"/>
  <c r="E509" i="1"/>
  <c r="D509" i="1"/>
  <c r="C509" i="1"/>
  <c r="J509" i="1" s="1"/>
  <c r="C509" i="1" a="1"/>
  <c r="B509" i="1"/>
  <c r="K509" i="1" s="1"/>
  <c r="E508" i="1"/>
  <c r="C508" i="1" a="1"/>
  <c r="C508" i="1" s="1"/>
  <c r="J507" i="1"/>
  <c r="B507" i="1" s="1"/>
  <c r="K507" i="1" s="1"/>
  <c r="H507" i="1"/>
  <c r="C507" i="1" a="1"/>
  <c r="C507" i="1" s="1"/>
  <c r="C506" i="1"/>
  <c r="C506" i="1" a="1"/>
  <c r="C505" i="1"/>
  <c r="C505" i="1" a="1"/>
  <c r="I504" i="1"/>
  <c r="H504" i="1"/>
  <c r="F504" i="1"/>
  <c r="C504" i="1" a="1"/>
  <c r="C504" i="1" s="1"/>
  <c r="J504" i="1" s="1"/>
  <c r="B504" i="1" s="1"/>
  <c r="K504" i="1" s="1"/>
  <c r="C503" i="1" a="1"/>
  <c r="C503" i="1" s="1"/>
  <c r="C502" i="1" a="1"/>
  <c r="C502" i="1" s="1"/>
  <c r="R501" i="1"/>
  <c r="M501" i="1"/>
  <c r="I501" i="1"/>
  <c r="H501" i="1"/>
  <c r="G501" i="1"/>
  <c r="F501" i="1"/>
  <c r="E501" i="1"/>
  <c r="D501" i="1"/>
  <c r="C501" i="1"/>
  <c r="J501" i="1" s="1"/>
  <c r="B501" i="1" s="1"/>
  <c r="K501" i="1" s="1"/>
  <c r="C501" i="1" a="1"/>
  <c r="C500" i="1"/>
  <c r="C500" i="1" a="1"/>
  <c r="I499" i="1"/>
  <c r="F499" i="1"/>
  <c r="C499" i="1" a="1"/>
  <c r="C499" i="1" s="1"/>
  <c r="M498" i="1"/>
  <c r="R498" i="1" s="1"/>
  <c r="H498" i="1"/>
  <c r="G498" i="1"/>
  <c r="F498" i="1"/>
  <c r="E498" i="1"/>
  <c r="D498" i="1"/>
  <c r="C498" i="1"/>
  <c r="C498" i="1" a="1"/>
  <c r="C497" i="1" a="1"/>
  <c r="C497" i="1" s="1"/>
  <c r="C496" i="1" a="1"/>
  <c r="C496" i="1" s="1"/>
  <c r="J495" i="1"/>
  <c r="B495" i="1" s="1"/>
  <c r="K495" i="1" s="1"/>
  <c r="G495" i="1"/>
  <c r="F495" i="1"/>
  <c r="C495" i="1" a="1"/>
  <c r="C495" i="1" s="1"/>
  <c r="H494" i="1"/>
  <c r="D494" i="1"/>
  <c r="C494" i="1" a="1"/>
  <c r="C494" i="1" s="1"/>
  <c r="J494" i="1" s="1"/>
  <c r="B494" i="1" s="1"/>
  <c r="K494" i="1" s="1"/>
  <c r="C493" i="1"/>
  <c r="C493" i="1" a="1"/>
  <c r="D492" i="1"/>
  <c r="C492" i="1" a="1"/>
  <c r="C492" i="1" s="1"/>
  <c r="C491" i="1" a="1"/>
  <c r="C491" i="1" s="1"/>
  <c r="M490" i="1"/>
  <c r="R490" i="1" s="1"/>
  <c r="I490" i="1"/>
  <c r="C490" i="1"/>
  <c r="C490" i="1" a="1"/>
  <c r="I489" i="1"/>
  <c r="H489" i="1"/>
  <c r="C489" i="1"/>
  <c r="C489" i="1" a="1"/>
  <c r="H488" i="1"/>
  <c r="F488" i="1"/>
  <c r="C488" i="1"/>
  <c r="C488" i="1" a="1"/>
  <c r="J487" i="1"/>
  <c r="B487" i="1" s="1"/>
  <c r="K487" i="1" s="1"/>
  <c r="H487" i="1"/>
  <c r="C487" i="1" a="1"/>
  <c r="C487" i="1" s="1"/>
  <c r="J486" i="1"/>
  <c r="B486" i="1" s="1"/>
  <c r="K486" i="1" s="1"/>
  <c r="G486" i="1"/>
  <c r="E486" i="1"/>
  <c r="C486" i="1" a="1"/>
  <c r="C486" i="1" s="1"/>
  <c r="H486" i="1" s="1"/>
  <c r="D485" i="1"/>
  <c r="C485" i="1" a="1"/>
  <c r="C485" i="1" s="1"/>
  <c r="M484" i="1"/>
  <c r="R484" i="1" s="1"/>
  <c r="D484" i="1"/>
  <c r="C484" i="1" a="1"/>
  <c r="C484" i="1" s="1"/>
  <c r="M483" i="1"/>
  <c r="R483" i="1" s="1"/>
  <c r="C483" i="1" a="1"/>
  <c r="C483" i="1" s="1"/>
  <c r="M482" i="1"/>
  <c r="R482" i="1" s="1"/>
  <c r="C482" i="1"/>
  <c r="C482" i="1" a="1"/>
  <c r="M481" i="1"/>
  <c r="R481" i="1" s="1"/>
  <c r="D481" i="1"/>
  <c r="C481" i="1"/>
  <c r="C481" i="1" a="1"/>
  <c r="F480" i="1"/>
  <c r="C480" i="1"/>
  <c r="C480" i="1" a="1"/>
  <c r="H479" i="1"/>
  <c r="E479" i="1"/>
  <c r="C479" i="1"/>
  <c r="C479" i="1" a="1"/>
  <c r="H478" i="1"/>
  <c r="E478" i="1"/>
  <c r="C478" i="1"/>
  <c r="C478" i="1" a="1"/>
  <c r="C477" i="1" a="1"/>
  <c r="C477" i="1" s="1"/>
  <c r="I476" i="1"/>
  <c r="C476" i="1" a="1"/>
  <c r="C476" i="1" s="1"/>
  <c r="I475" i="1"/>
  <c r="C475" i="1" a="1"/>
  <c r="C475" i="1" s="1"/>
  <c r="I474" i="1"/>
  <c r="C474" i="1"/>
  <c r="C474" i="1" a="1"/>
  <c r="M473" i="1"/>
  <c r="R473" i="1" s="1"/>
  <c r="I473" i="1"/>
  <c r="H473" i="1"/>
  <c r="F473" i="1"/>
  <c r="D473" i="1"/>
  <c r="C473" i="1"/>
  <c r="C473" i="1" a="1"/>
  <c r="I472" i="1"/>
  <c r="H472" i="1"/>
  <c r="G472" i="1"/>
  <c r="C472" i="1"/>
  <c r="C472" i="1" a="1"/>
  <c r="C471" i="1" a="1"/>
  <c r="C471" i="1" s="1"/>
  <c r="C470" i="1"/>
  <c r="C470" i="1" a="1"/>
  <c r="J469" i="1"/>
  <c r="B469" i="1" s="1"/>
  <c r="K469" i="1" s="1"/>
  <c r="H469" i="1"/>
  <c r="G469" i="1"/>
  <c r="F469" i="1"/>
  <c r="E469" i="1"/>
  <c r="C469" i="1" a="1"/>
  <c r="C469" i="1" s="1"/>
  <c r="I469" i="1" s="1"/>
  <c r="C468" i="1" a="1"/>
  <c r="C468" i="1" s="1"/>
  <c r="M467" i="1"/>
  <c r="R467" i="1" s="1"/>
  <c r="J467" i="1"/>
  <c r="B467" i="1" s="1"/>
  <c r="K467" i="1" s="1"/>
  <c r="I467" i="1"/>
  <c r="D467" i="1"/>
  <c r="C467" i="1" a="1"/>
  <c r="C467" i="1" s="1"/>
  <c r="E467" i="1" s="1"/>
  <c r="C466" i="1"/>
  <c r="C466" i="1" a="1"/>
  <c r="J465" i="1"/>
  <c r="B465" i="1" s="1"/>
  <c r="K465" i="1" s="1"/>
  <c r="F465" i="1"/>
  <c r="D465" i="1"/>
  <c r="C465" i="1" a="1"/>
  <c r="C465" i="1" s="1"/>
  <c r="H465" i="1" s="1"/>
  <c r="I464" i="1"/>
  <c r="H464" i="1"/>
  <c r="G464" i="1"/>
  <c r="E464" i="1"/>
  <c r="C464" i="1"/>
  <c r="C464" i="1" a="1"/>
  <c r="C463" i="1" a="1"/>
  <c r="C463" i="1" s="1"/>
  <c r="J462" i="1"/>
  <c r="I462" i="1"/>
  <c r="H462" i="1"/>
  <c r="G462" i="1"/>
  <c r="E462" i="1"/>
  <c r="C462" i="1"/>
  <c r="F462" i="1" s="1"/>
  <c r="C462" i="1" a="1"/>
  <c r="B462" i="1"/>
  <c r="K462" i="1" s="1"/>
  <c r="M461" i="1"/>
  <c r="R461" i="1" s="1"/>
  <c r="E461" i="1"/>
  <c r="C461" i="1" a="1"/>
  <c r="C461" i="1" s="1"/>
  <c r="I460" i="1"/>
  <c r="F460" i="1"/>
  <c r="C460" i="1" a="1"/>
  <c r="C460" i="1" s="1"/>
  <c r="M459" i="1"/>
  <c r="R459" i="1" s="1"/>
  <c r="J459" i="1"/>
  <c r="H459" i="1"/>
  <c r="F459" i="1"/>
  <c r="C459" i="1"/>
  <c r="I459" i="1" s="1"/>
  <c r="C459" i="1" a="1"/>
  <c r="B459" i="1"/>
  <c r="K459" i="1" s="1"/>
  <c r="F458" i="1"/>
  <c r="C458" i="1"/>
  <c r="C458" i="1" a="1"/>
  <c r="J457" i="1"/>
  <c r="B457" i="1" s="1"/>
  <c r="K457" i="1" s="1"/>
  <c r="F457" i="1"/>
  <c r="D457" i="1"/>
  <c r="C457" i="1"/>
  <c r="M457" i="1" s="1"/>
  <c r="R457" i="1" s="1"/>
  <c r="C457" i="1" a="1"/>
  <c r="G456" i="1"/>
  <c r="C456" i="1"/>
  <c r="C456" i="1" a="1"/>
  <c r="C455" i="1" a="1"/>
  <c r="C455" i="1" s="1"/>
  <c r="C454" i="1" a="1"/>
  <c r="C454" i="1" s="1"/>
  <c r="J453" i="1"/>
  <c r="I453" i="1"/>
  <c r="H453" i="1"/>
  <c r="G453" i="1"/>
  <c r="F453" i="1"/>
  <c r="E453" i="1"/>
  <c r="C453" i="1" a="1"/>
  <c r="C453" i="1" s="1"/>
  <c r="D453" i="1" s="1"/>
  <c r="B453" i="1"/>
  <c r="K453" i="1" s="1"/>
  <c r="J452" i="1"/>
  <c r="B452" i="1" s="1"/>
  <c r="K452" i="1" s="1"/>
  <c r="C452" i="1" a="1"/>
  <c r="C452" i="1" s="1"/>
  <c r="I452" i="1" s="1"/>
  <c r="M451" i="1"/>
  <c r="R451" i="1" s="1"/>
  <c r="I451" i="1"/>
  <c r="H451" i="1"/>
  <c r="D451" i="1"/>
  <c r="C451" i="1"/>
  <c r="C451" i="1" a="1"/>
  <c r="M450" i="1"/>
  <c r="R450" i="1" s="1"/>
  <c r="H450" i="1"/>
  <c r="D450" i="1"/>
  <c r="C450" i="1"/>
  <c r="C450" i="1" a="1"/>
  <c r="C449" i="1"/>
  <c r="C449" i="1" a="1"/>
  <c r="C448" i="1" a="1"/>
  <c r="C448" i="1" s="1"/>
  <c r="C447" i="1" a="1"/>
  <c r="C447" i="1" s="1"/>
  <c r="J446" i="1"/>
  <c r="B446" i="1" s="1"/>
  <c r="K446" i="1" s="1"/>
  <c r="G446" i="1"/>
  <c r="E446" i="1"/>
  <c r="C446" i="1" a="1"/>
  <c r="C446" i="1" s="1"/>
  <c r="J445" i="1"/>
  <c r="B445" i="1" s="1"/>
  <c r="K445" i="1" s="1"/>
  <c r="I445" i="1"/>
  <c r="F445" i="1"/>
  <c r="E445" i="1"/>
  <c r="C445" i="1" a="1"/>
  <c r="C445" i="1" s="1"/>
  <c r="H445" i="1" s="1"/>
  <c r="J444" i="1"/>
  <c r="B444" i="1" s="1"/>
  <c r="K444" i="1" s="1"/>
  <c r="I444" i="1"/>
  <c r="F444" i="1"/>
  <c r="E444" i="1"/>
  <c r="D444" i="1"/>
  <c r="C444" i="1"/>
  <c r="H444" i="1" s="1"/>
  <c r="C444" i="1" a="1"/>
  <c r="H443" i="1"/>
  <c r="C443" i="1"/>
  <c r="C443" i="1" a="1"/>
  <c r="D442" i="1"/>
  <c r="C442" i="1"/>
  <c r="C442" i="1" a="1"/>
  <c r="C441" i="1"/>
  <c r="M441" i="1" s="1"/>
  <c r="R441" i="1" s="1"/>
  <c r="C441" i="1" a="1"/>
  <c r="C440" i="1" a="1"/>
  <c r="C440" i="1" s="1"/>
  <c r="C439" i="1" a="1"/>
  <c r="C439" i="1" s="1"/>
  <c r="G438" i="1"/>
  <c r="C438" i="1" a="1"/>
  <c r="C438" i="1" s="1"/>
  <c r="J437" i="1"/>
  <c r="I437" i="1"/>
  <c r="H437" i="1"/>
  <c r="G437" i="1"/>
  <c r="F437" i="1"/>
  <c r="E437" i="1"/>
  <c r="C437" i="1" a="1"/>
  <c r="C437" i="1" s="1"/>
  <c r="D437" i="1" s="1"/>
  <c r="B437" i="1"/>
  <c r="K437" i="1" s="1"/>
  <c r="J436" i="1"/>
  <c r="E436" i="1"/>
  <c r="D436" i="1"/>
  <c r="C436" i="1" a="1"/>
  <c r="C436" i="1" s="1"/>
  <c r="B436" i="1"/>
  <c r="K436" i="1" s="1"/>
  <c r="M435" i="1"/>
  <c r="R435" i="1" s="1"/>
  <c r="C435" i="1"/>
  <c r="I435" i="1" s="1"/>
  <c r="C435" i="1" a="1"/>
  <c r="M434" i="1"/>
  <c r="R434" i="1" s="1"/>
  <c r="H434" i="1"/>
  <c r="G434" i="1"/>
  <c r="D434" i="1"/>
  <c r="C434" i="1"/>
  <c r="C434" i="1" a="1"/>
  <c r="I433" i="1"/>
  <c r="H433" i="1"/>
  <c r="C433" i="1"/>
  <c r="M433" i="1" s="1"/>
  <c r="R433" i="1" s="1"/>
  <c r="C433" i="1" a="1"/>
  <c r="C432" i="1"/>
  <c r="C432" i="1" a="1"/>
  <c r="C431" i="1" a="1"/>
  <c r="C431" i="1" s="1"/>
  <c r="M430" i="1"/>
  <c r="R430" i="1" s="1"/>
  <c r="C430" i="1"/>
  <c r="C430" i="1" a="1"/>
  <c r="M429" i="1"/>
  <c r="R429" i="1" s="1"/>
  <c r="I429" i="1"/>
  <c r="H429" i="1"/>
  <c r="G429" i="1"/>
  <c r="E429" i="1"/>
  <c r="D429" i="1"/>
  <c r="C429" i="1"/>
  <c r="J429" i="1" s="1"/>
  <c r="C429" i="1" a="1"/>
  <c r="B429" i="1"/>
  <c r="K429" i="1" s="1"/>
  <c r="F428" i="1"/>
  <c r="E428" i="1"/>
  <c r="C428" i="1" a="1"/>
  <c r="C428" i="1" s="1"/>
  <c r="C427" i="1" a="1"/>
  <c r="C427" i="1" s="1"/>
  <c r="M426" i="1"/>
  <c r="R426" i="1" s="1"/>
  <c r="H426" i="1"/>
  <c r="G426" i="1"/>
  <c r="D426" i="1"/>
  <c r="C426" i="1"/>
  <c r="C426" i="1" a="1"/>
  <c r="R425" i="1"/>
  <c r="M425" i="1"/>
  <c r="I425" i="1"/>
  <c r="H425" i="1"/>
  <c r="E425" i="1"/>
  <c r="D425" i="1"/>
  <c r="C425" i="1" a="1"/>
  <c r="C425" i="1" s="1"/>
  <c r="F424" i="1"/>
  <c r="C424" i="1" a="1"/>
  <c r="C424" i="1" s="1"/>
  <c r="J424" i="1" s="1"/>
  <c r="B424" i="1" s="1"/>
  <c r="K424" i="1" s="1"/>
  <c r="C423" i="1"/>
  <c r="C423" i="1" a="1"/>
  <c r="M422" i="1"/>
  <c r="R422" i="1" s="1"/>
  <c r="C422" i="1"/>
  <c r="C422" i="1" a="1"/>
  <c r="M421" i="1"/>
  <c r="R421" i="1" s="1"/>
  <c r="I421" i="1"/>
  <c r="H421" i="1"/>
  <c r="G421" i="1"/>
  <c r="E421" i="1"/>
  <c r="D421" i="1"/>
  <c r="C421" i="1"/>
  <c r="J421" i="1" s="1"/>
  <c r="B421" i="1" s="1"/>
  <c r="K421" i="1" s="1"/>
  <c r="C421" i="1" a="1"/>
  <c r="C420" i="1" a="1"/>
  <c r="C420" i="1" s="1"/>
  <c r="C419" i="1" a="1"/>
  <c r="C419" i="1" s="1"/>
  <c r="M418" i="1"/>
  <c r="R418" i="1" s="1"/>
  <c r="H418" i="1"/>
  <c r="C418" i="1"/>
  <c r="C418" i="1" a="1"/>
  <c r="M417" i="1"/>
  <c r="R417" i="1" s="1"/>
  <c r="I417" i="1"/>
  <c r="H417" i="1"/>
  <c r="E417" i="1"/>
  <c r="D417" i="1"/>
  <c r="C417" i="1" a="1"/>
  <c r="C417" i="1" s="1"/>
  <c r="C416" i="1" a="1"/>
  <c r="C416" i="1" s="1"/>
  <c r="M416" i="1" s="1"/>
  <c r="R416" i="1" s="1"/>
  <c r="C415" i="1" a="1"/>
  <c r="C415" i="1" s="1"/>
  <c r="C414" i="1"/>
  <c r="M414" i="1" s="1"/>
  <c r="R414" i="1" s="1"/>
  <c r="C414" i="1" a="1"/>
  <c r="M413" i="1"/>
  <c r="R413" i="1" s="1"/>
  <c r="H413" i="1"/>
  <c r="E413" i="1"/>
  <c r="D413" i="1"/>
  <c r="C413" i="1"/>
  <c r="C413" i="1" a="1"/>
  <c r="M412" i="1"/>
  <c r="R412" i="1" s="1"/>
  <c r="I412" i="1"/>
  <c r="H412" i="1"/>
  <c r="E412" i="1"/>
  <c r="C412" i="1" a="1"/>
  <c r="C412" i="1" s="1"/>
  <c r="G412" i="1" s="1"/>
  <c r="J411" i="1"/>
  <c r="G411" i="1"/>
  <c r="C411" i="1"/>
  <c r="I411" i="1" s="1"/>
  <c r="C411" i="1" a="1"/>
  <c r="B411" i="1"/>
  <c r="K411" i="1" s="1"/>
  <c r="C410" i="1" a="1"/>
  <c r="C410" i="1" s="1"/>
  <c r="M409" i="1"/>
  <c r="R409" i="1" s="1"/>
  <c r="I409" i="1"/>
  <c r="H409" i="1"/>
  <c r="G409" i="1"/>
  <c r="E409" i="1"/>
  <c r="D409" i="1"/>
  <c r="C409" i="1"/>
  <c r="C409" i="1" a="1"/>
  <c r="I408" i="1"/>
  <c r="H408" i="1"/>
  <c r="C408" i="1" a="1"/>
  <c r="C408" i="1" s="1"/>
  <c r="F408" i="1" s="1"/>
  <c r="C407" i="1"/>
  <c r="C407" i="1" a="1"/>
  <c r="G406" i="1"/>
  <c r="C406" i="1" a="1"/>
  <c r="C406" i="1" s="1"/>
  <c r="C405" i="1"/>
  <c r="C405" i="1" a="1"/>
  <c r="I404" i="1"/>
  <c r="H404" i="1"/>
  <c r="G404" i="1"/>
  <c r="C404" i="1"/>
  <c r="F404" i="1" s="1"/>
  <c r="C404" i="1" a="1"/>
  <c r="R403" i="1"/>
  <c r="M403" i="1"/>
  <c r="I403" i="1"/>
  <c r="H403" i="1"/>
  <c r="G403" i="1"/>
  <c r="F403" i="1"/>
  <c r="E403" i="1"/>
  <c r="D403" i="1"/>
  <c r="C403" i="1"/>
  <c r="J403" i="1" s="1"/>
  <c r="B403" i="1" s="1"/>
  <c r="K403" i="1" s="1"/>
  <c r="C403" i="1" a="1"/>
  <c r="C402" i="1" a="1"/>
  <c r="C402" i="1" s="1"/>
  <c r="G401" i="1"/>
  <c r="C401" i="1" a="1"/>
  <c r="C401" i="1" s="1"/>
  <c r="M400" i="1"/>
  <c r="R400" i="1" s="1"/>
  <c r="G400" i="1"/>
  <c r="E400" i="1"/>
  <c r="D400" i="1"/>
  <c r="C400" i="1"/>
  <c r="J400" i="1" s="1"/>
  <c r="B400" i="1" s="1"/>
  <c r="K400" i="1" s="1"/>
  <c r="C400" i="1" a="1"/>
  <c r="I399" i="1"/>
  <c r="C399" i="1" a="1"/>
  <c r="C399" i="1" s="1"/>
  <c r="C398" i="1" a="1"/>
  <c r="C398" i="1" s="1"/>
  <c r="C397" i="1"/>
  <c r="C397" i="1" a="1"/>
  <c r="I396" i="1"/>
  <c r="H396" i="1"/>
  <c r="G396" i="1"/>
  <c r="C396" i="1"/>
  <c r="F396" i="1" s="1"/>
  <c r="C396" i="1" a="1"/>
  <c r="R395" i="1"/>
  <c r="M395" i="1"/>
  <c r="I395" i="1"/>
  <c r="H395" i="1"/>
  <c r="G395" i="1"/>
  <c r="F395" i="1"/>
  <c r="E395" i="1"/>
  <c r="D395" i="1"/>
  <c r="C395" i="1"/>
  <c r="J395" i="1" s="1"/>
  <c r="B395" i="1" s="1"/>
  <c r="K395" i="1" s="1"/>
  <c r="C395" i="1" a="1"/>
  <c r="C394" i="1" a="1"/>
  <c r="C394" i="1" s="1"/>
  <c r="C393" i="1" a="1"/>
  <c r="C393" i="1" s="1"/>
  <c r="G393" i="1" s="1"/>
  <c r="C392" i="1" a="1"/>
  <c r="C392" i="1" s="1"/>
  <c r="C391" i="1" a="1"/>
  <c r="C391" i="1" s="1"/>
  <c r="G390" i="1"/>
  <c r="F390" i="1"/>
  <c r="C390" i="1" a="1"/>
  <c r="C390" i="1" s="1"/>
  <c r="C389" i="1"/>
  <c r="C389" i="1" a="1"/>
  <c r="I388" i="1"/>
  <c r="H388" i="1"/>
  <c r="G388" i="1"/>
  <c r="F388" i="1"/>
  <c r="C388" i="1"/>
  <c r="E388" i="1" s="1"/>
  <c r="C388" i="1" a="1"/>
  <c r="R387" i="1"/>
  <c r="M387" i="1"/>
  <c r="F387" i="1"/>
  <c r="E387" i="1"/>
  <c r="D387" i="1"/>
  <c r="C387" i="1"/>
  <c r="J387" i="1" s="1"/>
  <c r="B387" i="1" s="1"/>
  <c r="K387" i="1" s="1"/>
  <c r="C387" i="1" a="1"/>
  <c r="C386" i="1" a="1"/>
  <c r="C386" i="1" s="1"/>
  <c r="C385" i="1" a="1"/>
  <c r="C385" i="1" s="1"/>
  <c r="E384" i="1"/>
  <c r="C384" i="1" a="1"/>
  <c r="C384" i="1" s="1"/>
  <c r="M384" i="1" s="1"/>
  <c r="R384" i="1" s="1"/>
  <c r="C383" i="1" a="1"/>
  <c r="C383" i="1" s="1"/>
  <c r="G382" i="1"/>
  <c r="F382" i="1"/>
  <c r="C382" i="1" a="1"/>
  <c r="C382" i="1" s="1"/>
  <c r="M381" i="1"/>
  <c r="R381" i="1" s="1"/>
  <c r="C381" i="1"/>
  <c r="C381" i="1" a="1"/>
  <c r="I380" i="1"/>
  <c r="H380" i="1"/>
  <c r="G380" i="1"/>
  <c r="F380" i="1"/>
  <c r="C380" i="1"/>
  <c r="E380" i="1" s="1"/>
  <c r="C380" i="1" a="1"/>
  <c r="M379" i="1"/>
  <c r="R379" i="1" s="1"/>
  <c r="F379" i="1"/>
  <c r="E379" i="1"/>
  <c r="D379" i="1"/>
  <c r="C379" i="1"/>
  <c r="J379" i="1" s="1"/>
  <c r="B379" i="1" s="1"/>
  <c r="K379" i="1" s="1"/>
  <c r="C379" i="1" a="1"/>
  <c r="C378" i="1"/>
  <c r="C378" i="1" a="1"/>
  <c r="H377" i="1"/>
  <c r="G377" i="1"/>
  <c r="F377" i="1"/>
  <c r="C377" i="1" a="1"/>
  <c r="C377" i="1" s="1"/>
  <c r="M376" i="1"/>
  <c r="R376" i="1" s="1"/>
  <c r="G376" i="1"/>
  <c r="C376" i="1"/>
  <c r="C376" i="1" a="1"/>
  <c r="J375" i="1"/>
  <c r="B375" i="1" s="1"/>
  <c r="K375" i="1" s="1"/>
  <c r="C375" i="1" a="1"/>
  <c r="C375" i="1" s="1"/>
  <c r="M375" i="1" s="1"/>
  <c r="R375" i="1" s="1"/>
  <c r="M374" i="1"/>
  <c r="R374" i="1" s="1"/>
  <c r="I374" i="1"/>
  <c r="G374" i="1"/>
  <c r="F374" i="1"/>
  <c r="E374" i="1"/>
  <c r="D374" i="1"/>
  <c r="C374" i="1" a="1"/>
  <c r="C374" i="1" s="1"/>
  <c r="M373" i="1"/>
  <c r="R373" i="1" s="1"/>
  <c r="C373" i="1" a="1"/>
  <c r="C373" i="1" s="1"/>
  <c r="I372" i="1"/>
  <c r="H372" i="1"/>
  <c r="G372" i="1"/>
  <c r="F372" i="1"/>
  <c r="C372" i="1"/>
  <c r="C372" i="1" a="1"/>
  <c r="C371" i="1"/>
  <c r="C371" i="1" a="1"/>
  <c r="C370" i="1"/>
  <c r="C370" i="1" a="1"/>
  <c r="E369" i="1"/>
  <c r="C369" i="1" a="1"/>
  <c r="C369" i="1" s="1"/>
  <c r="J368" i="1"/>
  <c r="B368" i="1" s="1"/>
  <c r="K368" i="1" s="1"/>
  <c r="F368" i="1"/>
  <c r="E368" i="1"/>
  <c r="D368" i="1"/>
  <c r="C368" i="1"/>
  <c r="M368" i="1" s="1"/>
  <c r="R368" i="1" s="1"/>
  <c r="C368" i="1" a="1"/>
  <c r="I367" i="1"/>
  <c r="H367" i="1"/>
  <c r="C367" i="1"/>
  <c r="F367" i="1" s="1"/>
  <c r="C367" i="1" a="1"/>
  <c r="D366" i="1"/>
  <c r="C366" i="1" a="1"/>
  <c r="C366" i="1" s="1"/>
  <c r="J366" i="1" s="1"/>
  <c r="B366" i="1" s="1"/>
  <c r="K366" i="1" s="1"/>
  <c r="C365" i="1" a="1"/>
  <c r="C365" i="1" s="1"/>
  <c r="C364" i="1" a="1"/>
  <c r="C364" i="1" s="1"/>
  <c r="I363" i="1"/>
  <c r="G363" i="1"/>
  <c r="F363" i="1"/>
  <c r="E363" i="1"/>
  <c r="D363" i="1"/>
  <c r="C363" i="1"/>
  <c r="J363" i="1" s="1"/>
  <c r="C363" i="1" a="1"/>
  <c r="B363" i="1"/>
  <c r="K363" i="1" s="1"/>
  <c r="C362" i="1" a="1"/>
  <c r="C362" i="1" s="1"/>
  <c r="F361" i="1"/>
  <c r="C361" i="1" a="1"/>
  <c r="C361" i="1" s="1"/>
  <c r="C360" i="1" a="1"/>
  <c r="C360" i="1" s="1"/>
  <c r="D359" i="1"/>
  <c r="C359" i="1"/>
  <c r="F359" i="1" s="1"/>
  <c r="C359" i="1" a="1"/>
  <c r="H358" i="1"/>
  <c r="G358" i="1"/>
  <c r="C358" i="1" a="1"/>
  <c r="C358" i="1" s="1"/>
  <c r="F358" i="1" s="1"/>
  <c r="M357" i="1"/>
  <c r="R357" i="1" s="1"/>
  <c r="C357" i="1"/>
  <c r="C357" i="1" a="1"/>
  <c r="J356" i="1"/>
  <c r="H356" i="1"/>
  <c r="G356" i="1"/>
  <c r="F356" i="1"/>
  <c r="D356" i="1"/>
  <c r="C356" i="1"/>
  <c r="E356" i="1" s="1"/>
  <c r="C356" i="1" a="1"/>
  <c r="B356" i="1"/>
  <c r="K356" i="1" s="1"/>
  <c r="K355" i="1"/>
  <c r="I355" i="1"/>
  <c r="E355" i="1"/>
  <c r="C355" i="1"/>
  <c r="J355" i="1" s="1"/>
  <c r="C355" i="1" a="1"/>
  <c r="B355" i="1"/>
  <c r="C354" i="1" a="1"/>
  <c r="C354" i="1" s="1"/>
  <c r="C353" i="1" a="1"/>
  <c r="C353" i="1" s="1"/>
  <c r="E352" i="1"/>
  <c r="C352" i="1" a="1"/>
  <c r="C352" i="1" s="1"/>
  <c r="J351" i="1"/>
  <c r="I351" i="1"/>
  <c r="H351" i="1"/>
  <c r="C351" i="1"/>
  <c r="F351" i="1" s="1"/>
  <c r="C351" i="1" a="1"/>
  <c r="B351" i="1"/>
  <c r="K351" i="1" s="1"/>
  <c r="D350" i="1"/>
  <c r="C350" i="1" a="1"/>
  <c r="C350" i="1" s="1"/>
  <c r="J350" i="1" s="1"/>
  <c r="B350" i="1" s="1"/>
  <c r="K350" i="1" s="1"/>
  <c r="C349" i="1" a="1"/>
  <c r="C349" i="1" s="1"/>
  <c r="C348" i="1" a="1"/>
  <c r="C348" i="1" s="1"/>
  <c r="I347" i="1"/>
  <c r="G347" i="1"/>
  <c r="F347" i="1"/>
  <c r="E347" i="1"/>
  <c r="C347" i="1"/>
  <c r="J347" i="1" s="1"/>
  <c r="C347" i="1" a="1"/>
  <c r="B347" i="1"/>
  <c r="K347" i="1" s="1"/>
  <c r="C346" i="1"/>
  <c r="C346" i="1" a="1"/>
  <c r="H345" i="1"/>
  <c r="G345" i="1"/>
  <c r="C345" i="1"/>
  <c r="F345" i="1" s="1"/>
  <c r="C345" i="1" a="1"/>
  <c r="E344" i="1"/>
  <c r="C344" i="1" a="1"/>
  <c r="C344" i="1" s="1"/>
  <c r="C343" i="1" a="1"/>
  <c r="C343" i="1" s="1"/>
  <c r="G342" i="1"/>
  <c r="C342" i="1" a="1"/>
  <c r="C342" i="1" s="1"/>
  <c r="M341" i="1"/>
  <c r="R341" i="1" s="1"/>
  <c r="D341" i="1"/>
  <c r="C341" i="1"/>
  <c r="J341" i="1" s="1"/>
  <c r="B341" i="1" s="1"/>
  <c r="K341" i="1" s="1"/>
  <c r="C341" i="1" a="1"/>
  <c r="C340" i="1" a="1"/>
  <c r="C340" i="1" s="1"/>
  <c r="I339" i="1"/>
  <c r="G339" i="1"/>
  <c r="F339" i="1"/>
  <c r="E339" i="1"/>
  <c r="C339" i="1"/>
  <c r="M339" i="1" s="1"/>
  <c r="R339" i="1" s="1"/>
  <c r="C339" i="1" a="1"/>
  <c r="C338" i="1"/>
  <c r="C338" i="1" a="1"/>
  <c r="H337" i="1"/>
  <c r="G337" i="1"/>
  <c r="C337" i="1"/>
  <c r="F337" i="1" s="1"/>
  <c r="C337" i="1" a="1"/>
  <c r="C336" i="1" a="1"/>
  <c r="C336" i="1" s="1"/>
  <c r="C335" i="1" a="1"/>
  <c r="C335" i="1" s="1"/>
  <c r="C334" i="1" a="1"/>
  <c r="C334" i="1" s="1"/>
  <c r="M333" i="1"/>
  <c r="R333" i="1" s="1"/>
  <c r="D333" i="1"/>
  <c r="C333" i="1"/>
  <c r="J333" i="1" s="1"/>
  <c r="B333" i="1" s="1"/>
  <c r="K333" i="1" s="1"/>
  <c r="C333" i="1" a="1"/>
  <c r="C332" i="1" a="1"/>
  <c r="C332" i="1" s="1"/>
  <c r="I331" i="1"/>
  <c r="G331" i="1"/>
  <c r="F331" i="1"/>
  <c r="E331" i="1"/>
  <c r="C331" i="1"/>
  <c r="M331" i="1" s="1"/>
  <c r="R331" i="1" s="1"/>
  <c r="C331" i="1" a="1"/>
  <c r="C330" i="1"/>
  <c r="C330" i="1" a="1"/>
  <c r="H329" i="1"/>
  <c r="G329" i="1"/>
  <c r="C329" i="1"/>
  <c r="F329" i="1" s="1"/>
  <c r="C329" i="1" a="1"/>
  <c r="M328" i="1"/>
  <c r="R328" i="1" s="1"/>
  <c r="D328" i="1"/>
  <c r="C328" i="1" a="1"/>
  <c r="C328" i="1" s="1"/>
  <c r="C327" i="1" a="1"/>
  <c r="C327" i="1" s="1"/>
  <c r="G326" i="1"/>
  <c r="C326" i="1" a="1"/>
  <c r="C326" i="1" s="1"/>
  <c r="C325" i="1"/>
  <c r="C325" i="1" a="1"/>
  <c r="I324" i="1"/>
  <c r="C324" i="1" a="1"/>
  <c r="C324" i="1" s="1"/>
  <c r="R323" i="1"/>
  <c r="I323" i="1"/>
  <c r="G323" i="1"/>
  <c r="F323" i="1"/>
  <c r="E323" i="1"/>
  <c r="C323" i="1"/>
  <c r="M323" i="1" s="1"/>
  <c r="C323" i="1" a="1"/>
  <c r="C322" i="1" a="1"/>
  <c r="C322" i="1" s="1"/>
  <c r="H321" i="1"/>
  <c r="G321" i="1"/>
  <c r="C321" i="1"/>
  <c r="F321" i="1" s="1"/>
  <c r="C321" i="1" a="1"/>
  <c r="R320" i="1"/>
  <c r="M320" i="1"/>
  <c r="E320" i="1"/>
  <c r="D320" i="1"/>
  <c r="C320" i="1" a="1"/>
  <c r="C320" i="1" s="1"/>
  <c r="C319" i="1" a="1"/>
  <c r="C319" i="1" s="1"/>
  <c r="C318" i="1" a="1"/>
  <c r="C318" i="1" s="1"/>
  <c r="D317" i="1"/>
  <c r="C317" i="1"/>
  <c r="C317" i="1" a="1"/>
  <c r="M316" i="1"/>
  <c r="R316" i="1" s="1"/>
  <c r="I316" i="1"/>
  <c r="D316" i="1"/>
  <c r="C316" i="1" a="1"/>
  <c r="C316" i="1" s="1"/>
  <c r="I315" i="1"/>
  <c r="G315" i="1"/>
  <c r="F315" i="1"/>
  <c r="E315" i="1"/>
  <c r="C315" i="1"/>
  <c r="M315" i="1" s="1"/>
  <c r="R315" i="1" s="1"/>
  <c r="C315" i="1" a="1"/>
  <c r="C314" i="1"/>
  <c r="C314" i="1" a="1"/>
  <c r="G313" i="1"/>
  <c r="C313" i="1"/>
  <c r="C313" i="1" a="1"/>
  <c r="M312" i="1"/>
  <c r="R312" i="1" s="1"/>
  <c r="H312" i="1"/>
  <c r="F312" i="1"/>
  <c r="D312" i="1"/>
  <c r="C312" i="1" a="1"/>
  <c r="C312" i="1" s="1"/>
  <c r="J311" i="1"/>
  <c r="B311" i="1" s="1"/>
  <c r="K311" i="1" s="1"/>
  <c r="C311" i="1"/>
  <c r="C311" i="1" a="1"/>
  <c r="J310" i="1"/>
  <c r="B310" i="1" s="1"/>
  <c r="K310" i="1" s="1"/>
  <c r="G310" i="1"/>
  <c r="D310" i="1"/>
  <c r="C310" i="1" a="1"/>
  <c r="C310" i="1" s="1"/>
  <c r="M310" i="1" s="1"/>
  <c r="R310" i="1" s="1"/>
  <c r="G309" i="1"/>
  <c r="D309" i="1"/>
  <c r="C309" i="1"/>
  <c r="M309" i="1" s="1"/>
  <c r="R309" i="1" s="1"/>
  <c r="C309" i="1" a="1"/>
  <c r="M308" i="1"/>
  <c r="R308" i="1" s="1"/>
  <c r="I308" i="1"/>
  <c r="F308" i="1"/>
  <c r="D308" i="1"/>
  <c r="C308" i="1" a="1"/>
  <c r="C308" i="1" s="1"/>
  <c r="I307" i="1"/>
  <c r="F307" i="1"/>
  <c r="E307" i="1"/>
  <c r="C307" i="1"/>
  <c r="C307" i="1" a="1"/>
  <c r="C306" i="1" a="1"/>
  <c r="C306" i="1" s="1"/>
  <c r="H305" i="1"/>
  <c r="G305" i="1"/>
  <c r="C305" i="1"/>
  <c r="C305" i="1" a="1"/>
  <c r="J304" i="1"/>
  <c r="B304" i="1" s="1"/>
  <c r="K304" i="1" s="1"/>
  <c r="H304" i="1"/>
  <c r="D304" i="1"/>
  <c r="C304" i="1" a="1"/>
  <c r="C304" i="1" s="1"/>
  <c r="M304" i="1" s="1"/>
  <c r="R304" i="1" s="1"/>
  <c r="C303" i="1"/>
  <c r="C303" i="1" a="1"/>
  <c r="D302" i="1"/>
  <c r="C302" i="1" a="1"/>
  <c r="C302" i="1" s="1"/>
  <c r="M302" i="1" s="1"/>
  <c r="R302" i="1" s="1"/>
  <c r="D301" i="1"/>
  <c r="C301" i="1"/>
  <c r="M301" i="1" s="1"/>
  <c r="R301" i="1" s="1"/>
  <c r="C301" i="1" a="1"/>
  <c r="M300" i="1"/>
  <c r="R300" i="1" s="1"/>
  <c r="J300" i="1"/>
  <c r="I300" i="1"/>
  <c r="H300" i="1"/>
  <c r="G300" i="1"/>
  <c r="F300" i="1"/>
  <c r="D300" i="1"/>
  <c r="C300" i="1" a="1"/>
  <c r="C300" i="1" s="1"/>
  <c r="E300" i="1" s="1"/>
  <c r="B300" i="1"/>
  <c r="K300" i="1" s="1"/>
  <c r="I299" i="1"/>
  <c r="G299" i="1"/>
  <c r="F299" i="1"/>
  <c r="D299" i="1"/>
  <c r="C299" i="1"/>
  <c r="M299" i="1" s="1"/>
  <c r="R299" i="1" s="1"/>
  <c r="C299" i="1" a="1"/>
  <c r="C298" i="1" a="1"/>
  <c r="C298" i="1" s="1"/>
  <c r="E297" i="1"/>
  <c r="C297" i="1"/>
  <c r="I297" i="1" s="1"/>
  <c r="C297" i="1" a="1"/>
  <c r="H296" i="1"/>
  <c r="C296" i="1" a="1"/>
  <c r="C296" i="1" s="1"/>
  <c r="C295" i="1"/>
  <c r="C295" i="1" a="1"/>
  <c r="G294" i="1"/>
  <c r="F294" i="1"/>
  <c r="C294" i="1" a="1"/>
  <c r="C294" i="1" s="1"/>
  <c r="E294" i="1" s="1"/>
  <c r="C293" i="1" a="1"/>
  <c r="C293" i="1" s="1"/>
  <c r="F292" i="1"/>
  <c r="C292" i="1" a="1"/>
  <c r="C292" i="1" s="1"/>
  <c r="I291" i="1"/>
  <c r="H291" i="1"/>
  <c r="G291" i="1"/>
  <c r="F291" i="1"/>
  <c r="E291" i="1"/>
  <c r="C291" i="1"/>
  <c r="J291" i="1" s="1"/>
  <c r="C291" i="1" a="1"/>
  <c r="B291" i="1"/>
  <c r="K291" i="1" s="1"/>
  <c r="F290" i="1"/>
  <c r="C290" i="1" a="1"/>
  <c r="C290" i="1" s="1"/>
  <c r="C289" i="1"/>
  <c r="C289" i="1" a="1"/>
  <c r="H288" i="1"/>
  <c r="G288" i="1"/>
  <c r="C288" i="1" a="1"/>
  <c r="C288" i="1" s="1"/>
  <c r="R287" i="1"/>
  <c r="M287" i="1"/>
  <c r="C287" i="1" a="1"/>
  <c r="C287" i="1" s="1"/>
  <c r="E287" i="1" s="1"/>
  <c r="C286" i="1" a="1"/>
  <c r="C286" i="1" s="1"/>
  <c r="G285" i="1"/>
  <c r="F285" i="1"/>
  <c r="C285" i="1"/>
  <c r="E285" i="1" s="1"/>
  <c r="C285" i="1" a="1"/>
  <c r="C284" i="1"/>
  <c r="C284" i="1" a="1"/>
  <c r="I283" i="1"/>
  <c r="H283" i="1"/>
  <c r="G283" i="1"/>
  <c r="F283" i="1"/>
  <c r="E283" i="1"/>
  <c r="C283" i="1"/>
  <c r="M283" i="1" s="1"/>
  <c r="R283" i="1" s="1"/>
  <c r="C283" i="1" a="1"/>
  <c r="C282" i="1" a="1"/>
  <c r="C282" i="1" s="1"/>
  <c r="J282" i="1" s="1"/>
  <c r="B282" i="1" s="1"/>
  <c r="K282" i="1" s="1"/>
  <c r="C281" i="1" a="1"/>
  <c r="C281" i="1" s="1"/>
  <c r="C280" i="1" a="1"/>
  <c r="C280" i="1" s="1"/>
  <c r="C279" i="1" a="1"/>
  <c r="C279" i="1" s="1"/>
  <c r="M279" i="1" s="1"/>
  <c r="R279" i="1" s="1"/>
  <c r="J278" i="1"/>
  <c r="B278" i="1" s="1"/>
  <c r="K278" i="1" s="1"/>
  <c r="F278" i="1"/>
  <c r="C278" i="1" a="1"/>
  <c r="C278" i="1" s="1"/>
  <c r="I278" i="1" s="1"/>
  <c r="G277" i="1"/>
  <c r="C277" i="1"/>
  <c r="C277" i="1" a="1"/>
  <c r="M276" i="1"/>
  <c r="R276" i="1" s="1"/>
  <c r="I276" i="1"/>
  <c r="H276" i="1"/>
  <c r="D276" i="1"/>
  <c r="C276" i="1"/>
  <c r="C276" i="1" a="1"/>
  <c r="I275" i="1"/>
  <c r="H275" i="1"/>
  <c r="G275" i="1"/>
  <c r="F275" i="1"/>
  <c r="E275" i="1"/>
  <c r="C275" i="1"/>
  <c r="M275" i="1" s="1"/>
  <c r="R275" i="1" s="1"/>
  <c r="C275" i="1" a="1"/>
  <c r="C274" i="1" a="1"/>
  <c r="C274" i="1" s="1"/>
  <c r="C273" i="1" a="1"/>
  <c r="C273" i="1" s="1"/>
  <c r="M272" i="1"/>
  <c r="R272" i="1" s="1"/>
  <c r="H272" i="1"/>
  <c r="G272" i="1"/>
  <c r="E272" i="1"/>
  <c r="D272" i="1"/>
  <c r="C272" i="1" a="1"/>
  <c r="C272" i="1" s="1"/>
  <c r="C271" i="1" a="1"/>
  <c r="C271" i="1" s="1"/>
  <c r="M271" i="1" s="1"/>
  <c r="R271" i="1" s="1"/>
  <c r="C270" i="1" a="1"/>
  <c r="C270" i="1" s="1"/>
  <c r="J270" i="1" s="1"/>
  <c r="B270" i="1" s="1"/>
  <c r="K270" i="1" s="1"/>
  <c r="M269" i="1"/>
  <c r="R269" i="1" s="1"/>
  <c r="F269" i="1"/>
  <c r="D269" i="1"/>
  <c r="C269" i="1"/>
  <c r="G269" i="1" s="1"/>
  <c r="C269" i="1" a="1"/>
  <c r="C268" i="1"/>
  <c r="M268" i="1" s="1"/>
  <c r="R268" i="1" s="1"/>
  <c r="C268" i="1" a="1"/>
  <c r="R267" i="1"/>
  <c r="M267" i="1"/>
  <c r="I267" i="1"/>
  <c r="H267" i="1"/>
  <c r="G267" i="1"/>
  <c r="F267" i="1"/>
  <c r="E267" i="1"/>
  <c r="D267" i="1"/>
  <c r="C267" i="1"/>
  <c r="J267" i="1" s="1"/>
  <c r="B267" i="1" s="1"/>
  <c r="K267" i="1" s="1"/>
  <c r="C267" i="1" a="1"/>
  <c r="C266" i="1" a="1"/>
  <c r="C266" i="1" s="1"/>
  <c r="C265" i="1"/>
  <c r="C265" i="1" a="1"/>
  <c r="M264" i="1"/>
  <c r="R264" i="1" s="1"/>
  <c r="G264" i="1"/>
  <c r="E264" i="1"/>
  <c r="C264" i="1" a="1"/>
  <c r="C264" i="1" s="1"/>
  <c r="C263" i="1" a="1"/>
  <c r="C263" i="1" s="1"/>
  <c r="I262" i="1"/>
  <c r="D262" i="1"/>
  <c r="C262" i="1" a="1"/>
  <c r="C262" i="1" s="1"/>
  <c r="E262" i="1" s="1"/>
  <c r="M261" i="1"/>
  <c r="R261" i="1" s="1"/>
  <c r="I261" i="1"/>
  <c r="F261" i="1"/>
  <c r="E261" i="1"/>
  <c r="D261" i="1"/>
  <c r="C261" i="1"/>
  <c r="G261" i="1" s="1"/>
  <c r="C261" i="1" a="1"/>
  <c r="C260" i="1" a="1"/>
  <c r="C260" i="1" s="1"/>
  <c r="I259" i="1"/>
  <c r="E259" i="1"/>
  <c r="D259" i="1"/>
  <c r="C259" i="1"/>
  <c r="J259" i="1" s="1"/>
  <c r="C259" i="1" a="1"/>
  <c r="B259" i="1"/>
  <c r="K259" i="1" s="1"/>
  <c r="C258" i="1" a="1"/>
  <c r="C258" i="1" s="1"/>
  <c r="C257" i="1" a="1"/>
  <c r="C257" i="1" s="1"/>
  <c r="C256" i="1" a="1"/>
  <c r="C256" i="1" s="1"/>
  <c r="H255" i="1"/>
  <c r="G255" i="1"/>
  <c r="C255" i="1"/>
  <c r="F255" i="1" s="1"/>
  <c r="C255" i="1" a="1"/>
  <c r="C254" i="1" a="1"/>
  <c r="C254" i="1" s="1"/>
  <c r="C253" i="1" a="1"/>
  <c r="C253" i="1" s="1"/>
  <c r="C252" i="1" a="1"/>
  <c r="C252" i="1" s="1"/>
  <c r="C251" i="1"/>
  <c r="J251" i="1" s="1"/>
  <c r="B251" i="1" s="1"/>
  <c r="K251" i="1" s="1"/>
  <c r="C251" i="1" a="1"/>
  <c r="C250" i="1" a="1"/>
  <c r="C250" i="1" s="1"/>
  <c r="C249" i="1" a="1"/>
  <c r="C249" i="1" s="1"/>
  <c r="C248" i="1" a="1"/>
  <c r="C248" i="1" s="1"/>
  <c r="H247" i="1"/>
  <c r="G247" i="1"/>
  <c r="C247" i="1"/>
  <c r="F247" i="1" s="1"/>
  <c r="C247" i="1" a="1"/>
  <c r="C246" i="1" a="1"/>
  <c r="C246" i="1" s="1"/>
  <c r="C245" i="1" a="1"/>
  <c r="C245" i="1" s="1"/>
  <c r="C244" i="1" a="1"/>
  <c r="C244" i="1" s="1"/>
  <c r="C243" i="1"/>
  <c r="J243" i="1" s="1"/>
  <c r="B243" i="1" s="1"/>
  <c r="K243" i="1" s="1"/>
  <c r="C243" i="1" a="1"/>
  <c r="C242" i="1" a="1"/>
  <c r="C242" i="1" s="1"/>
  <c r="C241" i="1" a="1"/>
  <c r="C241" i="1" s="1"/>
  <c r="C240" i="1" a="1"/>
  <c r="C240" i="1" s="1"/>
  <c r="H239" i="1"/>
  <c r="G239" i="1"/>
  <c r="C239" i="1"/>
  <c r="F239" i="1" s="1"/>
  <c r="C239" i="1" a="1"/>
  <c r="C238" i="1" a="1"/>
  <c r="C238" i="1" s="1"/>
  <c r="C237" i="1" a="1"/>
  <c r="C237" i="1" s="1"/>
  <c r="C236" i="1" a="1"/>
  <c r="C236" i="1" s="1"/>
  <c r="C235" i="1"/>
  <c r="J235" i="1" s="1"/>
  <c r="B235" i="1" s="1"/>
  <c r="K235" i="1" s="1"/>
  <c r="C235" i="1" a="1"/>
  <c r="C234" i="1" a="1"/>
  <c r="C234" i="1" s="1"/>
  <c r="C233" i="1" a="1"/>
  <c r="C233" i="1" s="1"/>
  <c r="C232" i="1" a="1"/>
  <c r="C232" i="1" s="1"/>
  <c r="H231" i="1"/>
  <c r="G231" i="1"/>
  <c r="C231" i="1"/>
  <c r="F231" i="1" s="1"/>
  <c r="C231" i="1" a="1"/>
  <c r="C230" i="1" a="1"/>
  <c r="C230" i="1" s="1"/>
  <c r="C229" i="1" a="1"/>
  <c r="C229" i="1" s="1"/>
  <c r="C228" i="1" a="1"/>
  <c r="C228" i="1" s="1"/>
  <c r="C227" i="1"/>
  <c r="J227" i="1" s="1"/>
  <c r="B227" i="1" s="1"/>
  <c r="K227" i="1" s="1"/>
  <c r="C227" i="1" a="1"/>
  <c r="C226" i="1" a="1"/>
  <c r="C226" i="1" s="1"/>
  <c r="C225" i="1" a="1"/>
  <c r="C225" i="1" s="1"/>
  <c r="C224" i="1" a="1"/>
  <c r="C224" i="1" s="1"/>
  <c r="H223" i="1"/>
  <c r="G223" i="1"/>
  <c r="C223" i="1"/>
  <c r="F223" i="1" s="1"/>
  <c r="C223" i="1" a="1"/>
  <c r="C222" i="1" a="1"/>
  <c r="C222" i="1" s="1"/>
  <c r="C221" i="1" a="1"/>
  <c r="C221" i="1" s="1"/>
  <c r="G220" i="1"/>
  <c r="F220" i="1"/>
  <c r="C220" i="1" a="1"/>
  <c r="C220" i="1" s="1"/>
  <c r="C219" i="1"/>
  <c r="C219" i="1" a="1"/>
  <c r="I218" i="1"/>
  <c r="H218" i="1"/>
  <c r="C218" i="1" a="1"/>
  <c r="C218" i="1" s="1"/>
  <c r="C217" i="1" a="1"/>
  <c r="C217" i="1" s="1"/>
  <c r="I217" i="1" s="1"/>
  <c r="C216" i="1" a="1"/>
  <c r="C216" i="1" s="1"/>
  <c r="H215" i="1"/>
  <c r="G215" i="1"/>
  <c r="C215" i="1"/>
  <c r="C215" i="1" a="1"/>
  <c r="M214" i="1"/>
  <c r="R214" i="1" s="1"/>
  <c r="I214" i="1"/>
  <c r="H214" i="1"/>
  <c r="E214" i="1"/>
  <c r="C214" i="1" a="1"/>
  <c r="C214" i="1" s="1"/>
  <c r="J213" i="1"/>
  <c r="B213" i="1" s="1"/>
  <c r="K213" i="1" s="1"/>
  <c r="C213" i="1" a="1"/>
  <c r="C213" i="1" s="1"/>
  <c r="C212" i="1"/>
  <c r="M212" i="1" s="1"/>
  <c r="R212" i="1" s="1"/>
  <c r="C212" i="1" a="1"/>
  <c r="C211" i="1"/>
  <c r="M211" i="1" s="1"/>
  <c r="R211" i="1" s="1"/>
  <c r="C211" i="1" a="1"/>
  <c r="C210" i="1" a="1"/>
  <c r="C210" i="1" s="1"/>
  <c r="J210" i="1" s="1"/>
  <c r="B210" i="1" s="1"/>
  <c r="K210" i="1" s="1"/>
  <c r="C209" i="1" a="1"/>
  <c r="C209" i="1" s="1"/>
  <c r="J208" i="1"/>
  <c r="D208" i="1"/>
  <c r="C208" i="1"/>
  <c r="E208" i="1" s="1"/>
  <c r="C208" i="1" a="1"/>
  <c r="B208" i="1"/>
  <c r="K208" i="1" s="1"/>
  <c r="I207" i="1"/>
  <c r="H207" i="1"/>
  <c r="G207" i="1"/>
  <c r="F207" i="1"/>
  <c r="E207" i="1"/>
  <c r="C207" i="1"/>
  <c r="J207" i="1" s="1"/>
  <c r="C207" i="1" a="1"/>
  <c r="B207" i="1"/>
  <c r="K207" i="1" s="1"/>
  <c r="C206" i="1" a="1"/>
  <c r="C206" i="1" s="1"/>
  <c r="C205" i="1" a="1"/>
  <c r="C205" i="1" s="1"/>
  <c r="C204" i="1" a="1"/>
  <c r="C204" i="1" s="1"/>
  <c r="C203" i="1" a="1"/>
  <c r="C203" i="1" s="1"/>
  <c r="C202" i="1" a="1"/>
  <c r="C202" i="1" s="1"/>
  <c r="C201" i="1"/>
  <c r="J201" i="1" s="1"/>
  <c r="B201" i="1" s="1"/>
  <c r="K201" i="1" s="1"/>
  <c r="C201" i="1" a="1"/>
  <c r="C200" i="1"/>
  <c r="G200" i="1" s="1"/>
  <c r="C200" i="1" a="1"/>
  <c r="I199" i="1"/>
  <c r="H199" i="1"/>
  <c r="G199" i="1"/>
  <c r="F199" i="1"/>
  <c r="E199" i="1"/>
  <c r="C199" i="1"/>
  <c r="M199" i="1" s="1"/>
  <c r="R199" i="1" s="1"/>
  <c r="C199" i="1" a="1"/>
  <c r="C198" i="1" a="1"/>
  <c r="C198" i="1" s="1"/>
  <c r="C197" i="1" a="1"/>
  <c r="C197" i="1" s="1"/>
  <c r="C196" i="1" a="1"/>
  <c r="C196" i="1" s="1"/>
  <c r="C195" i="1" a="1"/>
  <c r="C195" i="1" s="1"/>
  <c r="C194" i="1" a="1"/>
  <c r="C194" i="1" s="1"/>
  <c r="C193" i="1"/>
  <c r="J193" i="1" s="1"/>
  <c r="B193" i="1" s="1"/>
  <c r="K193" i="1" s="1"/>
  <c r="C193" i="1" a="1"/>
  <c r="C192" i="1"/>
  <c r="G192" i="1" s="1"/>
  <c r="C192" i="1" a="1"/>
  <c r="I191" i="1"/>
  <c r="H191" i="1"/>
  <c r="G191" i="1"/>
  <c r="F191" i="1"/>
  <c r="E191" i="1"/>
  <c r="C191" i="1"/>
  <c r="M191" i="1" s="1"/>
  <c r="R191" i="1" s="1"/>
  <c r="C191" i="1" a="1"/>
  <c r="C190" i="1" a="1"/>
  <c r="C190" i="1" s="1"/>
  <c r="C189" i="1" a="1"/>
  <c r="C189" i="1" s="1"/>
  <c r="C188" i="1" a="1"/>
  <c r="C188" i="1" s="1"/>
  <c r="C187" i="1" a="1"/>
  <c r="C187" i="1" s="1"/>
  <c r="C186" i="1" a="1"/>
  <c r="C186" i="1" s="1"/>
  <c r="C185" i="1"/>
  <c r="J185" i="1" s="1"/>
  <c r="B185" i="1" s="1"/>
  <c r="K185" i="1" s="1"/>
  <c r="C185" i="1" a="1"/>
  <c r="C184" i="1"/>
  <c r="G184" i="1" s="1"/>
  <c r="C184" i="1" a="1"/>
  <c r="C183" i="1" a="1"/>
  <c r="C183" i="1" s="1"/>
  <c r="C182" i="1" a="1"/>
  <c r="C182" i="1" s="1"/>
  <c r="C181" i="1" a="1"/>
  <c r="C181" i="1" s="1"/>
  <c r="C180" i="1" a="1"/>
  <c r="C180" i="1" s="1"/>
  <c r="C179" i="1" a="1"/>
  <c r="C179" i="1" s="1"/>
  <c r="C178" i="1" a="1"/>
  <c r="C178" i="1" s="1"/>
  <c r="C177" i="1"/>
  <c r="J177" i="1" s="1"/>
  <c r="B177" i="1" s="1"/>
  <c r="K177" i="1" s="1"/>
  <c r="C177" i="1" a="1"/>
  <c r="C176" i="1"/>
  <c r="G176" i="1" s="1"/>
  <c r="C176" i="1" a="1"/>
  <c r="C175" i="1" a="1"/>
  <c r="C175" i="1" s="1"/>
  <c r="C174" i="1" a="1"/>
  <c r="C174" i="1" s="1"/>
  <c r="C173" i="1" a="1"/>
  <c r="C173" i="1" s="1"/>
  <c r="C172" i="1" a="1"/>
  <c r="C172" i="1" s="1"/>
  <c r="C171" i="1" a="1"/>
  <c r="C171" i="1" s="1"/>
  <c r="C170" i="1" a="1"/>
  <c r="C170" i="1" s="1"/>
  <c r="C169" i="1"/>
  <c r="J169" i="1" s="1"/>
  <c r="B169" i="1" s="1"/>
  <c r="K169" i="1" s="1"/>
  <c r="C169" i="1" a="1"/>
  <c r="H168" i="1"/>
  <c r="C168" i="1"/>
  <c r="G168" i="1" s="1"/>
  <c r="C168" i="1" a="1"/>
  <c r="R167" i="1"/>
  <c r="M167" i="1"/>
  <c r="I167" i="1"/>
  <c r="H167" i="1"/>
  <c r="G167" i="1"/>
  <c r="F167" i="1"/>
  <c r="E167" i="1"/>
  <c r="D167" i="1"/>
  <c r="C167" i="1"/>
  <c r="J167" i="1" s="1"/>
  <c r="B167" i="1" s="1"/>
  <c r="K167" i="1" s="1"/>
  <c r="C167" i="1" a="1"/>
  <c r="C166" i="1" a="1"/>
  <c r="C166" i="1" s="1"/>
  <c r="C165" i="1" a="1"/>
  <c r="C165" i="1" s="1"/>
  <c r="C164" i="1" a="1"/>
  <c r="C164" i="1" s="1"/>
  <c r="C163" i="1" a="1"/>
  <c r="C163" i="1" s="1"/>
  <c r="C162" i="1" a="1"/>
  <c r="C162" i="1" s="1"/>
  <c r="C161" i="1"/>
  <c r="J161" i="1" s="1"/>
  <c r="B161" i="1" s="1"/>
  <c r="K161" i="1" s="1"/>
  <c r="C161" i="1" a="1"/>
  <c r="C160" i="1"/>
  <c r="G160" i="1" s="1"/>
  <c r="C160" i="1" a="1"/>
  <c r="C159" i="1" a="1"/>
  <c r="C159" i="1" s="1"/>
  <c r="C158" i="1" a="1"/>
  <c r="C158" i="1" s="1"/>
  <c r="C157" i="1" a="1"/>
  <c r="C157" i="1" s="1"/>
  <c r="C156" i="1" a="1"/>
  <c r="C156" i="1" s="1"/>
  <c r="C155" i="1" a="1"/>
  <c r="C155" i="1" s="1"/>
  <c r="C154" i="1" a="1"/>
  <c r="C154" i="1" s="1"/>
  <c r="C153" i="1"/>
  <c r="J153" i="1" s="1"/>
  <c r="B153" i="1" s="1"/>
  <c r="K153" i="1" s="1"/>
  <c r="C153" i="1" a="1"/>
  <c r="H152" i="1"/>
  <c r="C152" i="1"/>
  <c r="G152" i="1" s="1"/>
  <c r="C152" i="1" a="1"/>
  <c r="C151" i="1" a="1"/>
  <c r="C151" i="1" s="1"/>
  <c r="C150" i="1" a="1"/>
  <c r="C150" i="1" s="1"/>
  <c r="C149" i="1" a="1"/>
  <c r="C149" i="1" s="1"/>
  <c r="C148" i="1" a="1"/>
  <c r="C148" i="1" s="1"/>
  <c r="C147" i="1" a="1"/>
  <c r="C147" i="1" s="1"/>
  <c r="C146" i="1" a="1"/>
  <c r="C146" i="1" s="1"/>
  <c r="C145" i="1"/>
  <c r="J145" i="1" s="1"/>
  <c r="B145" i="1" s="1"/>
  <c r="K145" i="1" s="1"/>
  <c r="C145" i="1" a="1"/>
  <c r="C144" i="1"/>
  <c r="G144" i="1" s="1"/>
  <c r="C144" i="1" a="1"/>
  <c r="I143" i="1"/>
  <c r="H143" i="1"/>
  <c r="G143" i="1"/>
  <c r="F143" i="1"/>
  <c r="E143" i="1"/>
  <c r="C143" i="1"/>
  <c r="M143" i="1" s="1"/>
  <c r="R143" i="1" s="1"/>
  <c r="C143" i="1" a="1"/>
  <c r="C142" i="1" a="1"/>
  <c r="C142" i="1" s="1"/>
  <c r="C141" i="1" a="1"/>
  <c r="C141" i="1" s="1"/>
  <c r="C140" i="1" a="1"/>
  <c r="C140" i="1" s="1"/>
  <c r="C139" i="1" a="1"/>
  <c r="C139" i="1" s="1"/>
  <c r="C138" i="1" a="1"/>
  <c r="C138" i="1" s="1"/>
  <c r="C137" i="1"/>
  <c r="J137" i="1" s="1"/>
  <c r="B137" i="1" s="1"/>
  <c r="K137" i="1" s="1"/>
  <c r="C137" i="1" a="1"/>
  <c r="C136" i="1"/>
  <c r="G136" i="1" s="1"/>
  <c r="C136" i="1" a="1"/>
  <c r="I135" i="1"/>
  <c r="H135" i="1"/>
  <c r="G135" i="1"/>
  <c r="F135" i="1"/>
  <c r="E135" i="1"/>
  <c r="C135" i="1"/>
  <c r="M135" i="1" s="1"/>
  <c r="R135" i="1" s="1"/>
  <c r="C135" i="1" a="1"/>
  <c r="C134" i="1" a="1"/>
  <c r="C134" i="1" s="1"/>
  <c r="C133" i="1" a="1"/>
  <c r="C133" i="1" s="1"/>
  <c r="C132" i="1" a="1"/>
  <c r="C132" i="1" s="1"/>
  <c r="C131" i="1" a="1"/>
  <c r="C131" i="1" s="1"/>
  <c r="C130" i="1" a="1"/>
  <c r="C130" i="1" s="1"/>
  <c r="C129" i="1"/>
  <c r="J129" i="1" s="1"/>
  <c r="B129" i="1" s="1"/>
  <c r="K129" i="1" s="1"/>
  <c r="C129" i="1" a="1"/>
  <c r="C128" i="1"/>
  <c r="G128" i="1" s="1"/>
  <c r="C128" i="1" a="1"/>
  <c r="I127" i="1"/>
  <c r="H127" i="1"/>
  <c r="G127" i="1"/>
  <c r="F127" i="1"/>
  <c r="E127" i="1"/>
  <c r="C127" i="1"/>
  <c r="M127" i="1" s="1"/>
  <c r="R127" i="1" s="1"/>
  <c r="C127" i="1" a="1"/>
  <c r="C126" i="1" a="1"/>
  <c r="C126" i="1" s="1"/>
  <c r="C125" i="1" a="1"/>
  <c r="C125" i="1" s="1"/>
  <c r="C124" i="1" a="1"/>
  <c r="C124" i="1" s="1"/>
  <c r="C123" i="1" a="1"/>
  <c r="C123" i="1" s="1"/>
  <c r="C122" i="1" a="1"/>
  <c r="C122" i="1" s="1"/>
  <c r="C121" i="1"/>
  <c r="J121" i="1" s="1"/>
  <c r="B121" i="1" s="1"/>
  <c r="K121" i="1" s="1"/>
  <c r="C121" i="1" a="1"/>
  <c r="C120" i="1"/>
  <c r="G120" i="1" s="1"/>
  <c r="C120" i="1" a="1"/>
  <c r="I119" i="1"/>
  <c r="H119" i="1"/>
  <c r="G119" i="1"/>
  <c r="F119" i="1"/>
  <c r="E119" i="1"/>
  <c r="C119" i="1"/>
  <c r="M119" i="1" s="1"/>
  <c r="R119" i="1" s="1"/>
  <c r="C119" i="1" a="1"/>
  <c r="C118" i="1" a="1"/>
  <c r="C118" i="1" s="1"/>
  <c r="C117" i="1" a="1"/>
  <c r="C117" i="1" s="1"/>
  <c r="G116" i="1"/>
  <c r="C116" i="1" a="1"/>
  <c r="C116" i="1" s="1"/>
  <c r="M116" i="1" s="1"/>
  <c r="R116" i="1" s="1"/>
  <c r="M115" i="1"/>
  <c r="R115" i="1" s="1"/>
  <c r="D115" i="1"/>
  <c r="C115" i="1" a="1"/>
  <c r="C115" i="1" s="1"/>
  <c r="I114" i="1"/>
  <c r="C114" i="1" a="1"/>
  <c r="C114" i="1" s="1"/>
  <c r="G114" i="1" s="1"/>
  <c r="M113" i="1"/>
  <c r="R113" i="1" s="1"/>
  <c r="D113" i="1"/>
  <c r="C113" i="1"/>
  <c r="C113" i="1" a="1"/>
  <c r="H112" i="1"/>
  <c r="C112" i="1"/>
  <c r="C112" i="1" a="1"/>
  <c r="R111" i="1"/>
  <c r="I111" i="1"/>
  <c r="H111" i="1"/>
  <c r="G111" i="1"/>
  <c r="F111" i="1"/>
  <c r="E111" i="1"/>
  <c r="C111" i="1"/>
  <c r="M111" i="1" s="1"/>
  <c r="C111" i="1" a="1"/>
  <c r="C110" i="1" a="1"/>
  <c r="C110" i="1" s="1"/>
  <c r="H109" i="1"/>
  <c r="C109" i="1" a="1"/>
  <c r="C109" i="1" s="1"/>
  <c r="J109" i="1" s="1"/>
  <c r="B109" i="1" s="1"/>
  <c r="K109" i="1" s="1"/>
  <c r="C108" i="1" a="1"/>
  <c r="C108" i="1" s="1"/>
  <c r="C107" i="1" a="1"/>
  <c r="C107" i="1" s="1"/>
  <c r="M107" i="1" s="1"/>
  <c r="R107" i="1" s="1"/>
  <c r="M106" i="1"/>
  <c r="R106" i="1" s="1"/>
  <c r="G106" i="1"/>
  <c r="C106" i="1" a="1"/>
  <c r="C106" i="1" s="1"/>
  <c r="I106" i="1" s="1"/>
  <c r="G105" i="1"/>
  <c r="F105" i="1"/>
  <c r="C105" i="1"/>
  <c r="M105" i="1" s="1"/>
  <c r="R105" i="1" s="1"/>
  <c r="C105" i="1" a="1"/>
  <c r="M104" i="1"/>
  <c r="R104" i="1" s="1"/>
  <c r="C104" i="1"/>
  <c r="C104" i="1" a="1"/>
  <c r="C103" i="1"/>
  <c r="C103" i="1" a="1"/>
  <c r="C102" i="1" a="1"/>
  <c r="C102" i="1" s="1"/>
  <c r="I101" i="1"/>
  <c r="G101" i="1"/>
  <c r="C101" i="1"/>
  <c r="J101" i="1" s="1"/>
  <c r="B101" i="1" s="1"/>
  <c r="K101" i="1" s="1"/>
  <c r="C101" i="1" a="1"/>
  <c r="C100" i="1" a="1"/>
  <c r="C100" i="1" s="1"/>
  <c r="I99" i="1"/>
  <c r="G99" i="1"/>
  <c r="C99" i="1"/>
  <c r="F99" i="1" s="1"/>
  <c r="C99" i="1" a="1"/>
  <c r="C98" i="1" a="1"/>
  <c r="C98" i="1" s="1"/>
  <c r="C97" i="1"/>
  <c r="I97" i="1" s="1"/>
  <c r="C97" i="1" a="1"/>
  <c r="C96" i="1" a="1"/>
  <c r="C96" i="1" s="1"/>
  <c r="G95" i="1"/>
  <c r="E95" i="1"/>
  <c r="C95" i="1"/>
  <c r="J95" i="1" s="1"/>
  <c r="B95" i="1" s="1"/>
  <c r="K95" i="1" s="1"/>
  <c r="C95" i="1" a="1"/>
  <c r="C94" i="1" a="1"/>
  <c r="C94" i="1" s="1"/>
  <c r="I93" i="1"/>
  <c r="G93" i="1"/>
  <c r="E93" i="1"/>
  <c r="C93" i="1"/>
  <c r="M93" i="1" s="1"/>
  <c r="R93" i="1" s="1"/>
  <c r="C93" i="1" a="1"/>
  <c r="C92" i="1" a="1"/>
  <c r="C92" i="1" s="1"/>
  <c r="I91" i="1"/>
  <c r="G91" i="1"/>
  <c r="C91" i="1"/>
  <c r="F91" i="1" s="1"/>
  <c r="C91" i="1" a="1"/>
  <c r="C90" i="1" a="1"/>
  <c r="C90" i="1" s="1"/>
  <c r="C89" i="1"/>
  <c r="I89" i="1" s="1"/>
  <c r="C89" i="1" a="1"/>
  <c r="C88" i="1" a="1"/>
  <c r="C88" i="1" s="1"/>
  <c r="G87" i="1"/>
  <c r="E87" i="1"/>
  <c r="C87" i="1"/>
  <c r="J87" i="1" s="1"/>
  <c r="B87" i="1" s="1"/>
  <c r="K87" i="1" s="1"/>
  <c r="C87" i="1" a="1"/>
  <c r="C86" i="1" a="1"/>
  <c r="C86" i="1" s="1"/>
  <c r="I85" i="1"/>
  <c r="G85" i="1"/>
  <c r="E85" i="1"/>
  <c r="C85" i="1"/>
  <c r="M85" i="1" s="1"/>
  <c r="R85" i="1" s="1"/>
  <c r="C85" i="1" a="1"/>
  <c r="C84" i="1" a="1"/>
  <c r="C84" i="1" s="1"/>
  <c r="I83" i="1"/>
  <c r="G83" i="1"/>
  <c r="C83" i="1"/>
  <c r="F83" i="1" s="1"/>
  <c r="C83" i="1" a="1"/>
  <c r="C82" i="1" a="1"/>
  <c r="C82" i="1" s="1"/>
  <c r="C81" i="1"/>
  <c r="I81" i="1" s="1"/>
  <c r="C81" i="1" a="1"/>
  <c r="C80" i="1" a="1"/>
  <c r="C80" i="1" s="1"/>
  <c r="G79" i="1"/>
  <c r="E79" i="1"/>
  <c r="C79" i="1"/>
  <c r="J79" i="1" s="1"/>
  <c r="B79" i="1" s="1"/>
  <c r="K79" i="1" s="1"/>
  <c r="C79" i="1" a="1"/>
  <c r="C78" i="1" a="1"/>
  <c r="C78" i="1" s="1"/>
  <c r="I77" i="1"/>
  <c r="G77" i="1"/>
  <c r="E77" i="1"/>
  <c r="C77" i="1"/>
  <c r="M77" i="1" s="1"/>
  <c r="R77" i="1" s="1"/>
  <c r="C77" i="1" a="1"/>
  <c r="C76" i="1" a="1"/>
  <c r="C76" i="1" s="1"/>
  <c r="I75" i="1"/>
  <c r="G75" i="1"/>
  <c r="C75" i="1"/>
  <c r="F75" i="1" s="1"/>
  <c r="C75" i="1" a="1"/>
  <c r="C74" i="1" a="1"/>
  <c r="C74" i="1" s="1"/>
  <c r="C73" i="1"/>
  <c r="I73" i="1" s="1"/>
  <c r="C73" i="1" a="1"/>
  <c r="C72" i="1" a="1"/>
  <c r="C72" i="1" s="1"/>
  <c r="E71" i="1"/>
  <c r="C71" i="1"/>
  <c r="J71" i="1" s="1"/>
  <c r="B71" i="1" s="1"/>
  <c r="K71" i="1" s="1"/>
  <c r="C71" i="1" a="1"/>
  <c r="C70" i="1" a="1"/>
  <c r="C70" i="1" s="1"/>
  <c r="I69" i="1"/>
  <c r="G69" i="1"/>
  <c r="E69" i="1"/>
  <c r="C69" i="1"/>
  <c r="M69" i="1" s="1"/>
  <c r="R69" i="1" s="1"/>
  <c r="C69" i="1" a="1"/>
  <c r="C68" i="1" a="1"/>
  <c r="C68" i="1" s="1"/>
  <c r="I67" i="1"/>
  <c r="G67" i="1"/>
  <c r="C67" i="1"/>
  <c r="F67" i="1" s="1"/>
  <c r="C67" i="1" a="1"/>
  <c r="C66" i="1" a="1"/>
  <c r="C66" i="1" s="1"/>
  <c r="C65" i="1"/>
  <c r="I65" i="1" s="1"/>
  <c r="C65" i="1" a="1"/>
  <c r="C64" i="1" a="1"/>
  <c r="C64" i="1" s="1"/>
  <c r="E63" i="1"/>
  <c r="C63" i="1"/>
  <c r="J63" i="1" s="1"/>
  <c r="B63" i="1" s="1"/>
  <c r="K63" i="1" s="1"/>
  <c r="C63" i="1" a="1"/>
  <c r="C62" i="1" a="1"/>
  <c r="C62" i="1" s="1"/>
  <c r="I61" i="1"/>
  <c r="G61" i="1"/>
  <c r="E61" i="1"/>
  <c r="C61" i="1"/>
  <c r="M61" i="1" s="1"/>
  <c r="R61" i="1" s="1"/>
  <c r="C61" i="1" a="1"/>
  <c r="C60" i="1" a="1"/>
  <c r="C60" i="1" s="1"/>
  <c r="I59" i="1"/>
  <c r="G59" i="1"/>
  <c r="C59" i="1"/>
  <c r="F59" i="1" s="1"/>
  <c r="C59" i="1" a="1"/>
  <c r="C58" i="1" a="1"/>
  <c r="C58" i="1" s="1"/>
  <c r="C57" i="1"/>
  <c r="I57" i="1" s="1"/>
  <c r="C57" i="1" a="1"/>
  <c r="C56" i="1" a="1"/>
  <c r="C56" i="1" s="1"/>
  <c r="E55" i="1"/>
  <c r="C55" i="1"/>
  <c r="J55" i="1" s="1"/>
  <c r="B55" i="1" s="1"/>
  <c r="K55" i="1" s="1"/>
  <c r="C55" i="1" a="1"/>
  <c r="C54" i="1" a="1"/>
  <c r="C54" i="1" s="1"/>
  <c r="I53" i="1"/>
  <c r="G53" i="1"/>
  <c r="E53" i="1"/>
  <c r="C53" i="1"/>
  <c r="M53" i="1" s="1"/>
  <c r="R53" i="1" s="1"/>
  <c r="C53" i="1" a="1"/>
  <c r="C52" i="1" a="1"/>
  <c r="C52" i="1" s="1"/>
  <c r="I51" i="1"/>
  <c r="G51" i="1"/>
  <c r="C51" i="1"/>
  <c r="F51" i="1" s="1"/>
  <c r="C51" i="1" a="1"/>
  <c r="C50" i="1" a="1"/>
  <c r="C50" i="1" s="1"/>
  <c r="C49" i="1"/>
  <c r="I49" i="1" s="1"/>
  <c r="C49" i="1" a="1"/>
  <c r="C48" i="1" a="1"/>
  <c r="C48" i="1" s="1"/>
  <c r="E47" i="1"/>
  <c r="C47" i="1"/>
  <c r="J47" i="1" s="1"/>
  <c r="B47" i="1" s="1"/>
  <c r="K47" i="1" s="1"/>
  <c r="C47" i="1" a="1"/>
  <c r="C46" i="1" a="1"/>
  <c r="C46" i="1" s="1"/>
  <c r="I45" i="1"/>
  <c r="G45" i="1"/>
  <c r="E45" i="1"/>
  <c r="C45" i="1"/>
  <c r="M45" i="1" s="1"/>
  <c r="R45" i="1" s="1"/>
  <c r="C45" i="1" a="1"/>
  <c r="C44" i="1" a="1"/>
  <c r="C44" i="1" s="1"/>
  <c r="I43" i="1"/>
  <c r="G43" i="1"/>
  <c r="C43" i="1"/>
  <c r="F43" i="1" s="1"/>
  <c r="C43" i="1" a="1"/>
  <c r="C42" i="1" a="1"/>
  <c r="C42" i="1" s="1"/>
  <c r="C41" i="1"/>
  <c r="I41" i="1" s="1"/>
  <c r="C41" i="1" a="1"/>
  <c r="C40" i="1" a="1"/>
  <c r="C40" i="1" s="1"/>
  <c r="E39" i="1"/>
  <c r="C39" i="1"/>
  <c r="J39" i="1" s="1"/>
  <c r="B39" i="1" s="1"/>
  <c r="K39" i="1" s="1"/>
  <c r="C39" i="1" a="1"/>
  <c r="C38" i="1" a="1"/>
  <c r="C38" i="1" s="1"/>
  <c r="I37" i="1"/>
  <c r="G37" i="1"/>
  <c r="E37" i="1"/>
  <c r="C37" i="1"/>
  <c r="M37" i="1" s="1"/>
  <c r="R37" i="1" s="1"/>
  <c r="C37" i="1" a="1"/>
  <c r="C36" i="1" a="1"/>
  <c r="C36" i="1" s="1"/>
  <c r="I35" i="1"/>
  <c r="G35" i="1"/>
  <c r="C35" i="1"/>
  <c r="F35" i="1" s="1"/>
  <c r="C35" i="1" a="1"/>
  <c r="C34" i="1" a="1"/>
  <c r="C34" i="1" s="1"/>
  <c r="C33" i="1"/>
  <c r="I33" i="1" s="1"/>
  <c r="C33" i="1" a="1"/>
  <c r="C32" i="1" a="1"/>
  <c r="C32" i="1" s="1"/>
  <c r="E31" i="1"/>
  <c r="C31" i="1"/>
  <c r="J31" i="1" s="1"/>
  <c r="B31" i="1" s="1"/>
  <c r="K31" i="1" s="1"/>
  <c r="C31" i="1" a="1"/>
  <c r="C30" i="1" a="1"/>
  <c r="C30" i="1" s="1"/>
  <c r="I29" i="1"/>
  <c r="G29" i="1"/>
  <c r="E29" i="1"/>
  <c r="C29" i="1"/>
  <c r="M29" i="1" s="1"/>
  <c r="R29" i="1" s="1"/>
  <c r="C29" i="1" a="1"/>
  <c r="C28" i="1" a="1"/>
  <c r="C28" i="1" s="1"/>
  <c r="I27" i="1"/>
  <c r="G27" i="1"/>
  <c r="C27" i="1"/>
  <c r="F27" i="1" s="1"/>
  <c r="C27" i="1" a="1"/>
  <c r="C26" i="1" a="1"/>
  <c r="C26" i="1" s="1"/>
  <c r="C25" i="1"/>
  <c r="I25" i="1" s="1"/>
  <c r="C25" i="1" a="1"/>
  <c r="C24" i="1" a="1"/>
  <c r="C24" i="1" s="1"/>
  <c r="E23" i="1"/>
  <c r="C23" i="1"/>
  <c r="J23" i="1" s="1"/>
  <c r="B23" i="1" s="1"/>
  <c r="K23" i="1" s="1"/>
  <c r="C23" i="1" a="1"/>
  <c r="C22" i="1" a="1"/>
  <c r="C22" i="1" s="1"/>
  <c r="I21" i="1"/>
  <c r="G21" i="1"/>
  <c r="E21" i="1"/>
  <c r="C21" i="1"/>
  <c r="M21" i="1" s="1"/>
  <c r="R21" i="1" s="1"/>
  <c r="C21" i="1" a="1"/>
  <c r="C20" i="1" a="1"/>
  <c r="C20" i="1" s="1"/>
  <c r="I19" i="1"/>
  <c r="G19" i="1"/>
  <c r="C19" i="1"/>
  <c r="F19" i="1" s="1"/>
  <c r="C19" i="1" a="1"/>
  <c r="C18" i="1" a="1"/>
  <c r="C18" i="1" s="1"/>
  <c r="C17" i="1"/>
  <c r="H17" i="1" s="1"/>
  <c r="C17" i="1" a="1"/>
  <c r="C16" i="1" a="1"/>
  <c r="C16" i="1" s="1"/>
  <c r="E15" i="1"/>
  <c r="C15" i="1"/>
  <c r="J15" i="1" s="1"/>
  <c r="B15" i="1" s="1"/>
  <c r="K15" i="1" s="1"/>
  <c r="C15" i="1" a="1"/>
  <c r="C14" i="1" a="1"/>
  <c r="C14" i="1" s="1"/>
  <c r="E7" i="1"/>
  <c r="E16" i="1" l="1"/>
  <c r="M16" i="1"/>
  <c r="R16" i="1" s="1"/>
  <c r="D16" i="1"/>
  <c r="H16" i="1"/>
  <c r="J16" i="1"/>
  <c r="B16" i="1" s="1"/>
  <c r="K16" i="1" s="1"/>
  <c r="I16" i="1"/>
  <c r="G16" i="1"/>
  <c r="F16" i="1"/>
  <c r="J20" i="1"/>
  <c r="B20" i="1" s="1"/>
  <c r="K20" i="1" s="1"/>
  <c r="I20" i="1"/>
  <c r="H20" i="1"/>
  <c r="M20" i="1"/>
  <c r="R20" i="1" s="1"/>
  <c r="D20" i="1"/>
  <c r="G20" i="1"/>
  <c r="F20" i="1"/>
  <c r="E20" i="1"/>
  <c r="H30" i="1"/>
  <c r="G30" i="1"/>
  <c r="J30" i="1"/>
  <c r="B30" i="1" s="1"/>
  <c r="K30" i="1" s="1"/>
  <c r="F30" i="1"/>
  <c r="E30" i="1"/>
  <c r="M30" i="1"/>
  <c r="R30" i="1" s="1"/>
  <c r="D30" i="1"/>
  <c r="I30" i="1"/>
  <c r="F48" i="1"/>
  <c r="E48" i="1"/>
  <c r="M48" i="1"/>
  <c r="R48" i="1" s="1"/>
  <c r="D48" i="1"/>
  <c r="J48" i="1"/>
  <c r="B48" i="1" s="1"/>
  <c r="K48" i="1" s="1"/>
  <c r="H48" i="1"/>
  <c r="I48" i="1"/>
  <c r="G48" i="1"/>
  <c r="J52" i="1"/>
  <c r="B52" i="1" s="1"/>
  <c r="K52" i="1" s="1"/>
  <c r="I52" i="1"/>
  <c r="H52" i="1"/>
  <c r="G52" i="1"/>
  <c r="F52" i="1"/>
  <c r="M52" i="1"/>
  <c r="R52" i="1" s="1"/>
  <c r="D52" i="1"/>
  <c r="E52" i="1"/>
  <c r="H62" i="1"/>
  <c r="G62" i="1"/>
  <c r="F62" i="1"/>
  <c r="J62" i="1"/>
  <c r="B62" i="1" s="1"/>
  <c r="K62" i="1" s="1"/>
  <c r="E62" i="1"/>
  <c r="M62" i="1"/>
  <c r="R62" i="1" s="1"/>
  <c r="D62" i="1"/>
  <c r="I62" i="1"/>
  <c r="M42" i="1"/>
  <c r="R42" i="1" s="1"/>
  <c r="D42" i="1"/>
  <c r="J42" i="1"/>
  <c r="B42" i="1" s="1"/>
  <c r="K42" i="1" s="1"/>
  <c r="I42" i="1"/>
  <c r="H42" i="1"/>
  <c r="G42" i="1"/>
  <c r="F42" i="1"/>
  <c r="E42" i="1"/>
  <c r="M74" i="1"/>
  <c r="R74" i="1" s="1"/>
  <c r="D74" i="1"/>
  <c r="J74" i="1"/>
  <c r="B74" i="1" s="1"/>
  <c r="K74" i="1" s="1"/>
  <c r="F74" i="1"/>
  <c r="I74" i="1"/>
  <c r="H74" i="1"/>
  <c r="G74" i="1"/>
  <c r="E74" i="1"/>
  <c r="F80" i="1"/>
  <c r="E80" i="1"/>
  <c r="M80" i="1"/>
  <c r="R80" i="1" s="1"/>
  <c r="D80" i="1"/>
  <c r="H80" i="1"/>
  <c r="J80" i="1"/>
  <c r="B80" i="1" s="1"/>
  <c r="K80" i="1" s="1"/>
  <c r="I80" i="1"/>
  <c r="G80" i="1"/>
  <c r="J84" i="1"/>
  <c r="B84" i="1" s="1"/>
  <c r="K84" i="1" s="1"/>
  <c r="I84" i="1"/>
  <c r="D84" i="1"/>
  <c r="H84" i="1"/>
  <c r="M84" i="1"/>
  <c r="R84" i="1" s="1"/>
  <c r="G84" i="1"/>
  <c r="F84" i="1"/>
  <c r="E84" i="1"/>
  <c r="H38" i="1"/>
  <c r="G38" i="1"/>
  <c r="F38" i="1"/>
  <c r="E38" i="1"/>
  <c r="M38" i="1"/>
  <c r="R38" i="1" s="1"/>
  <c r="D38" i="1"/>
  <c r="J38" i="1"/>
  <c r="B38" i="1" s="1"/>
  <c r="K38" i="1" s="1"/>
  <c r="I38" i="1"/>
  <c r="F56" i="1"/>
  <c r="E56" i="1"/>
  <c r="M56" i="1"/>
  <c r="R56" i="1" s="1"/>
  <c r="D56" i="1"/>
  <c r="J56" i="1"/>
  <c r="B56" i="1" s="1"/>
  <c r="K56" i="1" s="1"/>
  <c r="H56" i="1"/>
  <c r="I56" i="1"/>
  <c r="G56" i="1"/>
  <c r="H70" i="1"/>
  <c r="G70" i="1"/>
  <c r="F70" i="1"/>
  <c r="E70" i="1"/>
  <c r="M70" i="1"/>
  <c r="R70" i="1" s="1"/>
  <c r="D70" i="1"/>
  <c r="I70" i="1"/>
  <c r="J70" i="1"/>
  <c r="B70" i="1" s="1"/>
  <c r="K70" i="1" s="1"/>
  <c r="H94" i="1"/>
  <c r="G94" i="1"/>
  <c r="F94" i="1"/>
  <c r="E94" i="1"/>
  <c r="M94" i="1"/>
  <c r="R94" i="1" s="1"/>
  <c r="D94" i="1"/>
  <c r="J94" i="1"/>
  <c r="B94" i="1" s="1"/>
  <c r="K94" i="1" s="1"/>
  <c r="I94" i="1"/>
  <c r="M98" i="1"/>
  <c r="R98" i="1" s="1"/>
  <c r="D98" i="1"/>
  <c r="J98" i="1"/>
  <c r="B98" i="1" s="1"/>
  <c r="K98" i="1" s="1"/>
  <c r="I98" i="1"/>
  <c r="H98" i="1"/>
  <c r="G98" i="1"/>
  <c r="F98" i="1"/>
  <c r="E98" i="1"/>
  <c r="F24" i="1"/>
  <c r="E24" i="1"/>
  <c r="M24" i="1"/>
  <c r="R24" i="1" s="1"/>
  <c r="D24" i="1"/>
  <c r="H24" i="1"/>
  <c r="J24" i="1"/>
  <c r="B24" i="1" s="1"/>
  <c r="K24" i="1" s="1"/>
  <c r="I24" i="1"/>
  <c r="G24" i="1"/>
  <c r="J28" i="1"/>
  <c r="B28" i="1" s="1"/>
  <c r="K28" i="1" s="1"/>
  <c r="I28" i="1"/>
  <c r="H28" i="1"/>
  <c r="M28" i="1"/>
  <c r="R28" i="1" s="1"/>
  <c r="G28" i="1"/>
  <c r="D28" i="1"/>
  <c r="F28" i="1"/>
  <c r="E28" i="1"/>
  <c r="J60" i="1"/>
  <c r="B60" i="1" s="1"/>
  <c r="K60" i="1" s="1"/>
  <c r="M60" i="1"/>
  <c r="R60" i="1" s="1"/>
  <c r="D60" i="1"/>
  <c r="I60" i="1"/>
  <c r="H60" i="1"/>
  <c r="G60" i="1"/>
  <c r="F60" i="1"/>
  <c r="E60" i="1"/>
  <c r="J18" i="1"/>
  <c r="B18" i="1" s="1"/>
  <c r="K18" i="1" s="1"/>
  <c r="F18" i="1"/>
  <c r="I18" i="1"/>
  <c r="H18" i="1"/>
  <c r="G18" i="1"/>
  <c r="E18" i="1"/>
  <c r="M18" i="1"/>
  <c r="R18" i="1" s="1"/>
  <c r="D18" i="1"/>
  <c r="M50" i="1"/>
  <c r="R50" i="1" s="1"/>
  <c r="D50" i="1"/>
  <c r="J50" i="1"/>
  <c r="B50" i="1" s="1"/>
  <c r="K50" i="1" s="1"/>
  <c r="I50" i="1"/>
  <c r="H50" i="1"/>
  <c r="F50" i="1"/>
  <c r="G50" i="1"/>
  <c r="E50" i="1"/>
  <c r="G14" i="1"/>
  <c r="M14" i="1"/>
  <c r="R14" i="1" s="1"/>
  <c r="F14" i="1"/>
  <c r="D14" i="1"/>
  <c r="E14" i="1"/>
  <c r="I14" i="1"/>
  <c r="H14" i="1"/>
  <c r="J14" i="1"/>
  <c r="B14" i="1" s="1"/>
  <c r="F32" i="1"/>
  <c r="E32" i="1"/>
  <c r="M32" i="1"/>
  <c r="R32" i="1" s="1"/>
  <c r="D32" i="1"/>
  <c r="H32" i="1"/>
  <c r="J32" i="1"/>
  <c r="B32" i="1" s="1"/>
  <c r="K32" i="1" s="1"/>
  <c r="I32" i="1"/>
  <c r="G32" i="1"/>
  <c r="J36" i="1"/>
  <c r="B36" i="1" s="1"/>
  <c r="K36" i="1" s="1"/>
  <c r="I36" i="1"/>
  <c r="H36" i="1"/>
  <c r="G36" i="1"/>
  <c r="M36" i="1"/>
  <c r="R36" i="1" s="1"/>
  <c r="D36" i="1"/>
  <c r="F36" i="1"/>
  <c r="E36" i="1"/>
  <c r="H78" i="1"/>
  <c r="G78" i="1"/>
  <c r="F78" i="1"/>
  <c r="E78" i="1"/>
  <c r="M78" i="1"/>
  <c r="R78" i="1" s="1"/>
  <c r="D78" i="1"/>
  <c r="I78" i="1"/>
  <c r="J78" i="1"/>
  <c r="B78" i="1" s="1"/>
  <c r="K78" i="1" s="1"/>
  <c r="M82" i="1"/>
  <c r="R82" i="1" s="1"/>
  <c r="D82" i="1"/>
  <c r="J82" i="1"/>
  <c r="B82" i="1" s="1"/>
  <c r="K82" i="1" s="1"/>
  <c r="F82" i="1"/>
  <c r="I82" i="1"/>
  <c r="H82" i="1"/>
  <c r="G82" i="1"/>
  <c r="E82" i="1"/>
  <c r="F88" i="1"/>
  <c r="E88" i="1"/>
  <c r="M88" i="1"/>
  <c r="R88" i="1" s="1"/>
  <c r="D88" i="1"/>
  <c r="J88" i="1"/>
  <c r="B88" i="1" s="1"/>
  <c r="K88" i="1" s="1"/>
  <c r="I88" i="1"/>
  <c r="G88" i="1"/>
  <c r="H88" i="1"/>
  <c r="I102" i="1"/>
  <c r="G102" i="1"/>
  <c r="D102" i="1"/>
  <c r="M102" i="1"/>
  <c r="R102" i="1" s="1"/>
  <c r="J102" i="1"/>
  <c r="B102" i="1" s="1"/>
  <c r="K102" i="1" s="1"/>
  <c r="H102" i="1"/>
  <c r="F102" i="1"/>
  <c r="E102" i="1"/>
  <c r="H46" i="1"/>
  <c r="G46" i="1"/>
  <c r="F46" i="1"/>
  <c r="E46" i="1"/>
  <c r="M46" i="1"/>
  <c r="R46" i="1" s="1"/>
  <c r="D46" i="1"/>
  <c r="J46" i="1"/>
  <c r="B46" i="1" s="1"/>
  <c r="K46" i="1" s="1"/>
  <c r="I46" i="1"/>
  <c r="F64" i="1"/>
  <c r="H64" i="1"/>
  <c r="E64" i="1"/>
  <c r="M64" i="1"/>
  <c r="R64" i="1" s="1"/>
  <c r="D64" i="1"/>
  <c r="J64" i="1"/>
  <c r="B64" i="1" s="1"/>
  <c r="K64" i="1" s="1"/>
  <c r="I64" i="1"/>
  <c r="G64" i="1"/>
  <c r="J68" i="1"/>
  <c r="B68" i="1" s="1"/>
  <c r="K68" i="1" s="1"/>
  <c r="I68" i="1"/>
  <c r="H68" i="1"/>
  <c r="M68" i="1"/>
  <c r="R68" i="1" s="1"/>
  <c r="D68" i="1"/>
  <c r="G68" i="1"/>
  <c r="F68" i="1"/>
  <c r="E68" i="1"/>
  <c r="J92" i="1"/>
  <c r="B92" i="1" s="1"/>
  <c r="K92" i="1" s="1"/>
  <c r="M92" i="1"/>
  <c r="R92" i="1" s="1"/>
  <c r="I92" i="1"/>
  <c r="H92" i="1"/>
  <c r="G92" i="1"/>
  <c r="F92" i="1"/>
  <c r="E92" i="1"/>
  <c r="D92" i="1"/>
  <c r="M26" i="1"/>
  <c r="R26" i="1" s="1"/>
  <c r="D26" i="1"/>
  <c r="J26" i="1"/>
  <c r="B26" i="1" s="1"/>
  <c r="K26" i="1" s="1"/>
  <c r="F26" i="1"/>
  <c r="I26" i="1"/>
  <c r="H26" i="1"/>
  <c r="G26" i="1"/>
  <c r="E26" i="1"/>
  <c r="M58" i="1"/>
  <c r="R58" i="1" s="1"/>
  <c r="D58" i="1"/>
  <c r="J58" i="1"/>
  <c r="B58" i="1" s="1"/>
  <c r="K58" i="1" s="1"/>
  <c r="I58" i="1"/>
  <c r="H58" i="1"/>
  <c r="F58" i="1"/>
  <c r="G58" i="1"/>
  <c r="E58" i="1"/>
  <c r="I110" i="1"/>
  <c r="H110" i="1"/>
  <c r="G110" i="1"/>
  <c r="F110" i="1"/>
  <c r="M110" i="1"/>
  <c r="R110" i="1" s="1"/>
  <c r="D110" i="1"/>
  <c r="J110" i="1"/>
  <c r="B110" i="1" s="1"/>
  <c r="K110" i="1" s="1"/>
  <c r="E110" i="1"/>
  <c r="H54" i="1"/>
  <c r="J54" i="1"/>
  <c r="B54" i="1" s="1"/>
  <c r="K54" i="1" s="1"/>
  <c r="G54" i="1"/>
  <c r="F54" i="1"/>
  <c r="E54" i="1"/>
  <c r="M54" i="1"/>
  <c r="R54" i="1" s="1"/>
  <c r="D54" i="1"/>
  <c r="I54" i="1"/>
  <c r="F72" i="1"/>
  <c r="E72" i="1"/>
  <c r="M72" i="1"/>
  <c r="R72" i="1" s="1"/>
  <c r="D72" i="1"/>
  <c r="H72" i="1"/>
  <c r="J72" i="1"/>
  <c r="B72" i="1" s="1"/>
  <c r="K72" i="1" s="1"/>
  <c r="I72" i="1"/>
  <c r="G72" i="1"/>
  <c r="H22" i="1"/>
  <c r="G22" i="1"/>
  <c r="F22" i="1"/>
  <c r="E22" i="1"/>
  <c r="J22" i="1"/>
  <c r="B22" i="1" s="1"/>
  <c r="K22" i="1" s="1"/>
  <c r="M22" i="1"/>
  <c r="R22" i="1" s="1"/>
  <c r="D22" i="1"/>
  <c r="I22" i="1"/>
  <c r="F40" i="1"/>
  <c r="E40" i="1"/>
  <c r="M40" i="1"/>
  <c r="R40" i="1" s="1"/>
  <c r="D40" i="1"/>
  <c r="J40" i="1"/>
  <c r="B40" i="1" s="1"/>
  <c r="K40" i="1" s="1"/>
  <c r="I40" i="1"/>
  <c r="H40" i="1"/>
  <c r="G40" i="1"/>
  <c r="J44" i="1"/>
  <c r="B44" i="1" s="1"/>
  <c r="K44" i="1" s="1"/>
  <c r="I44" i="1"/>
  <c r="H44" i="1"/>
  <c r="G44" i="1"/>
  <c r="F44" i="1"/>
  <c r="E44" i="1"/>
  <c r="M44" i="1"/>
  <c r="R44" i="1" s="1"/>
  <c r="D44" i="1"/>
  <c r="J76" i="1"/>
  <c r="B76" i="1" s="1"/>
  <c r="K76" i="1" s="1"/>
  <c r="I76" i="1"/>
  <c r="H76" i="1"/>
  <c r="D76" i="1"/>
  <c r="G76" i="1"/>
  <c r="F76" i="1"/>
  <c r="E76" i="1"/>
  <c r="M76" i="1"/>
  <c r="R76" i="1" s="1"/>
  <c r="M34" i="1"/>
  <c r="R34" i="1" s="1"/>
  <c r="D34" i="1"/>
  <c r="J34" i="1"/>
  <c r="B34" i="1" s="1"/>
  <c r="K34" i="1" s="1"/>
  <c r="I34" i="1"/>
  <c r="F34" i="1"/>
  <c r="H34" i="1"/>
  <c r="G34" i="1"/>
  <c r="E34" i="1"/>
  <c r="M66" i="1"/>
  <c r="R66" i="1" s="1"/>
  <c r="D66" i="1"/>
  <c r="F66" i="1"/>
  <c r="J66" i="1"/>
  <c r="B66" i="1" s="1"/>
  <c r="K66" i="1" s="1"/>
  <c r="I66" i="1"/>
  <c r="H66" i="1"/>
  <c r="G66" i="1"/>
  <c r="E66" i="1"/>
  <c r="H86" i="1"/>
  <c r="G86" i="1"/>
  <c r="F86" i="1"/>
  <c r="E86" i="1"/>
  <c r="J86" i="1"/>
  <c r="B86" i="1" s="1"/>
  <c r="K86" i="1" s="1"/>
  <c r="M86" i="1"/>
  <c r="R86" i="1" s="1"/>
  <c r="D86" i="1"/>
  <c r="I86" i="1"/>
  <c r="M90" i="1"/>
  <c r="R90" i="1" s="1"/>
  <c r="D90" i="1"/>
  <c r="J90" i="1"/>
  <c r="B90" i="1" s="1"/>
  <c r="K90" i="1" s="1"/>
  <c r="I90" i="1"/>
  <c r="H90" i="1"/>
  <c r="G90" i="1"/>
  <c r="E90" i="1"/>
  <c r="F90" i="1"/>
  <c r="F96" i="1"/>
  <c r="E96" i="1"/>
  <c r="M96" i="1"/>
  <c r="R96" i="1" s="1"/>
  <c r="D96" i="1"/>
  <c r="J96" i="1"/>
  <c r="B96" i="1" s="1"/>
  <c r="K96" i="1" s="1"/>
  <c r="I96" i="1"/>
  <c r="G96" i="1"/>
  <c r="H96" i="1"/>
  <c r="J100" i="1"/>
  <c r="B100" i="1" s="1"/>
  <c r="K100" i="1" s="1"/>
  <c r="I100" i="1"/>
  <c r="M100" i="1"/>
  <c r="R100" i="1" s="1"/>
  <c r="H100" i="1"/>
  <c r="G100" i="1"/>
  <c r="D100" i="1"/>
  <c r="F100" i="1"/>
  <c r="E100" i="1"/>
  <c r="I17" i="1"/>
  <c r="D15" i="1"/>
  <c r="M15" i="1"/>
  <c r="R15" i="1" s="1"/>
  <c r="J17" i="1"/>
  <c r="B17" i="1" s="1"/>
  <c r="K17" i="1" s="1"/>
  <c r="H19" i="1"/>
  <c r="F21" i="1"/>
  <c r="D23" i="1"/>
  <c r="M23" i="1"/>
  <c r="R23" i="1" s="1"/>
  <c r="J25" i="1"/>
  <c r="B25" i="1" s="1"/>
  <c r="K25" i="1" s="1"/>
  <c r="H27" i="1"/>
  <c r="F29" i="1"/>
  <c r="D31" i="1"/>
  <c r="M31" i="1"/>
  <c r="R31" i="1" s="1"/>
  <c r="J33" i="1"/>
  <c r="B33" i="1" s="1"/>
  <c r="K33" i="1" s="1"/>
  <c r="H35" i="1"/>
  <c r="F37" i="1"/>
  <c r="D39" i="1"/>
  <c r="M39" i="1"/>
  <c r="R39" i="1" s="1"/>
  <c r="J41" i="1"/>
  <c r="B41" i="1" s="1"/>
  <c r="K41" i="1" s="1"/>
  <c r="H43" i="1"/>
  <c r="F45" i="1"/>
  <c r="D47" i="1"/>
  <c r="M47" i="1"/>
  <c r="R47" i="1" s="1"/>
  <c r="J49" i="1"/>
  <c r="B49" i="1" s="1"/>
  <c r="K49" i="1" s="1"/>
  <c r="H51" i="1"/>
  <c r="F53" i="1"/>
  <c r="D55" i="1"/>
  <c r="M55" i="1"/>
  <c r="R55" i="1" s="1"/>
  <c r="J57" i="1"/>
  <c r="B57" i="1" s="1"/>
  <c r="K57" i="1" s="1"/>
  <c r="H59" i="1"/>
  <c r="F61" i="1"/>
  <c r="D63" i="1"/>
  <c r="M63" i="1"/>
  <c r="R63" i="1" s="1"/>
  <c r="J65" i="1"/>
  <c r="B65" i="1" s="1"/>
  <c r="K65" i="1" s="1"/>
  <c r="H67" i="1"/>
  <c r="F69" i="1"/>
  <c r="D71" i="1"/>
  <c r="M71" i="1"/>
  <c r="R71" i="1" s="1"/>
  <c r="J73" i="1"/>
  <c r="B73" i="1" s="1"/>
  <c r="K73" i="1" s="1"/>
  <c r="H75" i="1"/>
  <c r="F77" i="1"/>
  <c r="D79" i="1"/>
  <c r="M79" i="1"/>
  <c r="R79" i="1" s="1"/>
  <c r="J81" i="1"/>
  <c r="B81" i="1" s="1"/>
  <c r="K81" i="1" s="1"/>
  <c r="H83" i="1"/>
  <c r="F85" i="1"/>
  <c r="D87" i="1"/>
  <c r="M87" i="1"/>
  <c r="R87" i="1" s="1"/>
  <c r="J89" i="1"/>
  <c r="B89" i="1" s="1"/>
  <c r="K89" i="1" s="1"/>
  <c r="H91" i="1"/>
  <c r="F93" i="1"/>
  <c r="D95" i="1"/>
  <c r="M95" i="1"/>
  <c r="R95" i="1" s="1"/>
  <c r="J97" i="1"/>
  <c r="B97" i="1" s="1"/>
  <c r="K97" i="1" s="1"/>
  <c r="H99" i="1"/>
  <c r="H101" i="1"/>
  <c r="I105" i="1"/>
  <c r="G109" i="1"/>
  <c r="J113" i="1"/>
  <c r="B113" i="1" s="1"/>
  <c r="K113" i="1" s="1"/>
  <c r="I113" i="1"/>
  <c r="H113" i="1"/>
  <c r="G113" i="1"/>
  <c r="E113" i="1"/>
  <c r="D116" i="1"/>
  <c r="I158" i="1"/>
  <c r="H158" i="1"/>
  <c r="G158" i="1"/>
  <c r="F158" i="1"/>
  <c r="E158" i="1"/>
  <c r="M158" i="1"/>
  <c r="R158" i="1" s="1"/>
  <c r="D158" i="1"/>
  <c r="J158" i="1"/>
  <c r="B158" i="1" s="1"/>
  <c r="K158" i="1" s="1"/>
  <c r="J164" i="1"/>
  <c r="B164" i="1" s="1"/>
  <c r="K164" i="1" s="1"/>
  <c r="I164" i="1"/>
  <c r="H164" i="1"/>
  <c r="G164" i="1"/>
  <c r="F164" i="1"/>
  <c r="E164" i="1"/>
  <c r="M164" i="1"/>
  <c r="R164" i="1" s="1"/>
  <c r="D164" i="1"/>
  <c r="I182" i="1"/>
  <c r="H182" i="1"/>
  <c r="G182" i="1"/>
  <c r="F182" i="1"/>
  <c r="E182" i="1"/>
  <c r="M182" i="1"/>
  <c r="R182" i="1" s="1"/>
  <c r="D182" i="1"/>
  <c r="J182" i="1"/>
  <c r="B182" i="1" s="1"/>
  <c r="K182" i="1" s="1"/>
  <c r="J188" i="1"/>
  <c r="B188" i="1" s="1"/>
  <c r="K188" i="1" s="1"/>
  <c r="I188" i="1"/>
  <c r="H188" i="1"/>
  <c r="G188" i="1"/>
  <c r="F188" i="1"/>
  <c r="E188" i="1"/>
  <c r="M188" i="1"/>
  <c r="R188" i="1" s="1"/>
  <c r="D188" i="1"/>
  <c r="J196" i="1"/>
  <c r="B196" i="1" s="1"/>
  <c r="K196" i="1" s="1"/>
  <c r="I196" i="1"/>
  <c r="H196" i="1"/>
  <c r="G196" i="1"/>
  <c r="F196" i="1"/>
  <c r="E196" i="1"/>
  <c r="M196" i="1"/>
  <c r="R196" i="1" s="1"/>
  <c r="D196" i="1"/>
  <c r="J204" i="1"/>
  <c r="B204" i="1" s="1"/>
  <c r="K204" i="1" s="1"/>
  <c r="I204" i="1"/>
  <c r="H204" i="1"/>
  <c r="G204" i="1"/>
  <c r="F204" i="1"/>
  <c r="E204" i="1"/>
  <c r="M204" i="1"/>
  <c r="R204" i="1" s="1"/>
  <c r="D204" i="1"/>
  <c r="H209" i="1"/>
  <c r="E209" i="1"/>
  <c r="D209" i="1"/>
  <c r="M209" i="1"/>
  <c r="R209" i="1" s="1"/>
  <c r="J209" i="1"/>
  <c r="B209" i="1" s="1"/>
  <c r="K209" i="1" s="1"/>
  <c r="I209" i="1"/>
  <c r="G209" i="1"/>
  <c r="F209" i="1"/>
  <c r="M103" i="1"/>
  <c r="R103" i="1" s="1"/>
  <c r="D103" i="1"/>
  <c r="J103" i="1"/>
  <c r="B103" i="1" s="1"/>
  <c r="K103" i="1" s="1"/>
  <c r="J108" i="1"/>
  <c r="B108" i="1" s="1"/>
  <c r="K108" i="1" s="1"/>
  <c r="I108" i="1"/>
  <c r="H108" i="1"/>
  <c r="F108" i="1"/>
  <c r="E122" i="1"/>
  <c r="M122" i="1"/>
  <c r="R122" i="1" s="1"/>
  <c r="D122" i="1"/>
  <c r="J122" i="1"/>
  <c r="B122" i="1" s="1"/>
  <c r="K122" i="1" s="1"/>
  <c r="I122" i="1"/>
  <c r="H122" i="1"/>
  <c r="G122" i="1"/>
  <c r="F122" i="1"/>
  <c r="E130" i="1"/>
  <c r="M130" i="1"/>
  <c r="R130" i="1" s="1"/>
  <c r="D130" i="1"/>
  <c r="J130" i="1"/>
  <c r="B130" i="1" s="1"/>
  <c r="K130" i="1" s="1"/>
  <c r="I130" i="1"/>
  <c r="H130" i="1"/>
  <c r="G130" i="1"/>
  <c r="F130" i="1"/>
  <c r="E138" i="1"/>
  <c r="M138" i="1"/>
  <c r="R138" i="1" s="1"/>
  <c r="D138" i="1"/>
  <c r="J138" i="1"/>
  <c r="B138" i="1" s="1"/>
  <c r="K138" i="1" s="1"/>
  <c r="I138" i="1"/>
  <c r="H138" i="1"/>
  <c r="G138" i="1"/>
  <c r="F138" i="1"/>
  <c r="E146" i="1"/>
  <c r="M146" i="1"/>
  <c r="R146" i="1" s="1"/>
  <c r="D146" i="1"/>
  <c r="J146" i="1"/>
  <c r="B146" i="1" s="1"/>
  <c r="K146" i="1" s="1"/>
  <c r="I146" i="1"/>
  <c r="H146" i="1"/>
  <c r="G146" i="1"/>
  <c r="F146" i="1"/>
  <c r="M159" i="1"/>
  <c r="R159" i="1" s="1"/>
  <c r="D159" i="1"/>
  <c r="J159" i="1"/>
  <c r="B159" i="1" s="1"/>
  <c r="K159" i="1" s="1"/>
  <c r="I159" i="1"/>
  <c r="H159" i="1"/>
  <c r="G159" i="1"/>
  <c r="F159" i="1"/>
  <c r="E159" i="1"/>
  <c r="F165" i="1"/>
  <c r="E165" i="1"/>
  <c r="M165" i="1"/>
  <c r="R165" i="1" s="1"/>
  <c r="D165" i="1"/>
  <c r="J165" i="1"/>
  <c r="B165" i="1" s="1"/>
  <c r="K165" i="1" s="1"/>
  <c r="I165" i="1"/>
  <c r="H165" i="1"/>
  <c r="G165" i="1"/>
  <c r="M183" i="1"/>
  <c r="R183" i="1" s="1"/>
  <c r="D183" i="1"/>
  <c r="J183" i="1"/>
  <c r="B183" i="1" s="1"/>
  <c r="K183" i="1" s="1"/>
  <c r="I183" i="1"/>
  <c r="H183" i="1"/>
  <c r="G183" i="1"/>
  <c r="F183" i="1"/>
  <c r="E183" i="1"/>
  <c r="F189" i="1"/>
  <c r="E189" i="1"/>
  <c r="M189" i="1"/>
  <c r="R189" i="1" s="1"/>
  <c r="D189" i="1"/>
  <c r="J189" i="1"/>
  <c r="B189" i="1" s="1"/>
  <c r="K189" i="1" s="1"/>
  <c r="I189" i="1"/>
  <c r="H189" i="1"/>
  <c r="G189" i="1"/>
  <c r="F197" i="1"/>
  <c r="E197" i="1"/>
  <c r="M197" i="1"/>
  <c r="R197" i="1" s="1"/>
  <c r="D197" i="1"/>
  <c r="J197" i="1"/>
  <c r="B197" i="1" s="1"/>
  <c r="K197" i="1" s="1"/>
  <c r="I197" i="1"/>
  <c r="H197" i="1"/>
  <c r="G197" i="1"/>
  <c r="F205" i="1"/>
  <c r="E205" i="1"/>
  <c r="M205" i="1"/>
  <c r="R205" i="1" s="1"/>
  <c r="D205" i="1"/>
  <c r="J205" i="1"/>
  <c r="B205" i="1" s="1"/>
  <c r="K205" i="1" s="1"/>
  <c r="I205" i="1"/>
  <c r="H205" i="1"/>
  <c r="G205" i="1"/>
  <c r="I216" i="1"/>
  <c r="H216" i="1"/>
  <c r="G216" i="1"/>
  <c r="E216" i="1"/>
  <c r="M216" i="1"/>
  <c r="R216" i="1" s="1"/>
  <c r="D216" i="1"/>
  <c r="J216" i="1"/>
  <c r="B216" i="1" s="1"/>
  <c r="K216" i="1" s="1"/>
  <c r="F216" i="1"/>
  <c r="F15" i="1"/>
  <c r="D17" i="1"/>
  <c r="M17" i="1"/>
  <c r="R17" i="1" s="1"/>
  <c r="J19" i="1"/>
  <c r="B19" i="1" s="1"/>
  <c r="K19" i="1" s="1"/>
  <c r="H21" i="1"/>
  <c r="F23" i="1"/>
  <c r="D25" i="1"/>
  <c r="M25" i="1"/>
  <c r="R25" i="1" s="1"/>
  <c r="J27" i="1"/>
  <c r="B27" i="1" s="1"/>
  <c r="K27" i="1" s="1"/>
  <c r="H29" i="1"/>
  <c r="F31" i="1"/>
  <c r="D33" i="1"/>
  <c r="M33" i="1"/>
  <c r="R33" i="1" s="1"/>
  <c r="J35" i="1"/>
  <c r="B35" i="1" s="1"/>
  <c r="K35" i="1" s="1"/>
  <c r="H37" i="1"/>
  <c r="F39" i="1"/>
  <c r="D41" i="1"/>
  <c r="M41" i="1"/>
  <c r="R41" i="1" s="1"/>
  <c r="J43" i="1"/>
  <c r="B43" i="1" s="1"/>
  <c r="K43" i="1" s="1"/>
  <c r="H45" i="1"/>
  <c r="F47" i="1"/>
  <c r="D49" i="1"/>
  <c r="M49" i="1"/>
  <c r="R49" i="1" s="1"/>
  <c r="J51" i="1"/>
  <c r="B51" i="1" s="1"/>
  <c r="K51" i="1" s="1"/>
  <c r="H53" i="1"/>
  <c r="F55" i="1"/>
  <c r="D57" i="1"/>
  <c r="M57" i="1"/>
  <c r="R57" i="1" s="1"/>
  <c r="J59" i="1"/>
  <c r="B59" i="1" s="1"/>
  <c r="K59" i="1" s="1"/>
  <c r="H61" i="1"/>
  <c r="F63" i="1"/>
  <c r="D65" i="1"/>
  <c r="M65" i="1"/>
  <c r="R65" i="1" s="1"/>
  <c r="J67" i="1"/>
  <c r="B67" i="1" s="1"/>
  <c r="K67" i="1" s="1"/>
  <c r="H69" i="1"/>
  <c r="F71" i="1"/>
  <c r="D73" i="1"/>
  <c r="M73" i="1"/>
  <c r="R73" i="1" s="1"/>
  <c r="J75" i="1"/>
  <c r="B75" i="1" s="1"/>
  <c r="K75" i="1" s="1"/>
  <c r="H77" i="1"/>
  <c r="F79" i="1"/>
  <c r="D81" i="1"/>
  <c r="M81" i="1"/>
  <c r="R81" i="1" s="1"/>
  <c r="J83" i="1"/>
  <c r="B83" i="1" s="1"/>
  <c r="K83" i="1" s="1"/>
  <c r="H85" i="1"/>
  <c r="F87" i="1"/>
  <c r="D89" i="1"/>
  <c r="M89" i="1"/>
  <c r="R89" i="1" s="1"/>
  <c r="J91" i="1"/>
  <c r="B91" i="1" s="1"/>
  <c r="K91" i="1" s="1"/>
  <c r="H93" i="1"/>
  <c r="F95" i="1"/>
  <c r="D97" i="1"/>
  <c r="M97" i="1"/>
  <c r="R97" i="1" s="1"/>
  <c r="J99" i="1"/>
  <c r="B99" i="1" s="1"/>
  <c r="K99" i="1" s="1"/>
  <c r="E103" i="1"/>
  <c r="D108" i="1"/>
  <c r="F113" i="1"/>
  <c r="H123" i="1"/>
  <c r="G123" i="1"/>
  <c r="F123" i="1"/>
  <c r="E123" i="1"/>
  <c r="M123" i="1"/>
  <c r="R123" i="1" s="1"/>
  <c r="D123" i="1"/>
  <c r="J123" i="1"/>
  <c r="B123" i="1" s="1"/>
  <c r="K123" i="1" s="1"/>
  <c r="I123" i="1"/>
  <c r="H131" i="1"/>
  <c r="G131" i="1"/>
  <c r="F131" i="1"/>
  <c r="E131" i="1"/>
  <c r="M131" i="1"/>
  <c r="R131" i="1" s="1"/>
  <c r="D131" i="1"/>
  <c r="J131" i="1"/>
  <c r="B131" i="1" s="1"/>
  <c r="K131" i="1" s="1"/>
  <c r="I131" i="1"/>
  <c r="H139" i="1"/>
  <c r="G139" i="1"/>
  <c r="F139" i="1"/>
  <c r="E139" i="1"/>
  <c r="M139" i="1"/>
  <c r="R139" i="1" s="1"/>
  <c r="D139" i="1"/>
  <c r="J139" i="1"/>
  <c r="B139" i="1" s="1"/>
  <c r="K139" i="1" s="1"/>
  <c r="I139" i="1"/>
  <c r="H147" i="1"/>
  <c r="G147" i="1"/>
  <c r="F147" i="1"/>
  <c r="E147" i="1"/>
  <c r="M147" i="1"/>
  <c r="R147" i="1" s="1"/>
  <c r="D147" i="1"/>
  <c r="J147" i="1"/>
  <c r="B147" i="1" s="1"/>
  <c r="K147" i="1" s="1"/>
  <c r="I147" i="1"/>
  <c r="I166" i="1"/>
  <c r="H166" i="1"/>
  <c r="G166" i="1"/>
  <c r="F166" i="1"/>
  <c r="E166" i="1"/>
  <c r="M166" i="1"/>
  <c r="R166" i="1" s="1"/>
  <c r="D166" i="1"/>
  <c r="J166" i="1"/>
  <c r="B166" i="1" s="1"/>
  <c r="K166" i="1" s="1"/>
  <c r="E170" i="1"/>
  <c r="M170" i="1"/>
  <c r="R170" i="1" s="1"/>
  <c r="D170" i="1"/>
  <c r="J170" i="1"/>
  <c r="B170" i="1" s="1"/>
  <c r="K170" i="1" s="1"/>
  <c r="I170" i="1"/>
  <c r="H170" i="1"/>
  <c r="G170" i="1"/>
  <c r="F170" i="1"/>
  <c r="I190" i="1"/>
  <c r="H190" i="1"/>
  <c r="G190" i="1"/>
  <c r="F190" i="1"/>
  <c r="E190" i="1"/>
  <c r="M190" i="1"/>
  <c r="R190" i="1" s="1"/>
  <c r="D190" i="1"/>
  <c r="J190" i="1"/>
  <c r="B190" i="1" s="1"/>
  <c r="K190" i="1" s="1"/>
  <c r="I198" i="1"/>
  <c r="H198" i="1"/>
  <c r="G198" i="1"/>
  <c r="F198" i="1"/>
  <c r="E198" i="1"/>
  <c r="M198" i="1"/>
  <c r="R198" i="1" s="1"/>
  <c r="D198" i="1"/>
  <c r="J198" i="1"/>
  <c r="B198" i="1" s="1"/>
  <c r="K198" i="1" s="1"/>
  <c r="I206" i="1"/>
  <c r="H206" i="1"/>
  <c r="G206" i="1"/>
  <c r="F206" i="1"/>
  <c r="E206" i="1"/>
  <c r="M206" i="1"/>
  <c r="R206" i="1" s="1"/>
  <c r="D206" i="1"/>
  <c r="J206" i="1"/>
  <c r="B206" i="1" s="1"/>
  <c r="K206" i="1" s="1"/>
  <c r="E17" i="1"/>
  <c r="G23" i="1"/>
  <c r="E25" i="1"/>
  <c r="G31" i="1"/>
  <c r="E33" i="1"/>
  <c r="G39" i="1"/>
  <c r="E41" i="1"/>
  <c r="G47" i="1"/>
  <c r="E49" i="1"/>
  <c r="G55" i="1"/>
  <c r="E57" i="1"/>
  <c r="G63" i="1"/>
  <c r="E65" i="1"/>
  <c r="G71" i="1"/>
  <c r="E73" i="1"/>
  <c r="E81" i="1"/>
  <c r="E89" i="1"/>
  <c r="E97" i="1"/>
  <c r="F103" i="1"/>
  <c r="G104" i="1"/>
  <c r="E104" i="1"/>
  <c r="J104" i="1"/>
  <c r="B104" i="1" s="1"/>
  <c r="K104" i="1" s="1"/>
  <c r="H107" i="1"/>
  <c r="F107" i="1"/>
  <c r="E107" i="1"/>
  <c r="E108" i="1"/>
  <c r="G112" i="1"/>
  <c r="F112" i="1"/>
  <c r="E112" i="1"/>
  <c r="M112" i="1"/>
  <c r="R112" i="1" s="1"/>
  <c r="D112" i="1"/>
  <c r="J112" i="1"/>
  <c r="B112" i="1" s="1"/>
  <c r="K112" i="1" s="1"/>
  <c r="H115" i="1"/>
  <c r="G115" i="1"/>
  <c r="F115" i="1"/>
  <c r="E115" i="1"/>
  <c r="J115" i="1"/>
  <c r="B115" i="1" s="1"/>
  <c r="K115" i="1" s="1"/>
  <c r="F117" i="1"/>
  <c r="E117" i="1"/>
  <c r="M117" i="1"/>
  <c r="R117" i="1" s="1"/>
  <c r="D117" i="1"/>
  <c r="J117" i="1"/>
  <c r="B117" i="1" s="1"/>
  <c r="K117" i="1" s="1"/>
  <c r="I117" i="1"/>
  <c r="H117" i="1"/>
  <c r="J124" i="1"/>
  <c r="B124" i="1" s="1"/>
  <c r="K124" i="1" s="1"/>
  <c r="I124" i="1"/>
  <c r="H124" i="1"/>
  <c r="G124" i="1"/>
  <c r="F124" i="1"/>
  <c r="E124" i="1"/>
  <c r="M124" i="1"/>
  <c r="R124" i="1" s="1"/>
  <c r="D124" i="1"/>
  <c r="J132" i="1"/>
  <c r="B132" i="1" s="1"/>
  <c r="K132" i="1" s="1"/>
  <c r="I132" i="1"/>
  <c r="H132" i="1"/>
  <c r="G132" i="1"/>
  <c r="F132" i="1"/>
  <c r="E132" i="1"/>
  <c r="M132" i="1"/>
  <c r="R132" i="1" s="1"/>
  <c r="D132" i="1"/>
  <c r="J140" i="1"/>
  <c r="B140" i="1" s="1"/>
  <c r="K140" i="1" s="1"/>
  <c r="I140" i="1"/>
  <c r="H140" i="1"/>
  <c r="G140" i="1"/>
  <c r="F140" i="1"/>
  <c r="E140" i="1"/>
  <c r="M140" i="1"/>
  <c r="R140" i="1" s="1"/>
  <c r="D140" i="1"/>
  <c r="J148" i="1"/>
  <c r="B148" i="1" s="1"/>
  <c r="K148" i="1" s="1"/>
  <c r="I148" i="1"/>
  <c r="H148" i="1"/>
  <c r="G148" i="1"/>
  <c r="F148" i="1"/>
  <c r="E148" i="1"/>
  <c r="M148" i="1"/>
  <c r="R148" i="1" s="1"/>
  <c r="D148" i="1"/>
  <c r="H171" i="1"/>
  <c r="G171" i="1"/>
  <c r="F171" i="1"/>
  <c r="E171" i="1"/>
  <c r="M171" i="1"/>
  <c r="R171" i="1" s="1"/>
  <c r="D171" i="1"/>
  <c r="J171" i="1"/>
  <c r="B171" i="1" s="1"/>
  <c r="K171" i="1" s="1"/>
  <c r="I171" i="1"/>
  <c r="G15" i="1"/>
  <c r="H15" i="1"/>
  <c r="F17" i="1"/>
  <c r="D19" i="1"/>
  <c r="M19" i="1"/>
  <c r="R19" i="1" s="1"/>
  <c r="J21" i="1"/>
  <c r="B21" i="1" s="1"/>
  <c r="K21" i="1" s="1"/>
  <c r="H23" i="1"/>
  <c r="F25" i="1"/>
  <c r="D27" i="1"/>
  <c r="M27" i="1"/>
  <c r="R27" i="1" s="1"/>
  <c r="J29" i="1"/>
  <c r="B29" i="1" s="1"/>
  <c r="K29" i="1" s="1"/>
  <c r="H31" i="1"/>
  <c r="F33" i="1"/>
  <c r="D35" i="1"/>
  <c r="M35" i="1"/>
  <c r="R35" i="1" s="1"/>
  <c r="J37" i="1"/>
  <c r="B37" i="1" s="1"/>
  <c r="K37" i="1" s="1"/>
  <c r="H39" i="1"/>
  <c r="F41" i="1"/>
  <c r="D43" i="1"/>
  <c r="M43" i="1"/>
  <c r="R43" i="1" s="1"/>
  <c r="J45" i="1"/>
  <c r="B45" i="1" s="1"/>
  <c r="K45" i="1" s="1"/>
  <c r="H47" i="1"/>
  <c r="F49" i="1"/>
  <c r="D51" i="1"/>
  <c r="M51" i="1"/>
  <c r="R51" i="1" s="1"/>
  <c r="J53" i="1"/>
  <c r="B53" i="1" s="1"/>
  <c r="K53" i="1" s="1"/>
  <c r="H55" i="1"/>
  <c r="F57" i="1"/>
  <c r="D59" i="1"/>
  <c r="M59" i="1"/>
  <c r="R59" i="1" s="1"/>
  <c r="J61" i="1"/>
  <c r="B61" i="1" s="1"/>
  <c r="K61" i="1" s="1"/>
  <c r="H63" i="1"/>
  <c r="F65" i="1"/>
  <c r="D67" i="1"/>
  <c r="M67" i="1"/>
  <c r="R67" i="1" s="1"/>
  <c r="J69" i="1"/>
  <c r="B69" i="1" s="1"/>
  <c r="K69" i="1" s="1"/>
  <c r="H71" i="1"/>
  <c r="F73" i="1"/>
  <c r="D75" i="1"/>
  <c r="M75" i="1"/>
  <c r="R75" i="1" s="1"/>
  <c r="J77" i="1"/>
  <c r="B77" i="1" s="1"/>
  <c r="K77" i="1" s="1"/>
  <c r="H79" i="1"/>
  <c r="F81" i="1"/>
  <c r="D83" i="1"/>
  <c r="M83" i="1"/>
  <c r="R83" i="1" s="1"/>
  <c r="J85" i="1"/>
  <c r="B85" i="1" s="1"/>
  <c r="K85" i="1" s="1"/>
  <c r="H87" i="1"/>
  <c r="F89" i="1"/>
  <c r="D91" i="1"/>
  <c r="M91" i="1"/>
  <c r="R91" i="1" s="1"/>
  <c r="J93" i="1"/>
  <c r="B93" i="1" s="1"/>
  <c r="K93" i="1" s="1"/>
  <c r="H95" i="1"/>
  <c r="F97" i="1"/>
  <c r="D99" i="1"/>
  <c r="M99" i="1"/>
  <c r="R99" i="1" s="1"/>
  <c r="G103" i="1"/>
  <c r="D104" i="1"/>
  <c r="J105" i="1"/>
  <c r="B105" i="1" s="1"/>
  <c r="K105" i="1" s="1"/>
  <c r="H105" i="1"/>
  <c r="E105" i="1"/>
  <c r="E106" i="1"/>
  <c r="J106" i="1"/>
  <c r="B106" i="1" s="1"/>
  <c r="K106" i="1" s="1"/>
  <c r="H106" i="1"/>
  <c r="D107" i="1"/>
  <c r="G108" i="1"/>
  <c r="G117" i="1"/>
  <c r="F125" i="1"/>
  <c r="E125" i="1"/>
  <c r="M125" i="1"/>
  <c r="R125" i="1" s="1"/>
  <c r="D125" i="1"/>
  <c r="J125" i="1"/>
  <c r="B125" i="1" s="1"/>
  <c r="K125" i="1" s="1"/>
  <c r="I125" i="1"/>
  <c r="H125" i="1"/>
  <c r="G125" i="1"/>
  <c r="F133" i="1"/>
  <c r="E133" i="1"/>
  <c r="M133" i="1"/>
  <c r="R133" i="1" s="1"/>
  <c r="D133" i="1"/>
  <c r="J133" i="1"/>
  <c r="B133" i="1" s="1"/>
  <c r="K133" i="1" s="1"/>
  <c r="I133" i="1"/>
  <c r="H133" i="1"/>
  <c r="G133" i="1"/>
  <c r="F141" i="1"/>
  <c r="E141" i="1"/>
  <c r="M141" i="1"/>
  <c r="R141" i="1" s="1"/>
  <c r="D141" i="1"/>
  <c r="J141" i="1"/>
  <c r="B141" i="1" s="1"/>
  <c r="K141" i="1" s="1"/>
  <c r="I141" i="1"/>
  <c r="H141" i="1"/>
  <c r="G141" i="1"/>
  <c r="F149" i="1"/>
  <c r="E149" i="1"/>
  <c r="M149" i="1"/>
  <c r="R149" i="1" s="1"/>
  <c r="D149" i="1"/>
  <c r="J149" i="1"/>
  <c r="B149" i="1" s="1"/>
  <c r="K149" i="1" s="1"/>
  <c r="I149" i="1"/>
  <c r="H149" i="1"/>
  <c r="G149" i="1"/>
  <c r="E154" i="1"/>
  <c r="M154" i="1"/>
  <c r="R154" i="1" s="1"/>
  <c r="D154" i="1"/>
  <c r="J154" i="1"/>
  <c r="B154" i="1" s="1"/>
  <c r="K154" i="1" s="1"/>
  <c r="I154" i="1"/>
  <c r="H154" i="1"/>
  <c r="G154" i="1"/>
  <c r="F154" i="1"/>
  <c r="J172" i="1"/>
  <c r="B172" i="1" s="1"/>
  <c r="K172" i="1" s="1"/>
  <c r="I172" i="1"/>
  <c r="H172" i="1"/>
  <c r="G172" i="1"/>
  <c r="F172" i="1"/>
  <c r="E172" i="1"/>
  <c r="M172" i="1"/>
  <c r="R172" i="1" s="1"/>
  <c r="D172" i="1"/>
  <c r="E178" i="1"/>
  <c r="M178" i="1"/>
  <c r="R178" i="1" s="1"/>
  <c r="D178" i="1"/>
  <c r="J178" i="1"/>
  <c r="B178" i="1" s="1"/>
  <c r="K178" i="1" s="1"/>
  <c r="I178" i="1"/>
  <c r="H178" i="1"/>
  <c r="G178" i="1"/>
  <c r="F178" i="1"/>
  <c r="I15" i="1"/>
  <c r="G17" i="1"/>
  <c r="E19" i="1"/>
  <c r="I23" i="1"/>
  <c r="G25" i="1"/>
  <c r="E27" i="1"/>
  <c r="I31" i="1"/>
  <c r="G33" i="1"/>
  <c r="E35" i="1"/>
  <c r="I39" i="1"/>
  <c r="G41" i="1"/>
  <c r="E43" i="1"/>
  <c r="I47" i="1"/>
  <c r="G49" i="1"/>
  <c r="E51" i="1"/>
  <c r="I55" i="1"/>
  <c r="G57" i="1"/>
  <c r="E59" i="1"/>
  <c r="I63" i="1"/>
  <c r="G65" i="1"/>
  <c r="E67" i="1"/>
  <c r="I71" i="1"/>
  <c r="G73" i="1"/>
  <c r="E75" i="1"/>
  <c r="I79" i="1"/>
  <c r="G81" i="1"/>
  <c r="E83" i="1"/>
  <c r="I87" i="1"/>
  <c r="G89" i="1"/>
  <c r="E91" i="1"/>
  <c r="I95" i="1"/>
  <c r="G97" i="1"/>
  <c r="E99" i="1"/>
  <c r="F101" i="1"/>
  <c r="M101" i="1"/>
  <c r="R101" i="1" s="1"/>
  <c r="D101" i="1"/>
  <c r="H103" i="1"/>
  <c r="F104" i="1"/>
  <c r="D105" i="1"/>
  <c r="D106" i="1"/>
  <c r="G107" i="1"/>
  <c r="M108" i="1"/>
  <c r="R108" i="1" s="1"/>
  <c r="I112" i="1"/>
  <c r="I115" i="1"/>
  <c r="I118" i="1"/>
  <c r="H118" i="1"/>
  <c r="G118" i="1"/>
  <c r="F118" i="1"/>
  <c r="E118" i="1"/>
  <c r="M118" i="1"/>
  <c r="R118" i="1" s="1"/>
  <c r="D118" i="1"/>
  <c r="J118" i="1"/>
  <c r="B118" i="1" s="1"/>
  <c r="K118" i="1" s="1"/>
  <c r="I126" i="1"/>
  <c r="H126" i="1"/>
  <c r="G126" i="1"/>
  <c r="F126" i="1"/>
  <c r="E126" i="1"/>
  <c r="M126" i="1"/>
  <c r="R126" i="1" s="1"/>
  <c r="D126" i="1"/>
  <c r="J126" i="1"/>
  <c r="B126" i="1" s="1"/>
  <c r="K126" i="1" s="1"/>
  <c r="I134" i="1"/>
  <c r="H134" i="1"/>
  <c r="G134" i="1"/>
  <c r="F134" i="1"/>
  <c r="E134" i="1"/>
  <c r="M134" i="1"/>
  <c r="R134" i="1" s="1"/>
  <c r="D134" i="1"/>
  <c r="J134" i="1"/>
  <c r="B134" i="1" s="1"/>
  <c r="K134" i="1" s="1"/>
  <c r="I142" i="1"/>
  <c r="H142" i="1"/>
  <c r="G142" i="1"/>
  <c r="F142" i="1"/>
  <c r="E142" i="1"/>
  <c r="M142" i="1"/>
  <c r="R142" i="1" s="1"/>
  <c r="D142" i="1"/>
  <c r="J142" i="1"/>
  <c r="B142" i="1" s="1"/>
  <c r="K142" i="1" s="1"/>
  <c r="I150" i="1"/>
  <c r="H150" i="1"/>
  <c r="G150" i="1"/>
  <c r="F150" i="1"/>
  <c r="E150" i="1"/>
  <c r="M150" i="1"/>
  <c r="R150" i="1" s="1"/>
  <c r="D150" i="1"/>
  <c r="J150" i="1"/>
  <c r="B150" i="1" s="1"/>
  <c r="K150" i="1" s="1"/>
  <c r="H155" i="1"/>
  <c r="G155" i="1"/>
  <c r="F155" i="1"/>
  <c r="E155" i="1"/>
  <c r="M155" i="1"/>
  <c r="R155" i="1" s="1"/>
  <c r="D155" i="1"/>
  <c r="J155" i="1"/>
  <c r="B155" i="1" s="1"/>
  <c r="K155" i="1" s="1"/>
  <c r="I155" i="1"/>
  <c r="F173" i="1"/>
  <c r="E173" i="1"/>
  <c r="M173" i="1"/>
  <c r="R173" i="1" s="1"/>
  <c r="D173" i="1"/>
  <c r="J173" i="1"/>
  <c r="B173" i="1" s="1"/>
  <c r="K173" i="1" s="1"/>
  <c r="I173" i="1"/>
  <c r="H173" i="1"/>
  <c r="G173" i="1"/>
  <c r="H179" i="1"/>
  <c r="G179" i="1"/>
  <c r="F179" i="1"/>
  <c r="E179" i="1"/>
  <c r="M179" i="1"/>
  <c r="R179" i="1" s="1"/>
  <c r="D179" i="1"/>
  <c r="J179" i="1"/>
  <c r="B179" i="1" s="1"/>
  <c r="K179" i="1" s="1"/>
  <c r="I179" i="1"/>
  <c r="D21" i="1"/>
  <c r="H25" i="1"/>
  <c r="D29" i="1"/>
  <c r="H33" i="1"/>
  <c r="D37" i="1"/>
  <c r="H41" i="1"/>
  <c r="D45" i="1"/>
  <c r="H49" i="1"/>
  <c r="D53" i="1"/>
  <c r="H57" i="1"/>
  <c r="D61" i="1"/>
  <c r="H65" i="1"/>
  <c r="D69" i="1"/>
  <c r="H73" i="1"/>
  <c r="D77" i="1"/>
  <c r="H81" i="1"/>
  <c r="D85" i="1"/>
  <c r="H89" i="1"/>
  <c r="D93" i="1"/>
  <c r="H97" i="1"/>
  <c r="E101" i="1"/>
  <c r="I103" i="1"/>
  <c r="H104" i="1"/>
  <c r="F106" i="1"/>
  <c r="I107" i="1"/>
  <c r="E114" i="1"/>
  <c r="M114" i="1"/>
  <c r="R114" i="1" s="1"/>
  <c r="D114" i="1"/>
  <c r="J114" i="1"/>
  <c r="B114" i="1" s="1"/>
  <c r="K114" i="1" s="1"/>
  <c r="H114" i="1"/>
  <c r="M151" i="1"/>
  <c r="R151" i="1" s="1"/>
  <c r="D151" i="1"/>
  <c r="J151" i="1"/>
  <c r="B151" i="1" s="1"/>
  <c r="K151" i="1" s="1"/>
  <c r="I151" i="1"/>
  <c r="H151" i="1"/>
  <c r="G151" i="1"/>
  <c r="F151" i="1"/>
  <c r="E151" i="1"/>
  <c r="J156" i="1"/>
  <c r="B156" i="1" s="1"/>
  <c r="K156" i="1" s="1"/>
  <c r="I156" i="1"/>
  <c r="H156" i="1"/>
  <c r="G156" i="1"/>
  <c r="F156" i="1"/>
  <c r="E156" i="1"/>
  <c r="M156" i="1"/>
  <c r="R156" i="1" s="1"/>
  <c r="D156" i="1"/>
  <c r="E162" i="1"/>
  <c r="M162" i="1"/>
  <c r="R162" i="1" s="1"/>
  <c r="D162" i="1"/>
  <c r="J162" i="1"/>
  <c r="B162" i="1" s="1"/>
  <c r="K162" i="1" s="1"/>
  <c r="I162" i="1"/>
  <c r="H162" i="1"/>
  <c r="G162" i="1"/>
  <c r="F162" i="1"/>
  <c r="I174" i="1"/>
  <c r="H174" i="1"/>
  <c r="G174" i="1"/>
  <c r="F174" i="1"/>
  <c r="E174" i="1"/>
  <c r="M174" i="1"/>
  <c r="R174" i="1" s="1"/>
  <c r="D174" i="1"/>
  <c r="J174" i="1"/>
  <c r="B174" i="1" s="1"/>
  <c r="K174" i="1" s="1"/>
  <c r="J180" i="1"/>
  <c r="B180" i="1" s="1"/>
  <c r="K180" i="1" s="1"/>
  <c r="I180" i="1"/>
  <c r="H180" i="1"/>
  <c r="G180" i="1"/>
  <c r="F180" i="1"/>
  <c r="E180" i="1"/>
  <c r="M180" i="1"/>
  <c r="R180" i="1" s="1"/>
  <c r="D180" i="1"/>
  <c r="E186" i="1"/>
  <c r="M186" i="1"/>
  <c r="R186" i="1" s="1"/>
  <c r="D186" i="1"/>
  <c r="J186" i="1"/>
  <c r="B186" i="1" s="1"/>
  <c r="K186" i="1" s="1"/>
  <c r="I186" i="1"/>
  <c r="H186" i="1"/>
  <c r="G186" i="1"/>
  <c r="F186" i="1"/>
  <c r="E194" i="1"/>
  <c r="M194" i="1"/>
  <c r="R194" i="1" s="1"/>
  <c r="D194" i="1"/>
  <c r="J194" i="1"/>
  <c r="B194" i="1" s="1"/>
  <c r="K194" i="1" s="1"/>
  <c r="I194" i="1"/>
  <c r="H194" i="1"/>
  <c r="G194" i="1"/>
  <c r="F194" i="1"/>
  <c r="E202" i="1"/>
  <c r="M202" i="1"/>
  <c r="R202" i="1" s="1"/>
  <c r="D202" i="1"/>
  <c r="J202" i="1"/>
  <c r="B202" i="1" s="1"/>
  <c r="K202" i="1" s="1"/>
  <c r="I202" i="1"/>
  <c r="H202" i="1"/>
  <c r="G202" i="1"/>
  <c r="F202" i="1"/>
  <c r="I104" i="1"/>
  <c r="J107" i="1"/>
  <c r="B107" i="1" s="1"/>
  <c r="K107" i="1" s="1"/>
  <c r="F109" i="1"/>
  <c r="E109" i="1"/>
  <c r="M109" i="1"/>
  <c r="R109" i="1" s="1"/>
  <c r="D109" i="1"/>
  <c r="I109" i="1"/>
  <c r="F114" i="1"/>
  <c r="J116" i="1"/>
  <c r="B116" i="1" s="1"/>
  <c r="K116" i="1" s="1"/>
  <c r="I116" i="1"/>
  <c r="H116" i="1"/>
  <c r="F116" i="1"/>
  <c r="E116" i="1"/>
  <c r="F157" i="1"/>
  <c r="E157" i="1"/>
  <c r="M157" i="1"/>
  <c r="R157" i="1" s="1"/>
  <c r="D157" i="1"/>
  <c r="J157" i="1"/>
  <c r="B157" i="1" s="1"/>
  <c r="K157" i="1" s="1"/>
  <c r="I157" i="1"/>
  <c r="H157" i="1"/>
  <c r="G157" i="1"/>
  <c r="H163" i="1"/>
  <c r="G163" i="1"/>
  <c r="F163" i="1"/>
  <c r="E163" i="1"/>
  <c r="M163" i="1"/>
  <c r="R163" i="1" s="1"/>
  <c r="D163" i="1"/>
  <c r="J163" i="1"/>
  <c r="B163" i="1" s="1"/>
  <c r="K163" i="1" s="1"/>
  <c r="I163" i="1"/>
  <c r="M175" i="1"/>
  <c r="R175" i="1" s="1"/>
  <c r="D175" i="1"/>
  <c r="J175" i="1"/>
  <c r="B175" i="1" s="1"/>
  <c r="K175" i="1" s="1"/>
  <c r="I175" i="1"/>
  <c r="H175" i="1"/>
  <c r="G175" i="1"/>
  <c r="F175" i="1"/>
  <c r="E175" i="1"/>
  <c r="F181" i="1"/>
  <c r="E181" i="1"/>
  <c r="M181" i="1"/>
  <c r="R181" i="1" s="1"/>
  <c r="D181" i="1"/>
  <c r="J181" i="1"/>
  <c r="B181" i="1" s="1"/>
  <c r="K181" i="1" s="1"/>
  <c r="I181" i="1"/>
  <c r="H181" i="1"/>
  <c r="G181" i="1"/>
  <c r="H187" i="1"/>
  <c r="G187" i="1"/>
  <c r="F187" i="1"/>
  <c r="E187" i="1"/>
  <c r="M187" i="1"/>
  <c r="R187" i="1" s="1"/>
  <c r="D187" i="1"/>
  <c r="J187" i="1"/>
  <c r="B187" i="1" s="1"/>
  <c r="K187" i="1" s="1"/>
  <c r="I187" i="1"/>
  <c r="H195" i="1"/>
  <c r="G195" i="1"/>
  <c r="F195" i="1"/>
  <c r="E195" i="1"/>
  <c r="M195" i="1"/>
  <c r="R195" i="1" s="1"/>
  <c r="D195" i="1"/>
  <c r="J195" i="1"/>
  <c r="B195" i="1" s="1"/>
  <c r="K195" i="1" s="1"/>
  <c r="I195" i="1"/>
  <c r="H203" i="1"/>
  <c r="G203" i="1"/>
  <c r="F203" i="1"/>
  <c r="E203" i="1"/>
  <c r="M203" i="1"/>
  <c r="R203" i="1" s="1"/>
  <c r="D203" i="1"/>
  <c r="J203" i="1"/>
  <c r="B203" i="1" s="1"/>
  <c r="K203" i="1" s="1"/>
  <c r="I203" i="1"/>
  <c r="H120" i="1"/>
  <c r="H128" i="1"/>
  <c r="H136" i="1"/>
  <c r="H144" i="1"/>
  <c r="H160" i="1"/>
  <c r="H176" i="1"/>
  <c r="H184" i="1"/>
  <c r="H192" i="1"/>
  <c r="H200" i="1"/>
  <c r="F217" i="1"/>
  <c r="J219" i="1"/>
  <c r="B219" i="1" s="1"/>
  <c r="K219" i="1" s="1"/>
  <c r="I219" i="1"/>
  <c r="H219" i="1"/>
  <c r="G219" i="1"/>
  <c r="F219" i="1"/>
  <c r="E219" i="1"/>
  <c r="H221" i="1"/>
  <c r="G221" i="1"/>
  <c r="F221" i="1"/>
  <c r="E221" i="1"/>
  <c r="M221" i="1"/>
  <c r="R221" i="1" s="1"/>
  <c r="D221" i="1"/>
  <c r="J221" i="1"/>
  <c r="B221" i="1" s="1"/>
  <c r="K221" i="1" s="1"/>
  <c r="M230" i="1"/>
  <c r="R230" i="1" s="1"/>
  <c r="D230" i="1"/>
  <c r="J230" i="1"/>
  <c r="B230" i="1" s="1"/>
  <c r="K230" i="1" s="1"/>
  <c r="I230" i="1"/>
  <c r="H230" i="1"/>
  <c r="G230" i="1"/>
  <c r="F230" i="1"/>
  <c r="E230" i="1"/>
  <c r="M246" i="1"/>
  <c r="R246" i="1" s="1"/>
  <c r="D246" i="1"/>
  <c r="J246" i="1"/>
  <c r="B246" i="1" s="1"/>
  <c r="K246" i="1" s="1"/>
  <c r="I246" i="1"/>
  <c r="H246" i="1"/>
  <c r="G246" i="1"/>
  <c r="F246" i="1"/>
  <c r="E246" i="1"/>
  <c r="I120" i="1"/>
  <c r="D121" i="1"/>
  <c r="M121" i="1"/>
  <c r="R121" i="1" s="1"/>
  <c r="I128" i="1"/>
  <c r="D129" i="1"/>
  <c r="M129" i="1"/>
  <c r="R129" i="1" s="1"/>
  <c r="I136" i="1"/>
  <c r="D137" i="1"/>
  <c r="M137" i="1"/>
  <c r="R137" i="1" s="1"/>
  <c r="I144" i="1"/>
  <c r="D145" i="1"/>
  <c r="M145" i="1"/>
  <c r="R145" i="1" s="1"/>
  <c r="I152" i="1"/>
  <c r="D153" i="1"/>
  <c r="M153" i="1"/>
  <c r="R153" i="1" s="1"/>
  <c r="I160" i="1"/>
  <c r="D161" i="1"/>
  <c r="M161" i="1"/>
  <c r="R161" i="1" s="1"/>
  <c r="I168" i="1"/>
  <c r="D169" i="1"/>
  <c r="M169" i="1"/>
  <c r="R169" i="1" s="1"/>
  <c r="I176" i="1"/>
  <c r="D177" i="1"/>
  <c r="M177" i="1"/>
  <c r="R177" i="1" s="1"/>
  <c r="I184" i="1"/>
  <c r="D185" i="1"/>
  <c r="M185" i="1"/>
  <c r="R185" i="1" s="1"/>
  <c r="I192" i="1"/>
  <c r="D193" i="1"/>
  <c r="M193" i="1"/>
  <c r="R193" i="1" s="1"/>
  <c r="I200" i="1"/>
  <c r="D201" i="1"/>
  <c r="M201" i="1"/>
  <c r="R201" i="1" s="1"/>
  <c r="D210" i="1"/>
  <c r="D219" i="1"/>
  <c r="I221" i="1"/>
  <c r="J224" i="1"/>
  <c r="B224" i="1" s="1"/>
  <c r="K224" i="1" s="1"/>
  <c r="I224" i="1"/>
  <c r="H224" i="1"/>
  <c r="G224" i="1"/>
  <c r="F224" i="1"/>
  <c r="E224" i="1"/>
  <c r="M224" i="1"/>
  <c r="R224" i="1" s="1"/>
  <c r="D224" i="1"/>
  <c r="J240" i="1"/>
  <c r="B240" i="1" s="1"/>
  <c r="K240" i="1" s="1"/>
  <c r="I240" i="1"/>
  <c r="H240" i="1"/>
  <c r="G240" i="1"/>
  <c r="F240" i="1"/>
  <c r="E240" i="1"/>
  <c r="M240" i="1"/>
  <c r="R240" i="1" s="1"/>
  <c r="D240" i="1"/>
  <c r="J256" i="1"/>
  <c r="B256" i="1" s="1"/>
  <c r="K256" i="1" s="1"/>
  <c r="I256" i="1"/>
  <c r="H256" i="1"/>
  <c r="G256" i="1"/>
  <c r="F256" i="1"/>
  <c r="E256" i="1"/>
  <c r="M256" i="1"/>
  <c r="R256" i="1" s="1"/>
  <c r="D256" i="1"/>
  <c r="J120" i="1"/>
  <c r="B120" i="1" s="1"/>
  <c r="K120" i="1" s="1"/>
  <c r="E121" i="1"/>
  <c r="J128" i="1"/>
  <c r="B128" i="1" s="1"/>
  <c r="K128" i="1" s="1"/>
  <c r="E129" i="1"/>
  <c r="J136" i="1"/>
  <c r="B136" i="1" s="1"/>
  <c r="K136" i="1" s="1"/>
  <c r="E137" i="1"/>
  <c r="J144" i="1"/>
  <c r="B144" i="1" s="1"/>
  <c r="K144" i="1" s="1"/>
  <c r="E145" i="1"/>
  <c r="J152" i="1"/>
  <c r="B152" i="1" s="1"/>
  <c r="K152" i="1" s="1"/>
  <c r="E153" i="1"/>
  <c r="J160" i="1"/>
  <c r="B160" i="1" s="1"/>
  <c r="K160" i="1" s="1"/>
  <c r="E161" i="1"/>
  <c r="J168" i="1"/>
  <c r="B168" i="1" s="1"/>
  <c r="K168" i="1" s="1"/>
  <c r="E169" i="1"/>
  <c r="J176" i="1"/>
  <c r="B176" i="1" s="1"/>
  <c r="K176" i="1" s="1"/>
  <c r="E177" i="1"/>
  <c r="J184" i="1"/>
  <c r="B184" i="1" s="1"/>
  <c r="K184" i="1" s="1"/>
  <c r="E185" i="1"/>
  <c r="J192" i="1"/>
  <c r="B192" i="1" s="1"/>
  <c r="K192" i="1" s="1"/>
  <c r="E193" i="1"/>
  <c r="J200" i="1"/>
  <c r="B200" i="1" s="1"/>
  <c r="K200" i="1" s="1"/>
  <c r="E201" i="1"/>
  <c r="M208" i="1"/>
  <c r="R208" i="1" s="1"/>
  <c r="E210" i="1"/>
  <c r="J222" i="1"/>
  <c r="B222" i="1" s="1"/>
  <c r="K222" i="1" s="1"/>
  <c r="I222" i="1"/>
  <c r="H222" i="1"/>
  <c r="G222" i="1"/>
  <c r="F222" i="1"/>
  <c r="E222" i="1"/>
  <c r="E225" i="1"/>
  <c r="M225" i="1"/>
  <c r="R225" i="1" s="1"/>
  <c r="D225" i="1"/>
  <c r="J225" i="1"/>
  <c r="B225" i="1" s="1"/>
  <c r="K225" i="1" s="1"/>
  <c r="I225" i="1"/>
  <c r="H225" i="1"/>
  <c r="G225" i="1"/>
  <c r="F225" i="1"/>
  <c r="F236" i="1"/>
  <c r="E236" i="1"/>
  <c r="M236" i="1"/>
  <c r="R236" i="1" s="1"/>
  <c r="D236" i="1"/>
  <c r="J236" i="1"/>
  <c r="B236" i="1" s="1"/>
  <c r="K236" i="1" s="1"/>
  <c r="I236" i="1"/>
  <c r="H236" i="1"/>
  <c r="G236" i="1"/>
  <c r="E241" i="1"/>
  <c r="M241" i="1"/>
  <c r="R241" i="1" s="1"/>
  <c r="D241" i="1"/>
  <c r="J241" i="1"/>
  <c r="B241" i="1" s="1"/>
  <c r="K241" i="1" s="1"/>
  <c r="I241" i="1"/>
  <c r="H241" i="1"/>
  <c r="G241" i="1"/>
  <c r="F241" i="1"/>
  <c r="F252" i="1"/>
  <c r="E252" i="1"/>
  <c r="M252" i="1"/>
  <c r="R252" i="1" s="1"/>
  <c r="D252" i="1"/>
  <c r="J252" i="1"/>
  <c r="B252" i="1" s="1"/>
  <c r="K252" i="1" s="1"/>
  <c r="I252" i="1"/>
  <c r="H252" i="1"/>
  <c r="G252" i="1"/>
  <c r="M257" i="1"/>
  <c r="R257" i="1" s="1"/>
  <c r="E257" i="1"/>
  <c r="D257" i="1"/>
  <c r="J257" i="1"/>
  <c r="B257" i="1" s="1"/>
  <c r="K257" i="1" s="1"/>
  <c r="I257" i="1"/>
  <c r="H257" i="1"/>
  <c r="G257" i="1"/>
  <c r="F257" i="1"/>
  <c r="E260" i="1"/>
  <c r="J260" i="1"/>
  <c r="B260" i="1" s="1"/>
  <c r="K260" i="1" s="1"/>
  <c r="I260" i="1"/>
  <c r="H260" i="1"/>
  <c r="G260" i="1"/>
  <c r="F260" i="1"/>
  <c r="D260" i="1"/>
  <c r="M260" i="1"/>
  <c r="R260" i="1" s="1"/>
  <c r="F121" i="1"/>
  <c r="F129" i="1"/>
  <c r="F137" i="1"/>
  <c r="F145" i="1"/>
  <c r="F153" i="1"/>
  <c r="F161" i="1"/>
  <c r="F169" i="1"/>
  <c r="F177" i="1"/>
  <c r="F185" i="1"/>
  <c r="F193" i="1"/>
  <c r="F201" i="1"/>
  <c r="F210" i="1"/>
  <c r="J211" i="1"/>
  <c r="B211" i="1" s="1"/>
  <c r="K211" i="1" s="1"/>
  <c r="F211" i="1"/>
  <c r="E211" i="1"/>
  <c r="E212" i="1"/>
  <c r="I212" i="1"/>
  <c r="H212" i="1"/>
  <c r="H213" i="1"/>
  <c r="M213" i="1"/>
  <c r="R213" i="1" s="1"/>
  <c r="D213" i="1"/>
  <c r="J214" i="1"/>
  <c r="B214" i="1" s="1"/>
  <c r="K214" i="1" s="1"/>
  <c r="G214" i="1"/>
  <c r="F214" i="1"/>
  <c r="F215" i="1"/>
  <c r="E215" i="1"/>
  <c r="M215" i="1"/>
  <c r="R215" i="1" s="1"/>
  <c r="J215" i="1"/>
  <c r="B215" i="1" s="1"/>
  <c r="K215" i="1" s="1"/>
  <c r="I215" i="1"/>
  <c r="M219" i="1"/>
  <c r="R219" i="1" s="1"/>
  <c r="D222" i="1"/>
  <c r="H226" i="1"/>
  <c r="G226" i="1"/>
  <c r="F226" i="1"/>
  <c r="E226" i="1"/>
  <c r="M226" i="1"/>
  <c r="R226" i="1" s="1"/>
  <c r="D226" i="1"/>
  <c r="J226" i="1"/>
  <c r="B226" i="1" s="1"/>
  <c r="K226" i="1" s="1"/>
  <c r="I226" i="1"/>
  <c r="I237" i="1"/>
  <c r="H237" i="1"/>
  <c r="G237" i="1"/>
  <c r="F237" i="1"/>
  <c r="E237" i="1"/>
  <c r="M237" i="1"/>
  <c r="R237" i="1" s="1"/>
  <c r="D237" i="1"/>
  <c r="J237" i="1"/>
  <c r="B237" i="1" s="1"/>
  <c r="K237" i="1" s="1"/>
  <c r="H242" i="1"/>
  <c r="G242" i="1"/>
  <c r="F242" i="1"/>
  <c r="E242" i="1"/>
  <c r="M242" i="1"/>
  <c r="R242" i="1" s="1"/>
  <c r="D242" i="1"/>
  <c r="J242" i="1"/>
  <c r="B242" i="1" s="1"/>
  <c r="K242" i="1" s="1"/>
  <c r="I242" i="1"/>
  <c r="I253" i="1"/>
  <c r="H253" i="1"/>
  <c r="G253" i="1"/>
  <c r="F253" i="1"/>
  <c r="E253" i="1"/>
  <c r="M253" i="1"/>
  <c r="R253" i="1" s="1"/>
  <c r="D253" i="1"/>
  <c r="J253" i="1"/>
  <c r="B253" i="1" s="1"/>
  <c r="K253" i="1" s="1"/>
  <c r="G258" i="1"/>
  <c r="J258" i="1"/>
  <c r="B258" i="1" s="1"/>
  <c r="K258" i="1" s="1"/>
  <c r="I258" i="1"/>
  <c r="H258" i="1"/>
  <c r="F258" i="1"/>
  <c r="E258" i="1"/>
  <c r="D258" i="1"/>
  <c r="M258" i="1"/>
  <c r="R258" i="1" s="1"/>
  <c r="D120" i="1"/>
  <c r="M120" i="1"/>
  <c r="R120" i="1" s="1"/>
  <c r="G121" i="1"/>
  <c r="D128" i="1"/>
  <c r="M128" i="1"/>
  <c r="R128" i="1" s="1"/>
  <c r="G129" i="1"/>
  <c r="D136" i="1"/>
  <c r="M136" i="1"/>
  <c r="R136" i="1" s="1"/>
  <c r="G137" i="1"/>
  <c r="D144" i="1"/>
  <c r="M144" i="1"/>
  <c r="R144" i="1" s="1"/>
  <c r="G145" i="1"/>
  <c r="D152" i="1"/>
  <c r="M152" i="1"/>
  <c r="R152" i="1" s="1"/>
  <c r="G153" i="1"/>
  <c r="D160" i="1"/>
  <c r="M160" i="1"/>
  <c r="R160" i="1" s="1"/>
  <c r="G161" i="1"/>
  <c r="D168" i="1"/>
  <c r="M168" i="1"/>
  <c r="R168" i="1" s="1"/>
  <c r="G169" i="1"/>
  <c r="D176" i="1"/>
  <c r="M176" i="1"/>
  <c r="R176" i="1" s="1"/>
  <c r="G177" i="1"/>
  <c r="D184" i="1"/>
  <c r="M184" i="1"/>
  <c r="R184" i="1" s="1"/>
  <c r="G185" i="1"/>
  <c r="D192" i="1"/>
  <c r="M192" i="1"/>
  <c r="R192" i="1" s="1"/>
  <c r="G193" i="1"/>
  <c r="D200" i="1"/>
  <c r="M200" i="1"/>
  <c r="R200" i="1" s="1"/>
  <c r="G201" i="1"/>
  <c r="F208" i="1"/>
  <c r="G210" i="1"/>
  <c r="D211" i="1"/>
  <c r="D212" i="1"/>
  <c r="E213" i="1"/>
  <c r="D214" i="1"/>
  <c r="D215" i="1"/>
  <c r="G218" i="1"/>
  <c r="F218" i="1"/>
  <c r="E218" i="1"/>
  <c r="M218" i="1"/>
  <c r="R218" i="1" s="1"/>
  <c r="D218" i="1"/>
  <c r="J218" i="1"/>
  <c r="B218" i="1" s="1"/>
  <c r="K218" i="1" s="1"/>
  <c r="E220" i="1"/>
  <c r="M220" i="1"/>
  <c r="R220" i="1" s="1"/>
  <c r="D220" i="1"/>
  <c r="J220" i="1"/>
  <c r="B220" i="1" s="1"/>
  <c r="K220" i="1" s="1"/>
  <c r="I220" i="1"/>
  <c r="H220" i="1"/>
  <c r="M222" i="1"/>
  <c r="R222" i="1" s="1"/>
  <c r="M238" i="1"/>
  <c r="R238" i="1" s="1"/>
  <c r="D238" i="1"/>
  <c r="J238" i="1"/>
  <c r="B238" i="1" s="1"/>
  <c r="K238" i="1" s="1"/>
  <c r="I238" i="1"/>
  <c r="H238" i="1"/>
  <c r="G238" i="1"/>
  <c r="F238" i="1"/>
  <c r="E238" i="1"/>
  <c r="M254" i="1"/>
  <c r="R254" i="1" s="1"/>
  <c r="D254" i="1"/>
  <c r="J254" i="1"/>
  <c r="B254" i="1" s="1"/>
  <c r="K254" i="1" s="1"/>
  <c r="I254" i="1"/>
  <c r="H254" i="1"/>
  <c r="G254" i="1"/>
  <c r="F254" i="1"/>
  <c r="E254" i="1"/>
  <c r="I266" i="1"/>
  <c r="H266" i="1"/>
  <c r="G266" i="1"/>
  <c r="J266" i="1"/>
  <c r="B266" i="1" s="1"/>
  <c r="K266" i="1" s="1"/>
  <c r="F266" i="1"/>
  <c r="E266" i="1"/>
  <c r="D266" i="1"/>
  <c r="M266" i="1"/>
  <c r="R266" i="1" s="1"/>
  <c r="J111" i="1"/>
  <c r="B111" i="1" s="1"/>
  <c r="K111" i="1" s="1"/>
  <c r="J119" i="1"/>
  <c r="B119" i="1" s="1"/>
  <c r="K119" i="1" s="1"/>
  <c r="E120" i="1"/>
  <c r="H121" i="1"/>
  <c r="J127" i="1"/>
  <c r="B127" i="1" s="1"/>
  <c r="K127" i="1" s="1"/>
  <c r="E128" i="1"/>
  <c r="H129" i="1"/>
  <c r="J135" i="1"/>
  <c r="B135" i="1" s="1"/>
  <c r="K135" i="1" s="1"/>
  <c r="E136" i="1"/>
  <c r="H137" i="1"/>
  <c r="J143" i="1"/>
  <c r="B143" i="1" s="1"/>
  <c r="K143" i="1" s="1"/>
  <c r="E144" i="1"/>
  <c r="H145" i="1"/>
  <c r="E152" i="1"/>
  <c r="H153" i="1"/>
  <c r="E160" i="1"/>
  <c r="H161" i="1"/>
  <c r="E168" i="1"/>
  <c r="H169" i="1"/>
  <c r="E176" i="1"/>
  <c r="H177" i="1"/>
  <c r="E184" i="1"/>
  <c r="H185" i="1"/>
  <c r="J191" i="1"/>
  <c r="B191" i="1" s="1"/>
  <c r="K191" i="1" s="1"/>
  <c r="E192" i="1"/>
  <c r="H193" i="1"/>
  <c r="J199" i="1"/>
  <c r="B199" i="1" s="1"/>
  <c r="K199" i="1" s="1"/>
  <c r="E200" i="1"/>
  <c r="H201" i="1"/>
  <c r="G208" i="1"/>
  <c r="H210" i="1"/>
  <c r="G211" i="1"/>
  <c r="F212" i="1"/>
  <c r="F213" i="1"/>
  <c r="J232" i="1"/>
  <c r="B232" i="1" s="1"/>
  <c r="K232" i="1" s="1"/>
  <c r="I232" i="1"/>
  <c r="H232" i="1"/>
  <c r="G232" i="1"/>
  <c r="F232" i="1"/>
  <c r="E232" i="1"/>
  <c r="M232" i="1"/>
  <c r="R232" i="1" s="1"/>
  <c r="D232" i="1"/>
  <c r="J248" i="1"/>
  <c r="B248" i="1" s="1"/>
  <c r="K248" i="1" s="1"/>
  <c r="I248" i="1"/>
  <c r="H248" i="1"/>
  <c r="G248" i="1"/>
  <c r="F248" i="1"/>
  <c r="E248" i="1"/>
  <c r="M248" i="1"/>
  <c r="R248" i="1" s="1"/>
  <c r="D248" i="1"/>
  <c r="H263" i="1"/>
  <c r="F263" i="1"/>
  <c r="M263" i="1"/>
  <c r="R263" i="1" s="1"/>
  <c r="J263" i="1"/>
  <c r="B263" i="1" s="1"/>
  <c r="K263" i="1" s="1"/>
  <c r="I263" i="1"/>
  <c r="G263" i="1"/>
  <c r="E263" i="1"/>
  <c r="D263" i="1"/>
  <c r="I281" i="1"/>
  <c r="H281" i="1"/>
  <c r="F281" i="1"/>
  <c r="E281" i="1"/>
  <c r="M281" i="1"/>
  <c r="R281" i="1" s="1"/>
  <c r="D281" i="1"/>
  <c r="J281" i="1"/>
  <c r="B281" i="1" s="1"/>
  <c r="K281" i="1" s="1"/>
  <c r="G281" i="1"/>
  <c r="F120" i="1"/>
  <c r="I121" i="1"/>
  <c r="F128" i="1"/>
  <c r="I129" i="1"/>
  <c r="F136" i="1"/>
  <c r="I137" i="1"/>
  <c r="F144" i="1"/>
  <c r="I145" i="1"/>
  <c r="F152" i="1"/>
  <c r="I153" i="1"/>
  <c r="F160" i="1"/>
  <c r="I161" i="1"/>
  <c r="F168" i="1"/>
  <c r="I169" i="1"/>
  <c r="F176" i="1"/>
  <c r="I177" i="1"/>
  <c r="F184" i="1"/>
  <c r="I185" i="1"/>
  <c r="F192" i="1"/>
  <c r="I193" i="1"/>
  <c r="F200" i="1"/>
  <c r="I201" i="1"/>
  <c r="M207" i="1"/>
  <c r="R207" i="1" s="1"/>
  <c r="H208" i="1"/>
  <c r="I210" i="1"/>
  <c r="H211" i="1"/>
  <c r="G212" i="1"/>
  <c r="G213" i="1"/>
  <c r="M217" i="1"/>
  <c r="R217" i="1" s="1"/>
  <c r="D217" i="1"/>
  <c r="J217" i="1"/>
  <c r="B217" i="1" s="1"/>
  <c r="K217" i="1" s="1"/>
  <c r="H217" i="1"/>
  <c r="G217" i="1"/>
  <c r="F228" i="1"/>
  <c r="E228" i="1"/>
  <c r="M228" i="1"/>
  <c r="R228" i="1" s="1"/>
  <c r="D228" i="1"/>
  <c r="J228" i="1"/>
  <c r="B228" i="1" s="1"/>
  <c r="K228" i="1" s="1"/>
  <c r="I228" i="1"/>
  <c r="H228" i="1"/>
  <c r="G228" i="1"/>
  <c r="E233" i="1"/>
  <c r="M233" i="1"/>
  <c r="R233" i="1" s="1"/>
  <c r="D233" i="1"/>
  <c r="J233" i="1"/>
  <c r="B233" i="1" s="1"/>
  <c r="K233" i="1" s="1"/>
  <c r="I233" i="1"/>
  <c r="H233" i="1"/>
  <c r="G233" i="1"/>
  <c r="F233" i="1"/>
  <c r="F244" i="1"/>
  <c r="E244" i="1"/>
  <c r="M244" i="1"/>
  <c r="R244" i="1" s="1"/>
  <c r="D244" i="1"/>
  <c r="J244" i="1"/>
  <c r="B244" i="1" s="1"/>
  <c r="K244" i="1" s="1"/>
  <c r="I244" i="1"/>
  <c r="H244" i="1"/>
  <c r="G244" i="1"/>
  <c r="E249" i="1"/>
  <c r="M249" i="1"/>
  <c r="R249" i="1" s="1"/>
  <c r="D249" i="1"/>
  <c r="J249" i="1"/>
  <c r="B249" i="1" s="1"/>
  <c r="K249" i="1" s="1"/>
  <c r="I249" i="1"/>
  <c r="H249" i="1"/>
  <c r="G249" i="1"/>
  <c r="F249" i="1"/>
  <c r="I273" i="1"/>
  <c r="F273" i="1"/>
  <c r="E273" i="1"/>
  <c r="M273" i="1"/>
  <c r="R273" i="1" s="1"/>
  <c r="D273" i="1"/>
  <c r="J273" i="1"/>
  <c r="B273" i="1" s="1"/>
  <c r="K273" i="1" s="1"/>
  <c r="H273" i="1"/>
  <c r="G273" i="1"/>
  <c r="D111" i="1"/>
  <c r="D119" i="1"/>
  <c r="D127" i="1"/>
  <c r="D135" i="1"/>
  <c r="D143" i="1"/>
  <c r="D191" i="1"/>
  <c r="D199" i="1"/>
  <c r="D207" i="1"/>
  <c r="I208" i="1"/>
  <c r="M210" i="1"/>
  <c r="R210" i="1" s="1"/>
  <c r="I211" i="1"/>
  <c r="J212" i="1"/>
  <c r="B212" i="1" s="1"/>
  <c r="K212" i="1" s="1"/>
  <c r="I213" i="1"/>
  <c r="E217" i="1"/>
  <c r="I229" i="1"/>
  <c r="H229" i="1"/>
  <c r="G229" i="1"/>
  <c r="F229" i="1"/>
  <c r="E229" i="1"/>
  <c r="M229" i="1"/>
  <c r="R229" i="1" s="1"/>
  <c r="D229" i="1"/>
  <c r="J229" i="1"/>
  <c r="B229" i="1" s="1"/>
  <c r="K229" i="1" s="1"/>
  <c r="H234" i="1"/>
  <c r="G234" i="1"/>
  <c r="F234" i="1"/>
  <c r="E234" i="1"/>
  <c r="M234" i="1"/>
  <c r="R234" i="1" s="1"/>
  <c r="D234" i="1"/>
  <c r="J234" i="1"/>
  <c r="B234" i="1" s="1"/>
  <c r="K234" i="1" s="1"/>
  <c r="I234" i="1"/>
  <c r="I245" i="1"/>
  <c r="H245" i="1"/>
  <c r="G245" i="1"/>
  <c r="F245" i="1"/>
  <c r="E245" i="1"/>
  <c r="M245" i="1"/>
  <c r="R245" i="1" s="1"/>
  <c r="D245" i="1"/>
  <c r="J245" i="1"/>
  <c r="B245" i="1" s="1"/>
  <c r="K245" i="1" s="1"/>
  <c r="H250" i="1"/>
  <c r="G250" i="1"/>
  <c r="F250" i="1"/>
  <c r="E250" i="1"/>
  <c r="M250" i="1"/>
  <c r="R250" i="1" s="1"/>
  <c r="D250" i="1"/>
  <c r="J250" i="1"/>
  <c r="B250" i="1" s="1"/>
  <c r="K250" i="1" s="1"/>
  <c r="I250" i="1"/>
  <c r="M274" i="1"/>
  <c r="R274" i="1" s="1"/>
  <c r="D274" i="1"/>
  <c r="I274" i="1"/>
  <c r="H274" i="1"/>
  <c r="G274" i="1"/>
  <c r="J274" i="1"/>
  <c r="B274" i="1" s="1"/>
  <c r="K274" i="1" s="1"/>
  <c r="F274" i="1"/>
  <c r="E274" i="1"/>
  <c r="D227" i="1"/>
  <c r="M227" i="1"/>
  <c r="R227" i="1" s="1"/>
  <c r="D235" i="1"/>
  <c r="M235" i="1"/>
  <c r="R235" i="1" s="1"/>
  <c r="D243" i="1"/>
  <c r="M243" i="1"/>
  <c r="R243" i="1" s="1"/>
  <c r="D251" i="1"/>
  <c r="M251" i="1"/>
  <c r="R251" i="1" s="1"/>
  <c r="F259" i="1"/>
  <c r="F262" i="1"/>
  <c r="D268" i="1"/>
  <c r="I270" i="1"/>
  <c r="E277" i="1"/>
  <c r="J277" i="1"/>
  <c r="B277" i="1" s="1"/>
  <c r="K277" i="1" s="1"/>
  <c r="I277" i="1"/>
  <c r="H277" i="1"/>
  <c r="I279" i="1"/>
  <c r="D287" i="1"/>
  <c r="J289" i="1"/>
  <c r="B289" i="1" s="1"/>
  <c r="K289" i="1" s="1"/>
  <c r="I289" i="1"/>
  <c r="H289" i="1"/>
  <c r="G289" i="1"/>
  <c r="F289" i="1"/>
  <c r="E289" i="1"/>
  <c r="M289" i="1"/>
  <c r="R289" i="1" s="1"/>
  <c r="D289" i="1"/>
  <c r="I223" i="1"/>
  <c r="E227" i="1"/>
  <c r="I231" i="1"/>
  <c r="E235" i="1"/>
  <c r="I239" i="1"/>
  <c r="E243" i="1"/>
  <c r="I247" i="1"/>
  <c r="E251" i="1"/>
  <c r="I255" i="1"/>
  <c r="G259" i="1"/>
  <c r="G262" i="1"/>
  <c r="J264" i="1"/>
  <c r="B264" i="1" s="1"/>
  <c r="K264" i="1" s="1"/>
  <c r="I264" i="1"/>
  <c r="H268" i="1"/>
  <c r="J276" i="1"/>
  <c r="B276" i="1" s="1"/>
  <c r="K276" i="1" s="1"/>
  <c r="G276" i="1"/>
  <c r="F276" i="1"/>
  <c r="E276" i="1"/>
  <c r="D277" i="1"/>
  <c r="G278" i="1"/>
  <c r="J223" i="1"/>
  <c r="B223" i="1" s="1"/>
  <c r="K223" i="1" s="1"/>
  <c r="F227" i="1"/>
  <c r="J231" i="1"/>
  <c r="B231" i="1" s="1"/>
  <c r="K231" i="1" s="1"/>
  <c r="F235" i="1"/>
  <c r="J239" i="1"/>
  <c r="B239" i="1" s="1"/>
  <c r="K239" i="1" s="1"/>
  <c r="F243" i="1"/>
  <c r="J247" i="1"/>
  <c r="B247" i="1" s="1"/>
  <c r="K247" i="1" s="1"/>
  <c r="F251" i="1"/>
  <c r="J255" i="1"/>
  <c r="B255" i="1" s="1"/>
  <c r="K255" i="1" s="1"/>
  <c r="H259" i="1"/>
  <c r="H262" i="1"/>
  <c r="D264" i="1"/>
  <c r="I268" i="1"/>
  <c r="F272" i="1"/>
  <c r="J272" i="1"/>
  <c r="B272" i="1" s="1"/>
  <c r="K272" i="1" s="1"/>
  <c r="I272" i="1"/>
  <c r="F277" i="1"/>
  <c r="E290" i="1"/>
  <c r="M290" i="1"/>
  <c r="R290" i="1" s="1"/>
  <c r="D290" i="1"/>
  <c r="J290" i="1"/>
  <c r="B290" i="1" s="1"/>
  <c r="K290" i="1" s="1"/>
  <c r="I290" i="1"/>
  <c r="H290" i="1"/>
  <c r="G290" i="1"/>
  <c r="H303" i="1"/>
  <c r="F303" i="1"/>
  <c r="M303" i="1"/>
  <c r="R303" i="1" s="1"/>
  <c r="D303" i="1"/>
  <c r="J303" i="1"/>
  <c r="B303" i="1" s="1"/>
  <c r="K303" i="1" s="1"/>
  <c r="I303" i="1"/>
  <c r="G303" i="1"/>
  <c r="E303" i="1"/>
  <c r="G227" i="1"/>
  <c r="G235" i="1"/>
  <c r="G243" i="1"/>
  <c r="G251" i="1"/>
  <c r="F265" i="1"/>
  <c r="E265" i="1"/>
  <c r="M265" i="1"/>
  <c r="R265" i="1" s="1"/>
  <c r="D265" i="1"/>
  <c r="H271" i="1"/>
  <c r="G271" i="1"/>
  <c r="F271" i="1"/>
  <c r="F280" i="1"/>
  <c r="E280" i="1"/>
  <c r="J280" i="1"/>
  <c r="B280" i="1" s="1"/>
  <c r="K280" i="1" s="1"/>
  <c r="I280" i="1"/>
  <c r="J284" i="1"/>
  <c r="B284" i="1" s="1"/>
  <c r="K284" i="1" s="1"/>
  <c r="I284" i="1"/>
  <c r="H284" i="1"/>
  <c r="G284" i="1"/>
  <c r="F284" i="1"/>
  <c r="E284" i="1"/>
  <c r="G298" i="1"/>
  <c r="E298" i="1"/>
  <c r="J298" i="1"/>
  <c r="B298" i="1" s="1"/>
  <c r="K298" i="1" s="1"/>
  <c r="I298" i="1"/>
  <c r="H298" i="1"/>
  <c r="F298" i="1"/>
  <c r="D298" i="1"/>
  <c r="I306" i="1"/>
  <c r="G306" i="1"/>
  <c r="E306" i="1"/>
  <c r="M306" i="1"/>
  <c r="R306" i="1" s="1"/>
  <c r="J306" i="1"/>
  <c r="B306" i="1" s="1"/>
  <c r="K306" i="1" s="1"/>
  <c r="H306" i="1"/>
  <c r="F306" i="1"/>
  <c r="D306" i="1"/>
  <c r="I322" i="1"/>
  <c r="H322" i="1"/>
  <c r="G322" i="1"/>
  <c r="F322" i="1"/>
  <c r="E322" i="1"/>
  <c r="M322" i="1"/>
  <c r="R322" i="1" s="1"/>
  <c r="D322" i="1"/>
  <c r="J322" i="1"/>
  <c r="B322" i="1" s="1"/>
  <c r="K322" i="1" s="1"/>
  <c r="D223" i="1"/>
  <c r="M223" i="1"/>
  <c r="R223" i="1" s="1"/>
  <c r="H227" i="1"/>
  <c r="D231" i="1"/>
  <c r="M231" i="1"/>
  <c r="R231" i="1" s="1"/>
  <c r="H235" i="1"/>
  <c r="D239" i="1"/>
  <c r="M239" i="1"/>
  <c r="R239" i="1" s="1"/>
  <c r="H243" i="1"/>
  <c r="D247" i="1"/>
  <c r="M247" i="1"/>
  <c r="R247" i="1" s="1"/>
  <c r="H251" i="1"/>
  <c r="D255" i="1"/>
  <c r="M255" i="1"/>
  <c r="R255" i="1" s="1"/>
  <c r="J261" i="1"/>
  <c r="B261" i="1" s="1"/>
  <c r="K261" i="1" s="1"/>
  <c r="H261" i="1"/>
  <c r="J262" i="1"/>
  <c r="B262" i="1" s="1"/>
  <c r="K262" i="1" s="1"/>
  <c r="F264" i="1"/>
  <c r="G265" i="1"/>
  <c r="D271" i="1"/>
  <c r="D280" i="1"/>
  <c r="D284" i="1"/>
  <c r="H286" i="1"/>
  <c r="G286" i="1"/>
  <c r="F286" i="1"/>
  <c r="E286" i="1"/>
  <c r="M286" i="1"/>
  <c r="R286" i="1" s="1"/>
  <c r="D286" i="1"/>
  <c r="F288" i="1"/>
  <c r="E288" i="1"/>
  <c r="M288" i="1"/>
  <c r="R288" i="1" s="1"/>
  <c r="D288" i="1"/>
  <c r="J288" i="1"/>
  <c r="B288" i="1" s="1"/>
  <c r="K288" i="1" s="1"/>
  <c r="I288" i="1"/>
  <c r="E292" i="1"/>
  <c r="D292" i="1"/>
  <c r="M292" i="1"/>
  <c r="R292" i="1" s="1"/>
  <c r="J292" i="1"/>
  <c r="B292" i="1" s="1"/>
  <c r="K292" i="1" s="1"/>
  <c r="I292" i="1"/>
  <c r="H292" i="1"/>
  <c r="G292" i="1"/>
  <c r="F295" i="1"/>
  <c r="J295" i="1"/>
  <c r="B295" i="1" s="1"/>
  <c r="K295" i="1" s="1"/>
  <c r="I295" i="1"/>
  <c r="H295" i="1"/>
  <c r="G295" i="1"/>
  <c r="E295" i="1"/>
  <c r="D295" i="1"/>
  <c r="M298" i="1"/>
  <c r="R298" i="1" s="1"/>
  <c r="E223" i="1"/>
  <c r="I227" i="1"/>
  <c r="E231" i="1"/>
  <c r="I235" i="1"/>
  <c r="E239" i="1"/>
  <c r="I243" i="1"/>
  <c r="E247" i="1"/>
  <c r="I251" i="1"/>
  <c r="E255" i="1"/>
  <c r="M259" i="1"/>
  <c r="R259" i="1" s="1"/>
  <c r="M262" i="1"/>
  <c r="R262" i="1" s="1"/>
  <c r="H265" i="1"/>
  <c r="H270" i="1"/>
  <c r="E270" i="1"/>
  <c r="M270" i="1"/>
  <c r="R270" i="1" s="1"/>
  <c r="D270" i="1"/>
  <c r="E271" i="1"/>
  <c r="M277" i="1"/>
  <c r="R277" i="1" s="1"/>
  <c r="J279" i="1"/>
  <c r="B279" i="1" s="1"/>
  <c r="K279" i="1" s="1"/>
  <c r="H279" i="1"/>
  <c r="G279" i="1"/>
  <c r="F279" i="1"/>
  <c r="G280" i="1"/>
  <c r="M282" i="1"/>
  <c r="R282" i="1" s="1"/>
  <c r="D282" i="1"/>
  <c r="I282" i="1"/>
  <c r="H282" i="1"/>
  <c r="G282" i="1"/>
  <c r="I286" i="1"/>
  <c r="M295" i="1"/>
  <c r="R295" i="1" s="1"/>
  <c r="H264" i="1"/>
  <c r="I265" i="1"/>
  <c r="E269" i="1"/>
  <c r="J269" i="1"/>
  <c r="B269" i="1" s="1"/>
  <c r="K269" i="1" s="1"/>
  <c r="I269" i="1"/>
  <c r="H269" i="1"/>
  <c r="F270" i="1"/>
  <c r="I271" i="1"/>
  <c r="D279" i="1"/>
  <c r="H280" i="1"/>
  <c r="E282" i="1"/>
  <c r="M284" i="1"/>
  <c r="R284" i="1" s="1"/>
  <c r="J286" i="1"/>
  <c r="B286" i="1" s="1"/>
  <c r="K286" i="1" s="1"/>
  <c r="H293" i="1"/>
  <c r="J293" i="1"/>
  <c r="B293" i="1" s="1"/>
  <c r="K293" i="1" s="1"/>
  <c r="I293" i="1"/>
  <c r="G293" i="1"/>
  <c r="F293" i="1"/>
  <c r="E293" i="1"/>
  <c r="D293" i="1"/>
  <c r="M293" i="1"/>
  <c r="R293" i="1" s="1"/>
  <c r="I296" i="1"/>
  <c r="G296" i="1"/>
  <c r="F296" i="1"/>
  <c r="E296" i="1"/>
  <c r="D296" i="1"/>
  <c r="M296" i="1"/>
  <c r="R296" i="1" s="1"/>
  <c r="J296" i="1"/>
  <c r="B296" i="1" s="1"/>
  <c r="K296" i="1" s="1"/>
  <c r="J265" i="1"/>
  <c r="B265" i="1" s="1"/>
  <c r="K265" i="1" s="1"/>
  <c r="J268" i="1"/>
  <c r="B268" i="1" s="1"/>
  <c r="K268" i="1" s="1"/>
  <c r="G268" i="1"/>
  <c r="F268" i="1"/>
  <c r="E268" i="1"/>
  <c r="G270" i="1"/>
  <c r="J271" i="1"/>
  <c r="B271" i="1" s="1"/>
  <c r="K271" i="1" s="1"/>
  <c r="H278" i="1"/>
  <c r="E278" i="1"/>
  <c r="M278" i="1"/>
  <c r="R278" i="1" s="1"/>
  <c r="D278" i="1"/>
  <c r="E279" i="1"/>
  <c r="M280" i="1"/>
  <c r="R280" i="1" s="1"/>
  <c r="F282" i="1"/>
  <c r="J287" i="1"/>
  <c r="B287" i="1" s="1"/>
  <c r="K287" i="1" s="1"/>
  <c r="I287" i="1"/>
  <c r="H287" i="1"/>
  <c r="G287" i="1"/>
  <c r="F287" i="1"/>
  <c r="I314" i="1"/>
  <c r="H314" i="1"/>
  <c r="G314" i="1"/>
  <c r="E314" i="1"/>
  <c r="M314" i="1"/>
  <c r="R314" i="1" s="1"/>
  <c r="D314" i="1"/>
  <c r="E318" i="1"/>
  <c r="M318" i="1"/>
  <c r="R318" i="1" s="1"/>
  <c r="D318" i="1"/>
  <c r="J318" i="1"/>
  <c r="B318" i="1" s="1"/>
  <c r="K318" i="1" s="1"/>
  <c r="I318" i="1"/>
  <c r="H318" i="1"/>
  <c r="J325" i="1"/>
  <c r="B325" i="1" s="1"/>
  <c r="K325" i="1" s="1"/>
  <c r="I325" i="1"/>
  <c r="H325" i="1"/>
  <c r="G325" i="1"/>
  <c r="F325" i="1"/>
  <c r="E325" i="1"/>
  <c r="H327" i="1"/>
  <c r="G327" i="1"/>
  <c r="F327" i="1"/>
  <c r="E327" i="1"/>
  <c r="M327" i="1"/>
  <c r="R327" i="1" s="1"/>
  <c r="D327" i="1"/>
  <c r="J336" i="1"/>
  <c r="B336" i="1" s="1"/>
  <c r="K336" i="1" s="1"/>
  <c r="I336" i="1"/>
  <c r="H336" i="1"/>
  <c r="G336" i="1"/>
  <c r="F336" i="1"/>
  <c r="M336" i="1"/>
  <c r="R336" i="1" s="1"/>
  <c r="D336" i="1"/>
  <c r="I338" i="1"/>
  <c r="H338" i="1"/>
  <c r="G338" i="1"/>
  <c r="F338" i="1"/>
  <c r="E338" i="1"/>
  <c r="M338" i="1"/>
  <c r="R338" i="1" s="1"/>
  <c r="D338" i="1"/>
  <c r="J338" i="1"/>
  <c r="B338" i="1" s="1"/>
  <c r="K338" i="1" s="1"/>
  <c r="I360" i="1"/>
  <c r="G360" i="1"/>
  <c r="F360" i="1"/>
  <c r="E360" i="1"/>
  <c r="D360" i="1"/>
  <c r="M360" i="1"/>
  <c r="R360" i="1" s="1"/>
  <c r="H360" i="1"/>
  <c r="H365" i="1"/>
  <c r="E365" i="1"/>
  <c r="D365" i="1"/>
  <c r="M365" i="1"/>
  <c r="R365" i="1" s="1"/>
  <c r="J365" i="1"/>
  <c r="B365" i="1" s="1"/>
  <c r="K365" i="1" s="1"/>
  <c r="I365" i="1"/>
  <c r="F365" i="1"/>
  <c r="H386" i="1"/>
  <c r="G386" i="1"/>
  <c r="F386" i="1"/>
  <c r="E386" i="1"/>
  <c r="M386" i="1"/>
  <c r="R386" i="1" s="1"/>
  <c r="D386" i="1"/>
  <c r="I386" i="1"/>
  <c r="H394" i="1"/>
  <c r="G394" i="1"/>
  <c r="F394" i="1"/>
  <c r="E394" i="1"/>
  <c r="M394" i="1"/>
  <c r="R394" i="1" s="1"/>
  <c r="D394" i="1"/>
  <c r="I394" i="1"/>
  <c r="J394" i="1"/>
  <c r="B394" i="1" s="1"/>
  <c r="K394" i="1" s="1"/>
  <c r="J275" i="1"/>
  <c r="B275" i="1" s="1"/>
  <c r="K275" i="1" s="1"/>
  <c r="J283" i="1"/>
  <c r="B283" i="1" s="1"/>
  <c r="K283" i="1" s="1"/>
  <c r="H285" i="1"/>
  <c r="H294" i="1"/>
  <c r="F297" i="1"/>
  <c r="E301" i="1"/>
  <c r="F302" i="1"/>
  <c r="E304" i="1"/>
  <c r="F305" i="1"/>
  <c r="M305" i="1"/>
  <c r="R305" i="1" s="1"/>
  <c r="D305" i="1"/>
  <c r="J305" i="1"/>
  <c r="B305" i="1" s="1"/>
  <c r="K305" i="1" s="1"/>
  <c r="F314" i="1"/>
  <c r="F318" i="1"/>
  <c r="D325" i="1"/>
  <c r="I327" i="1"/>
  <c r="E336" i="1"/>
  <c r="G340" i="1"/>
  <c r="F340" i="1"/>
  <c r="E340" i="1"/>
  <c r="M340" i="1"/>
  <c r="R340" i="1" s="1"/>
  <c r="D340" i="1"/>
  <c r="J340" i="1"/>
  <c r="B340" i="1" s="1"/>
  <c r="K340" i="1" s="1"/>
  <c r="H340" i="1"/>
  <c r="H343" i="1"/>
  <c r="G343" i="1"/>
  <c r="F343" i="1"/>
  <c r="E343" i="1"/>
  <c r="M343" i="1"/>
  <c r="R343" i="1" s="1"/>
  <c r="D343" i="1"/>
  <c r="I343" i="1"/>
  <c r="I352" i="1"/>
  <c r="M352" i="1"/>
  <c r="R352" i="1" s="1"/>
  <c r="J352" i="1"/>
  <c r="B352" i="1" s="1"/>
  <c r="K352" i="1" s="1"/>
  <c r="H352" i="1"/>
  <c r="G352" i="1"/>
  <c r="F352" i="1"/>
  <c r="D352" i="1"/>
  <c r="J360" i="1"/>
  <c r="B360" i="1" s="1"/>
  <c r="K360" i="1" s="1"/>
  <c r="G365" i="1"/>
  <c r="H378" i="1"/>
  <c r="G378" i="1"/>
  <c r="F378" i="1"/>
  <c r="E378" i="1"/>
  <c r="M378" i="1"/>
  <c r="R378" i="1" s="1"/>
  <c r="D378" i="1"/>
  <c r="J378" i="1"/>
  <c r="B378" i="1" s="1"/>
  <c r="K378" i="1" s="1"/>
  <c r="I378" i="1"/>
  <c r="J386" i="1"/>
  <c r="B386" i="1" s="1"/>
  <c r="K386" i="1" s="1"/>
  <c r="H415" i="1"/>
  <c r="E415" i="1"/>
  <c r="M415" i="1"/>
  <c r="R415" i="1" s="1"/>
  <c r="D415" i="1"/>
  <c r="J415" i="1"/>
  <c r="B415" i="1" s="1"/>
  <c r="K415" i="1" s="1"/>
  <c r="I415" i="1"/>
  <c r="G415" i="1"/>
  <c r="F415" i="1"/>
  <c r="I285" i="1"/>
  <c r="M291" i="1"/>
  <c r="R291" i="1" s="1"/>
  <c r="I294" i="1"/>
  <c r="G297" i="1"/>
  <c r="G301" i="1"/>
  <c r="G302" i="1"/>
  <c r="F304" i="1"/>
  <c r="E305" i="1"/>
  <c r="M307" i="1"/>
  <c r="R307" i="1" s="1"/>
  <c r="D307" i="1"/>
  <c r="J307" i="1"/>
  <c r="B307" i="1" s="1"/>
  <c r="K307" i="1" s="1"/>
  <c r="H307" i="1"/>
  <c r="G308" i="1"/>
  <c r="E308" i="1"/>
  <c r="J314" i="1"/>
  <c r="B314" i="1" s="1"/>
  <c r="K314" i="1" s="1"/>
  <c r="G318" i="1"/>
  <c r="J327" i="1"/>
  <c r="B327" i="1" s="1"/>
  <c r="K327" i="1" s="1"/>
  <c r="I340" i="1"/>
  <c r="J343" i="1"/>
  <c r="B343" i="1" s="1"/>
  <c r="K343" i="1" s="1"/>
  <c r="M361" i="1"/>
  <c r="R361" i="1" s="1"/>
  <c r="D361" i="1"/>
  <c r="J361" i="1"/>
  <c r="B361" i="1" s="1"/>
  <c r="K361" i="1" s="1"/>
  <c r="I361" i="1"/>
  <c r="H361" i="1"/>
  <c r="G361" i="1"/>
  <c r="E361" i="1"/>
  <c r="G370" i="1"/>
  <c r="F370" i="1"/>
  <c r="M370" i="1"/>
  <c r="R370" i="1" s="1"/>
  <c r="D370" i="1"/>
  <c r="J370" i="1"/>
  <c r="B370" i="1" s="1"/>
  <c r="K370" i="1" s="1"/>
  <c r="I370" i="1"/>
  <c r="H370" i="1"/>
  <c r="E370" i="1"/>
  <c r="H407" i="1"/>
  <c r="J407" i="1"/>
  <c r="B407" i="1" s="1"/>
  <c r="K407" i="1" s="1"/>
  <c r="I407" i="1"/>
  <c r="G407" i="1"/>
  <c r="F407" i="1"/>
  <c r="E407" i="1"/>
  <c r="D407" i="1"/>
  <c r="M407" i="1"/>
  <c r="R407" i="1" s="1"/>
  <c r="D275" i="1"/>
  <c r="D283" i="1"/>
  <c r="J285" i="1"/>
  <c r="B285" i="1" s="1"/>
  <c r="K285" i="1" s="1"/>
  <c r="D291" i="1"/>
  <c r="J294" i="1"/>
  <c r="B294" i="1" s="1"/>
  <c r="K294" i="1" s="1"/>
  <c r="H297" i="1"/>
  <c r="J299" i="1"/>
  <c r="B299" i="1" s="1"/>
  <c r="K299" i="1" s="1"/>
  <c r="H299" i="1"/>
  <c r="I301" i="1"/>
  <c r="H302" i="1"/>
  <c r="J309" i="1"/>
  <c r="B309" i="1" s="1"/>
  <c r="K309" i="1" s="1"/>
  <c r="H309" i="1"/>
  <c r="F309" i="1"/>
  <c r="E310" i="1"/>
  <c r="I310" i="1"/>
  <c r="J312" i="1"/>
  <c r="B312" i="1" s="1"/>
  <c r="K312" i="1" s="1"/>
  <c r="I312" i="1"/>
  <c r="G312" i="1"/>
  <c r="F313" i="1"/>
  <c r="E313" i="1"/>
  <c r="M313" i="1"/>
  <c r="R313" i="1" s="1"/>
  <c r="D313" i="1"/>
  <c r="J313" i="1"/>
  <c r="B313" i="1" s="1"/>
  <c r="K313" i="1" s="1"/>
  <c r="I313" i="1"/>
  <c r="J317" i="1"/>
  <c r="B317" i="1" s="1"/>
  <c r="K317" i="1" s="1"/>
  <c r="I317" i="1"/>
  <c r="H317" i="1"/>
  <c r="F317" i="1"/>
  <c r="E317" i="1"/>
  <c r="M325" i="1"/>
  <c r="R325" i="1" s="1"/>
  <c r="J328" i="1"/>
  <c r="B328" i="1" s="1"/>
  <c r="K328" i="1" s="1"/>
  <c r="I328" i="1"/>
  <c r="H328" i="1"/>
  <c r="G328" i="1"/>
  <c r="F328" i="1"/>
  <c r="J344" i="1"/>
  <c r="B344" i="1" s="1"/>
  <c r="K344" i="1" s="1"/>
  <c r="I344" i="1"/>
  <c r="H344" i="1"/>
  <c r="G344" i="1"/>
  <c r="F344" i="1"/>
  <c r="M344" i="1"/>
  <c r="R344" i="1" s="1"/>
  <c r="D344" i="1"/>
  <c r="I346" i="1"/>
  <c r="H346" i="1"/>
  <c r="G346" i="1"/>
  <c r="F346" i="1"/>
  <c r="E346" i="1"/>
  <c r="M346" i="1"/>
  <c r="R346" i="1" s="1"/>
  <c r="D346" i="1"/>
  <c r="J346" i="1"/>
  <c r="B346" i="1" s="1"/>
  <c r="K346" i="1" s="1"/>
  <c r="M294" i="1"/>
  <c r="R294" i="1" s="1"/>
  <c r="J302" i="1"/>
  <c r="B302" i="1" s="1"/>
  <c r="K302" i="1" s="1"/>
  <c r="H311" i="1"/>
  <c r="F311" i="1"/>
  <c r="M311" i="1"/>
  <c r="R311" i="1" s="1"/>
  <c r="D311" i="1"/>
  <c r="H319" i="1"/>
  <c r="G319" i="1"/>
  <c r="F319" i="1"/>
  <c r="E319" i="1"/>
  <c r="M319" i="1"/>
  <c r="R319" i="1" s="1"/>
  <c r="D319" i="1"/>
  <c r="G324" i="1"/>
  <c r="F324" i="1"/>
  <c r="E324" i="1"/>
  <c r="M324" i="1"/>
  <c r="R324" i="1" s="1"/>
  <c r="D324" i="1"/>
  <c r="J324" i="1"/>
  <c r="B324" i="1" s="1"/>
  <c r="K324" i="1" s="1"/>
  <c r="E326" i="1"/>
  <c r="M326" i="1"/>
  <c r="R326" i="1" s="1"/>
  <c r="D326" i="1"/>
  <c r="J326" i="1"/>
  <c r="B326" i="1" s="1"/>
  <c r="K326" i="1" s="1"/>
  <c r="I326" i="1"/>
  <c r="H326" i="1"/>
  <c r="E334" i="1"/>
  <c r="M334" i="1"/>
  <c r="R334" i="1" s="1"/>
  <c r="D334" i="1"/>
  <c r="J334" i="1"/>
  <c r="B334" i="1" s="1"/>
  <c r="K334" i="1" s="1"/>
  <c r="I334" i="1"/>
  <c r="H334" i="1"/>
  <c r="F334" i="1"/>
  <c r="E348" i="1"/>
  <c r="I348" i="1"/>
  <c r="H348" i="1"/>
  <c r="G348" i="1"/>
  <c r="F348" i="1"/>
  <c r="D348" i="1"/>
  <c r="M348" i="1"/>
  <c r="R348" i="1" s="1"/>
  <c r="J348" i="1"/>
  <c r="B348" i="1" s="1"/>
  <c r="K348" i="1" s="1"/>
  <c r="M353" i="1"/>
  <c r="R353" i="1" s="1"/>
  <c r="D353" i="1"/>
  <c r="H353" i="1"/>
  <c r="G353" i="1"/>
  <c r="F353" i="1"/>
  <c r="E353" i="1"/>
  <c r="I353" i="1"/>
  <c r="G362" i="1"/>
  <c r="I362" i="1"/>
  <c r="H362" i="1"/>
  <c r="F362" i="1"/>
  <c r="E362" i="1"/>
  <c r="D362" i="1"/>
  <c r="M362" i="1"/>
  <c r="R362" i="1" s="1"/>
  <c r="J362" i="1"/>
  <c r="B362" i="1" s="1"/>
  <c r="K362" i="1" s="1"/>
  <c r="J371" i="1"/>
  <c r="B371" i="1" s="1"/>
  <c r="K371" i="1" s="1"/>
  <c r="I371" i="1"/>
  <c r="G371" i="1"/>
  <c r="M371" i="1"/>
  <c r="R371" i="1" s="1"/>
  <c r="H371" i="1"/>
  <c r="F371" i="1"/>
  <c r="E371" i="1"/>
  <c r="D371" i="1"/>
  <c r="D285" i="1"/>
  <c r="M285" i="1"/>
  <c r="R285" i="1" s="1"/>
  <c r="D294" i="1"/>
  <c r="E299" i="1"/>
  <c r="I305" i="1"/>
  <c r="G307" i="1"/>
  <c r="H308" i="1"/>
  <c r="E309" i="1"/>
  <c r="F310" i="1"/>
  <c r="E311" i="1"/>
  <c r="E312" i="1"/>
  <c r="H313" i="1"/>
  <c r="G316" i="1"/>
  <c r="F316" i="1"/>
  <c r="E316" i="1"/>
  <c r="J316" i="1"/>
  <c r="B316" i="1" s="1"/>
  <c r="K316" i="1" s="1"/>
  <c r="G317" i="1"/>
  <c r="I319" i="1"/>
  <c r="H324" i="1"/>
  <c r="F326" i="1"/>
  <c r="E328" i="1"/>
  <c r="I330" i="1"/>
  <c r="H330" i="1"/>
  <c r="G330" i="1"/>
  <c r="F330" i="1"/>
  <c r="E330" i="1"/>
  <c r="M330" i="1"/>
  <c r="R330" i="1" s="1"/>
  <c r="D330" i="1"/>
  <c r="J330" i="1"/>
  <c r="B330" i="1" s="1"/>
  <c r="K330" i="1" s="1"/>
  <c r="G334" i="1"/>
  <c r="J353" i="1"/>
  <c r="B353" i="1" s="1"/>
  <c r="K353" i="1" s="1"/>
  <c r="H373" i="1"/>
  <c r="G373" i="1"/>
  <c r="E373" i="1"/>
  <c r="J373" i="1"/>
  <c r="B373" i="1" s="1"/>
  <c r="K373" i="1" s="1"/>
  <c r="I373" i="1"/>
  <c r="F373" i="1"/>
  <c r="D373" i="1"/>
  <c r="G311" i="1"/>
  <c r="J319" i="1"/>
  <c r="B319" i="1" s="1"/>
  <c r="K319" i="1" s="1"/>
  <c r="G332" i="1"/>
  <c r="F332" i="1"/>
  <c r="E332" i="1"/>
  <c r="M332" i="1"/>
  <c r="R332" i="1" s="1"/>
  <c r="D332" i="1"/>
  <c r="J332" i="1"/>
  <c r="B332" i="1" s="1"/>
  <c r="K332" i="1" s="1"/>
  <c r="H332" i="1"/>
  <c r="H335" i="1"/>
  <c r="G335" i="1"/>
  <c r="F335" i="1"/>
  <c r="E335" i="1"/>
  <c r="M335" i="1"/>
  <c r="R335" i="1" s="1"/>
  <c r="D335" i="1"/>
  <c r="I335" i="1"/>
  <c r="H349" i="1"/>
  <c r="E349" i="1"/>
  <c r="D349" i="1"/>
  <c r="M349" i="1"/>
  <c r="R349" i="1" s="1"/>
  <c r="J349" i="1"/>
  <c r="B349" i="1" s="1"/>
  <c r="K349" i="1" s="1"/>
  <c r="I349" i="1"/>
  <c r="F349" i="1"/>
  <c r="G354" i="1"/>
  <c r="D354" i="1"/>
  <c r="M354" i="1"/>
  <c r="R354" i="1" s="1"/>
  <c r="J354" i="1"/>
  <c r="B354" i="1" s="1"/>
  <c r="K354" i="1" s="1"/>
  <c r="I354" i="1"/>
  <c r="H354" i="1"/>
  <c r="E354" i="1"/>
  <c r="E364" i="1"/>
  <c r="I364" i="1"/>
  <c r="H364" i="1"/>
  <c r="G364" i="1"/>
  <c r="F364" i="1"/>
  <c r="D364" i="1"/>
  <c r="M364" i="1"/>
  <c r="R364" i="1" s="1"/>
  <c r="J364" i="1"/>
  <c r="B364" i="1" s="1"/>
  <c r="K364" i="1" s="1"/>
  <c r="M297" i="1"/>
  <c r="R297" i="1" s="1"/>
  <c r="D297" i="1"/>
  <c r="J297" i="1"/>
  <c r="B297" i="1" s="1"/>
  <c r="K297" i="1" s="1"/>
  <c r="J301" i="1"/>
  <c r="B301" i="1" s="1"/>
  <c r="K301" i="1" s="1"/>
  <c r="H301" i="1"/>
  <c r="F301" i="1"/>
  <c r="E302" i="1"/>
  <c r="I302" i="1"/>
  <c r="I304" i="1"/>
  <c r="G304" i="1"/>
  <c r="J308" i="1"/>
  <c r="B308" i="1" s="1"/>
  <c r="K308" i="1" s="1"/>
  <c r="I309" i="1"/>
  <c r="H310" i="1"/>
  <c r="I311" i="1"/>
  <c r="H316" i="1"/>
  <c r="M317" i="1"/>
  <c r="R317" i="1" s="1"/>
  <c r="J320" i="1"/>
  <c r="B320" i="1" s="1"/>
  <c r="K320" i="1" s="1"/>
  <c r="I320" i="1"/>
  <c r="H320" i="1"/>
  <c r="G320" i="1"/>
  <c r="F320" i="1"/>
  <c r="I332" i="1"/>
  <c r="J335" i="1"/>
  <c r="B335" i="1" s="1"/>
  <c r="K335" i="1" s="1"/>
  <c r="E342" i="1"/>
  <c r="M342" i="1"/>
  <c r="R342" i="1" s="1"/>
  <c r="D342" i="1"/>
  <c r="J342" i="1"/>
  <c r="B342" i="1" s="1"/>
  <c r="K342" i="1" s="1"/>
  <c r="I342" i="1"/>
  <c r="H342" i="1"/>
  <c r="F342" i="1"/>
  <c r="G349" i="1"/>
  <c r="F354" i="1"/>
  <c r="H357" i="1"/>
  <c r="J357" i="1"/>
  <c r="B357" i="1" s="1"/>
  <c r="K357" i="1" s="1"/>
  <c r="I357" i="1"/>
  <c r="G357" i="1"/>
  <c r="F357" i="1"/>
  <c r="E357" i="1"/>
  <c r="D357" i="1"/>
  <c r="M350" i="1"/>
  <c r="R350" i="1" s="1"/>
  <c r="M359" i="1"/>
  <c r="R359" i="1" s="1"/>
  <c r="M366" i="1"/>
  <c r="R366" i="1" s="1"/>
  <c r="M369" i="1"/>
  <c r="R369" i="1" s="1"/>
  <c r="D369" i="1"/>
  <c r="I369" i="1"/>
  <c r="I375" i="1"/>
  <c r="M382" i="1"/>
  <c r="R382" i="1" s="1"/>
  <c r="D382" i="1"/>
  <c r="J382" i="1"/>
  <c r="B382" i="1" s="1"/>
  <c r="K382" i="1" s="1"/>
  <c r="I382" i="1"/>
  <c r="H382" i="1"/>
  <c r="E382" i="1"/>
  <c r="D384" i="1"/>
  <c r="G399" i="1"/>
  <c r="F399" i="1"/>
  <c r="E399" i="1"/>
  <c r="M399" i="1"/>
  <c r="R399" i="1" s="1"/>
  <c r="D399" i="1"/>
  <c r="J399" i="1"/>
  <c r="B399" i="1" s="1"/>
  <c r="K399" i="1" s="1"/>
  <c r="H399" i="1"/>
  <c r="E401" i="1"/>
  <c r="M401" i="1"/>
  <c r="R401" i="1" s="1"/>
  <c r="D401" i="1"/>
  <c r="J401" i="1"/>
  <c r="B401" i="1" s="1"/>
  <c r="K401" i="1" s="1"/>
  <c r="I401" i="1"/>
  <c r="H401" i="1"/>
  <c r="F401" i="1"/>
  <c r="I321" i="1"/>
  <c r="I329" i="1"/>
  <c r="E333" i="1"/>
  <c r="I337" i="1"/>
  <c r="E341" i="1"/>
  <c r="I345" i="1"/>
  <c r="E350" i="1"/>
  <c r="M355" i="1"/>
  <c r="R355" i="1" s="1"/>
  <c r="I358" i="1"/>
  <c r="E359" i="1"/>
  <c r="E366" i="1"/>
  <c r="J367" i="1"/>
  <c r="B367" i="1" s="1"/>
  <c r="K367" i="1" s="1"/>
  <c r="F369" i="1"/>
  <c r="I389" i="1"/>
  <c r="H389" i="1"/>
  <c r="G389" i="1"/>
  <c r="F389" i="1"/>
  <c r="E389" i="1"/>
  <c r="J389" i="1"/>
  <c r="B389" i="1" s="1"/>
  <c r="K389" i="1" s="1"/>
  <c r="G391" i="1"/>
  <c r="F391" i="1"/>
  <c r="E391" i="1"/>
  <c r="M391" i="1"/>
  <c r="R391" i="1" s="1"/>
  <c r="D391" i="1"/>
  <c r="J391" i="1"/>
  <c r="B391" i="1" s="1"/>
  <c r="K391" i="1" s="1"/>
  <c r="H391" i="1"/>
  <c r="H402" i="1"/>
  <c r="G402" i="1"/>
  <c r="F402" i="1"/>
  <c r="E402" i="1"/>
  <c r="M402" i="1"/>
  <c r="R402" i="1" s="1"/>
  <c r="D402" i="1"/>
  <c r="I402" i="1"/>
  <c r="I439" i="1"/>
  <c r="E439" i="1"/>
  <c r="D439" i="1"/>
  <c r="J439" i="1"/>
  <c r="B439" i="1" s="1"/>
  <c r="K439" i="1" s="1"/>
  <c r="H439" i="1"/>
  <c r="M439" i="1"/>
  <c r="R439" i="1" s="1"/>
  <c r="G439" i="1"/>
  <c r="F439" i="1"/>
  <c r="I471" i="1"/>
  <c r="G471" i="1"/>
  <c r="J471" i="1"/>
  <c r="B471" i="1" s="1"/>
  <c r="K471" i="1" s="1"/>
  <c r="H471" i="1"/>
  <c r="F471" i="1"/>
  <c r="D471" i="1"/>
  <c r="E471" i="1"/>
  <c r="M471" i="1"/>
  <c r="R471" i="1" s="1"/>
  <c r="H315" i="1"/>
  <c r="J321" i="1"/>
  <c r="B321" i="1" s="1"/>
  <c r="K321" i="1" s="1"/>
  <c r="H323" i="1"/>
  <c r="J329" i="1"/>
  <c r="B329" i="1" s="1"/>
  <c r="K329" i="1" s="1"/>
  <c r="H331" i="1"/>
  <c r="F333" i="1"/>
  <c r="J337" i="1"/>
  <c r="B337" i="1" s="1"/>
  <c r="K337" i="1" s="1"/>
  <c r="H339" i="1"/>
  <c r="F341" i="1"/>
  <c r="J345" i="1"/>
  <c r="B345" i="1" s="1"/>
  <c r="K345" i="1" s="1"/>
  <c r="H347" i="1"/>
  <c r="F350" i="1"/>
  <c r="D355" i="1"/>
  <c r="I356" i="1"/>
  <c r="J358" i="1"/>
  <c r="B358" i="1" s="1"/>
  <c r="K358" i="1" s="1"/>
  <c r="G359" i="1"/>
  <c r="H363" i="1"/>
  <c r="F366" i="1"/>
  <c r="G368" i="1"/>
  <c r="G369" i="1"/>
  <c r="E372" i="1"/>
  <c r="M372" i="1"/>
  <c r="R372" i="1" s="1"/>
  <c r="D372" i="1"/>
  <c r="J372" i="1"/>
  <c r="B372" i="1" s="1"/>
  <c r="K372" i="1" s="1"/>
  <c r="J374" i="1"/>
  <c r="B374" i="1" s="1"/>
  <c r="K374" i="1" s="1"/>
  <c r="H374" i="1"/>
  <c r="E377" i="1"/>
  <c r="M377" i="1"/>
  <c r="R377" i="1" s="1"/>
  <c r="D377" i="1"/>
  <c r="J377" i="1"/>
  <c r="B377" i="1" s="1"/>
  <c r="K377" i="1" s="1"/>
  <c r="I377" i="1"/>
  <c r="D389" i="1"/>
  <c r="I391" i="1"/>
  <c r="I397" i="1"/>
  <c r="H397" i="1"/>
  <c r="G397" i="1"/>
  <c r="F397" i="1"/>
  <c r="E397" i="1"/>
  <c r="M397" i="1"/>
  <c r="R397" i="1" s="1"/>
  <c r="D397" i="1"/>
  <c r="J397" i="1"/>
  <c r="B397" i="1" s="1"/>
  <c r="K397" i="1" s="1"/>
  <c r="J402" i="1"/>
  <c r="B402" i="1" s="1"/>
  <c r="K402" i="1" s="1"/>
  <c r="E427" i="1"/>
  <c r="M427" i="1"/>
  <c r="R427" i="1" s="1"/>
  <c r="D427" i="1"/>
  <c r="I427" i="1"/>
  <c r="H427" i="1"/>
  <c r="G427" i="1"/>
  <c r="F427" i="1"/>
  <c r="J427" i="1"/>
  <c r="B427" i="1" s="1"/>
  <c r="K427" i="1" s="1"/>
  <c r="I431" i="1"/>
  <c r="J431" i="1"/>
  <c r="B431" i="1" s="1"/>
  <c r="K431" i="1" s="1"/>
  <c r="H431" i="1"/>
  <c r="E431" i="1"/>
  <c r="D431" i="1"/>
  <c r="M431" i="1"/>
  <c r="R431" i="1" s="1"/>
  <c r="G431" i="1"/>
  <c r="F431" i="1"/>
  <c r="M440" i="1"/>
  <c r="R440" i="1" s="1"/>
  <c r="D440" i="1"/>
  <c r="J440" i="1"/>
  <c r="B440" i="1" s="1"/>
  <c r="K440" i="1" s="1"/>
  <c r="I440" i="1"/>
  <c r="F440" i="1"/>
  <c r="E440" i="1"/>
  <c r="G440" i="1"/>
  <c r="H440" i="1"/>
  <c r="G333" i="1"/>
  <c r="G341" i="1"/>
  <c r="G350" i="1"/>
  <c r="M351" i="1"/>
  <c r="R351" i="1" s="1"/>
  <c r="M358" i="1"/>
  <c r="R358" i="1" s="1"/>
  <c r="H359" i="1"/>
  <c r="G366" i="1"/>
  <c r="M367" i="1"/>
  <c r="R367" i="1" s="1"/>
  <c r="H369" i="1"/>
  <c r="F375" i="1"/>
  <c r="E375" i="1"/>
  <c r="J376" i="1"/>
  <c r="B376" i="1" s="1"/>
  <c r="K376" i="1" s="1"/>
  <c r="I376" i="1"/>
  <c r="H376" i="1"/>
  <c r="F376" i="1"/>
  <c r="I381" i="1"/>
  <c r="H381" i="1"/>
  <c r="G381" i="1"/>
  <c r="F381" i="1"/>
  <c r="E381" i="1"/>
  <c r="J381" i="1"/>
  <c r="B381" i="1" s="1"/>
  <c r="K381" i="1" s="1"/>
  <c r="G383" i="1"/>
  <c r="F383" i="1"/>
  <c r="E383" i="1"/>
  <c r="M383" i="1"/>
  <c r="R383" i="1" s="1"/>
  <c r="D383" i="1"/>
  <c r="H383" i="1"/>
  <c r="E385" i="1"/>
  <c r="M385" i="1"/>
  <c r="R385" i="1" s="1"/>
  <c r="D385" i="1"/>
  <c r="J385" i="1"/>
  <c r="B385" i="1" s="1"/>
  <c r="K385" i="1" s="1"/>
  <c r="I385" i="1"/>
  <c r="F385" i="1"/>
  <c r="J392" i="1"/>
  <c r="B392" i="1" s="1"/>
  <c r="K392" i="1" s="1"/>
  <c r="I392" i="1"/>
  <c r="H392" i="1"/>
  <c r="G392" i="1"/>
  <c r="F392" i="1"/>
  <c r="E392" i="1"/>
  <c r="I405" i="1"/>
  <c r="H405" i="1"/>
  <c r="G405" i="1"/>
  <c r="F405" i="1"/>
  <c r="E405" i="1"/>
  <c r="M405" i="1"/>
  <c r="R405" i="1" s="1"/>
  <c r="D405" i="1"/>
  <c r="J405" i="1"/>
  <c r="B405" i="1" s="1"/>
  <c r="K405" i="1" s="1"/>
  <c r="I447" i="1"/>
  <c r="J447" i="1"/>
  <c r="B447" i="1" s="1"/>
  <c r="K447" i="1" s="1"/>
  <c r="H447" i="1"/>
  <c r="E447" i="1"/>
  <c r="D447" i="1"/>
  <c r="G447" i="1"/>
  <c r="F447" i="1"/>
  <c r="M447" i="1"/>
  <c r="R447" i="1" s="1"/>
  <c r="J315" i="1"/>
  <c r="B315" i="1" s="1"/>
  <c r="K315" i="1" s="1"/>
  <c r="D321" i="1"/>
  <c r="M321" i="1"/>
  <c r="R321" i="1" s="1"/>
  <c r="J323" i="1"/>
  <c r="B323" i="1" s="1"/>
  <c r="K323" i="1" s="1"/>
  <c r="D329" i="1"/>
  <c r="M329" i="1"/>
  <c r="R329" i="1" s="1"/>
  <c r="J331" i="1"/>
  <c r="B331" i="1" s="1"/>
  <c r="K331" i="1" s="1"/>
  <c r="H333" i="1"/>
  <c r="D337" i="1"/>
  <c r="M337" i="1"/>
  <c r="R337" i="1" s="1"/>
  <c r="J339" i="1"/>
  <c r="B339" i="1" s="1"/>
  <c r="K339" i="1" s="1"/>
  <c r="H341" i="1"/>
  <c r="D345" i="1"/>
  <c r="M345" i="1"/>
  <c r="R345" i="1" s="1"/>
  <c r="H350" i="1"/>
  <c r="D351" i="1"/>
  <c r="F355" i="1"/>
  <c r="D358" i="1"/>
  <c r="I359" i="1"/>
  <c r="H366" i="1"/>
  <c r="D367" i="1"/>
  <c r="J369" i="1"/>
  <c r="B369" i="1" s="1"/>
  <c r="K369" i="1" s="1"/>
  <c r="D375" i="1"/>
  <c r="D376" i="1"/>
  <c r="D381" i="1"/>
  <c r="I383" i="1"/>
  <c r="G385" i="1"/>
  <c r="M389" i="1"/>
  <c r="R389" i="1" s="1"/>
  <c r="D392" i="1"/>
  <c r="M398" i="1"/>
  <c r="R398" i="1" s="1"/>
  <c r="D398" i="1"/>
  <c r="J398" i="1"/>
  <c r="B398" i="1" s="1"/>
  <c r="K398" i="1" s="1"/>
  <c r="I398" i="1"/>
  <c r="H398" i="1"/>
  <c r="G398" i="1"/>
  <c r="E398" i="1"/>
  <c r="E419" i="1"/>
  <c r="M419" i="1"/>
  <c r="R419" i="1" s="1"/>
  <c r="D419" i="1"/>
  <c r="I419" i="1"/>
  <c r="H419" i="1"/>
  <c r="J419" i="1"/>
  <c r="B419" i="1" s="1"/>
  <c r="K419" i="1" s="1"/>
  <c r="G419" i="1"/>
  <c r="F419" i="1"/>
  <c r="M448" i="1"/>
  <c r="R448" i="1" s="1"/>
  <c r="D448" i="1"/>
  <c r="F448" i="1"/>
  <c r="E448" i="1"/>
  <c r="J448" i="1"/>
  <c r="B448" i="1" s="1"/>
  <c r="K448" i="1" s="1"/>
  <c r="I448" i="1"/>
  <c r="H448" i="1"/>
  <c r="G448" i="1"/>
  <c r="E321" i="1"/>
  <c r="E329" i="1"/>
  <c r="I333" i="1"/>
  <c r="E337" i="1"/>
  <c r="I341" i="1"/>
  <c r="E345" i="1"/>
  <c r="M347" i="1"/>
  <c r="R347" i="1" s="1"/>
  <c r="I350" i="1"/>
  <c r="E351" i="1"/>
  <c r="G355" i="1"/>
  <c r="M356" i="1"/>
  <c r="R356" i="1" s="1"/>
  <c r="E358" i="1"/>
  <c r="J359" i="1"/>
  <c r="B359" i="1" s="1"/>
  <c r="K359" i="1" s="1"/>
  <c r="M363" i="1"/>
  <c r="R363" i="1" s="1"/>
  <c r="I366" i="1"/>
  <c r="E367" i="1"/>
  <c r="G375" i="1"/>
  <c r="E376" i="1"/>
  <c r="J383" i="1"/>
  <c r="B383" i="1" s="1"/>
  <c r="K383" i="1" s="1"/>
  <c r="H385" i="1"/>
  <c r="M390" i="1"/>
  <c r="R390" i="1" s="1"/>
  <c r="D390" i="1"/>
  <c r="J390" i="1"/>
  <c r="B390" i="1" s="1"/>
  <c r="K390" i="1" s="1"/>
  <c r="I390" i="1"/>
  <c r="H390" i="1"/>
  <c r="E390" i="1"/>
  <c r="M392" i="1"/>
  <c r="R392" i="1" s="1"/>
  <c r="F398" i="1"/>
  <c r="E406" i="1"/>
  <c r="D406" i="1"/>
  <c r="M406" i="1"/>
  <c r="R406" i="1" s="1"/>
  <c r="J406" i="1"/>
  <c r="B406" i="1" s="1"/>
  <c r="K406" i="1" s="1"/>
  <c r="I406" i="1"/>
  <c r="H406" i="1"/>
  <c r="F406" i="1"/>
  <c r="I410" i="1"/>
  <c r="E410" i="1"/>
  <c r="J410" i="1"/>
  <c r="B410" i="1" s="1"/>
  <c r="K410" i="1" s="1"/>
  <c r="H410" i="1"/>
  <c r="G410" i="1"/>
  <c r="F410" i="1"/>
  <c r="D410" i="1"/>
  <c r="M410" i="1"/>
  <c r="R410" i="1" s="1"/>
  <c r="I455" i="1"/>
  <c r="E455" i="1"/>
  <c r="D455" i="1"/>
  <c r="J455" i="1"/>
  <c r="B455" i="1" s="1"/>
  <c r="K455" i="1" s="1"/>
  <c r="H455" i="1"/>
  <c r="M455" i="1"/>
  <c r="R455" i="1" s="1"/>
  <c r="G455" i="1"/>
  <c r="F455" i="1"/>
  <c r="D315" i="1"/>
  <c r="D323" i="1"/>
  <c r="D331" i="1"/>
  <c r="D339" i="1"/>
  <c r="D347" i="1"/>
  <c r="G351" i="1"/>
  <c r="H355" i="1"/>
  <c r="G367" i="1"/>
  <c r="I368" i="1"/>
  <c r="H368" i="1"/>
  <c r="H375" i="1"/>
  <c r="J384" i="1"/>
  <c r="B384" i="1" s="1"/>
  <c r="K384" i="1" s="1"/>
  <c r="I384" i="1"/>
  <c r="H384" i="1"/>
  <c r="G384" i="1"/>
  <c r="F384" i="1"/>
  <c r="E393" i="1"/>
  <c r="M393" i="1"/>
  <c r="R393" i="1" s="1"/>
  <c r="D393" i="1"/>
  <c r="J393" i="1"/>
  <c r="B393" i="1" s="1"/>
  <c r="K393" i="1" s="1"/>
  <c r="I393" i="1"/>
  <c r="H393" i="1"/>
  <c r="F393" i="1"/>
  <c r="G408" i="1"/>
  <c r="F409" i="1"/>
  <c r="J409" i="1"/>
  <c r="B409" i="1" s="1"/>
  <c r="K409" i="1" s="1"/>
  <c r="F412" i="1"/>
  <c r="J413" i="1"/>
  <c r="B413" i="1" s="1"/>
  <c r="K413" i="1" s="1"/>
  <c r="F413" i="1"/>
  <c r="E424" i="1"/>
  <c r="D433" i="1"/>
  <c r="J450" i="1"/>
  <c r="B450" i="1" s="1"/>
  <c r="K450" i="1" s="1"/>
  <c r="F450" i="1"/>
  <c r="E450" i="1"/>
  <c r="I450" i="1"/>
  <c r="M456" i="1"/>
  <c r="R456" i="1" s="1"/>
  <c r="D456" i="1"/>
  <c r="J456" i="1"/>
  <c r="B456" i="1" s="1"/>
  <c r="K456" i="1" s="1"/>
  <c r="I456" i="1"/>
  <c r="F456" i="1"/>
  <c r="E456" i="1"/>
  <c r="E475" i="1"/>
  <c r="H475" i="1"/>
  <c r="M475" i="1"/>
  <c r="R475" i="1" s="1"/>
  <c r="J475" i="1"/>
  <c r="B475" i="1" s="1"/>
  <c r="K475" i="1" s="1"/>
  <c r="G475" i="1"/>
  <c r="F475" i="1"/>
  <c r="D475" i="1"/>
  <c r="H420" i="1"/>
  <c r="G420" i="1"/>
  <c r="M420" i="1"/>
  <c r="R420" i="1" s="1"/>
  <c r="D420" i="1"/>
  <c r="I423" i="1"/>
  <c r="H423" i="1"/>
  <c r="E423" i="1"/>
  <c r="M423" i="1"/>
  <c r="R423" i="1" s="1"/>
  <c r="D423" i="1"/>
  <c r="M432" i="1"/>
  <c r="R432" i="1" s="1"/>
  <c r="D432" i="1"/>
  <c r="F432" i="1"/>
  <c r="E432" i="1"/>
  <c r="J432" i="1"/>
  <c r="B432" i="1" s="1"/>
  <c r="K432" i="1" s="1"/>
  <c r="I432" i="1"/>
  <c r="G449" i="1"/>
  <c r="J449" i="1"/>
  <c r="B449" i="1" s="1"/>
  <c r="K449" i="1" s="1"/>
  <c r="F449" i="1"/>
  <c r="E449" i="1"/>
  <c r="E414" i="1"/>
  <c r="J414" i="1"/>
  <c r="B414" i="1" s="1"/>
  <c r="K414" i="1" s="1"/>
  <c r="I414" i="1"/>
  <c r="H416" i="1"/>
  <c r="G416" i="1"/>
  <c r="E420" i="1"/>
  <c r="F422" i="1"/>
  <c r="E422" i="1"/>
  <c r="J422" i="1"/>
  <c r="B422" i="1" s="1"/>
  <c r="K422" i="1" s="1"/>
  <c r="I422" i="1"/>
  <c r="F423" i="1"/>
  <c r="I424" i="1"/>
  <c r="G432" i="1"/>
  <c r="F438" i="1"/>
  <c r="I438" i="1"/>
  <c r="H438" i="1"/>
  <c r="D438" i="1"/>
  <c r="M438" i="1"/>
  <c r="R438" i="1" s="1"/>
  <c r="E443" i="1"/>
  <c r="G443" i="1"/>
  <c r="F443" i="1"/>
  <c r="J443" i="1"/>
  <c r="B443" i="1" s="1"/>
  <c r="K443" i="1" s="1"/>
  <c r="D449" i="1"/>
  <c r="G450" i="1"/>
  <c r="H456" i="1"/>
  <c r="H461" i="1"/>
  <c r="G461" i="1"/>
  <c r="F461" i="1"/>
  <c r="D461" i="1"/>
  <c r="J461" i="1"/>
  <c r="B461" i="1" s="1"/>
  <c r="K461" i="1" s="1"/>
  <c r="I461" i="1"/>
  <c r="G379" i="1"/>
  <c r="J380" i="1"/>
  <c r="B380" i="1" s="1"/>
  <c r="K380" i="1" s="1"/>
  <c r="G387" i="1"/>
  <c r="J388" i="1"/>
  <c r="B388" i="1" s="1"/>
  <c r="K388" i="1" s="1"/>
  <c r="J396" i="1"/>
  <c r="B396" i="1" s="1"/>
  <c r="K396" i="1" s="1"/>
  <c r="F400" i="1"/>
  <c r="J404" i="1"/>
  <c r="B404" i="1" s="1"/>
  <c r="K404" i="1" s="1"/>
  <c r="J408" i="1"/>
  <c r="B408" i="1" s="1"/>
  <c r="K408" i="1" s="1"/>
  <c r="J412" i="1"/>
  <c r="B412" i="1" s="1"/>
  <c r="K412" i="1" s="1"/>
  <c r="G413" i="1"/>
  <c r="D414" i="1"/>
  <c r="D416" i="1"/>
  <c r="F417" i="1"/>
  <c r="J417" i="1"/>
  <c r="B417" i="1" s="1"/>
  <c r="K417" i="1" s="1"/>
  <c r="F420" i="1"/>
  <c r="D422" i="1"/>
  <c r="G423" i="1"/>
  <c r="H428" i="1"/>
  <c r="G428" i="1"/>
  <c r="M428" i="1"/>
  <c r="R428" i="1" s="1"/>
  <c r="D428" i="1"/>
  <c r="H432" i="1"/>
  <c r="H436" i="1"/>
  <c r="G436" i="1"/>
  <c r="F436" i="1"/>
  <c r="M436" i="1"/>
  <c r="R436" i="1" s="1"/>
  <c r="E438" i="1"/>
  <c r="J442" i="1"/>
  <c r="B442" i="1" s="1"/>
  <c r="K442" i="1" s="1"/>
  <c r="I442" i="1"/>
  <c r="F442" i="1"/>
  <c r="E442" i="1"/>
  <c r="D443" i="1"/>
  <c r="H449" i="1"/>
  <c r="J466" i="1"/>
  <c r="B466" i="1" s="1"/>
  <c r="K466" i="1" s="1"/>
  <c r="H466" i="1"/>
  <c r="I466" i="1"/>
  <c r="G466" i="1"/>
  <c r="E466" i="1"/>
  <c r="F466" i="1"/>
  <c r="D466" i="1"/>
  <c r="H468" i="1"/>
  <c r="F468" i="1"/>
  <c r="E468" i="1"/>
  <c r="D468" i="1"/>
  <c r="J468" i="1"/>
  <c r="B468" i="1" s="1"/>
  <c r="K468" i="1" s="1"/>
  <c r="I468" i="1"/>
  <c r="H379" i="1"/>
  <c r="H387" i="1"/>
  <c r="M408" i="1"/>
  <c r="R408" i="1" s="1"/>
  <c r="M411" i="1"/>
  <c r="R411" i="1" s="1"/>
  <c r="D411" i="1"/>
  <c r="H411" i="1"/>
  <c r="F414" i="1"/>
  <c r="E416" i="1"/>
  <c r="J418" i="1"/>
  <c r="B418" i="1" s="1"/>
  <c r="K418" i="1" s="1"/>
  <c r="I418" i="1"/>
  <c r="F418" i="1"/>
  <c r="E418" i="1"/>
  <c r="I420" i="1"/>
  <c r="G422" i="1"/>
  <c r="J423" i="1"/>
  <c r="B423" i="1" s="1"/>
  <c r="K423" i="1" s="1"/>
  <c r="F430" i="1"/>
  <c r="E430" i="1"/>
  <c r="J430" i="1"/>
  <c r="B430" i="1" s="1"/>
  <c r="K430" i="1" s="1"/>
  <c r="I430" i="1"/>
  <c r="G441" i="1"/>
  <c r="F441" i="1"/>
  <c r="E441" i="1"/>
  <c r="J441" i="1"/>
  <c r="B441" i="1" s="1"/>
  <c r="K441" i="1" s="1"/>
  <c r="I449" i="1"/>
  <c r="F454" i="1"/>
  <c r="I454" i="1"/>
  <c r="H454" i="1"/>
  <c r="D454" i="1"/>
  <c r="M454" i="1"/>
  <c r="R454" i="1" s="1"/>
  <c r="J458" i="1"/>
  <c r="B458" i="1" s="1"/>
  <c r="K458" i="1" s="1"/>
  <c r="H458" i="1"/>
  <c r="E458" i="1"/>
  <c r="D458" i="1"/>
  <c r="M458" i="1"/>
  <c r="R458" i="1" s="1"/>
  <c r="I458" i="1"/>
  <c r="M466" i="1"/>
  <c r="R466" i="1" s="1"/>
  <c r="G468" i="1"/>
  <c r="I477" i="1"/>
  <c r="F477" i="1"/>
  <c r="M477" i="1"/>
  <c r="R477" i="1" s="1"/>
  <c r="J477" i="1"/>
  <c r="B477" i="1" s="1"/>
  <c r="K477" i="1" s="1"/>
  <c r="G477" i="1"/>
  <c r="E477" i="1"/>
  <c r="D477" i="1"/>
  <c r="I379" i="1"/>
  <c r="D380" i="1"/>
  <c r="M380" i="1"/>
  <c r="R380" i="1" s="1"/>
  <c r="I387" i="1"/>
  <c r="D388" i="1"/>
  <c r="M388" i="1"/>
  <c r="R388" i="1" s="1"/>
  <c r="D396" i="1"/>
  <c r="M396" i="1"/>
  <c r="R396" i="1" s="1"/>
  <c r="H400" i="1"/>
  <c r="D404" i="1"/>
  <c r="M404" i="1"/>
  <c r="R404" i="1" s="1"/>
  <c r="D408" i="1"/>
  <c r="E411" i="1"/>
  <c r="I413" i="1"/>
  <c r="G414" i="1"/>
  <c r="F416" i="1"/>
  <c r="D418" i="1"/>
  <c r="J420" i="1"/>
  <c r="B420" i="1" s="1"/>
  <c r="K420" i="1" s="1"/>
  <c r="H422" i="1"/>
  <c r="D430" i="1"/>
  <c r="E435" i="1"/>
  <c r="J435" i="1"/>
  <c r="B435" i="1" s="1"/>
  <c r="K435" i="1" s="1"/>
  <c r="G435" i="1"/>
  <c r="F435" i="1"/>
  <c r="J438" i="1"/>
  <c r="B438" i="1" s="1"/>
  <c r="K438" i="1" s="1"/>
  <c r="D441" i="1"/>
  <c r="G442" i="1"/>
  <c r="I443" i="1"/>
  <c r="M449" i="1"/>
  <c r="R449" i="1" s="1"/>
  <c r="H452" i="1"/>
  <c r="G452" i="1"/>
  <c r="F452" i="1"/>
  <c r="M452" i="1"/>
  <c r="R452" i="1" s="1"/>
  <c r="E454" i="1"/>
  <c r="I463" i="1"/>
  <c r="J463" i="1"/>
  <c r="B463" i="1" s="1"/>
  <c r="K463" i="1" s="1"/>
  <c r="H463" i="1"/>
  <c r="G463" i="1"/>
  <c r="E463" i="1"/>
  <c r="M463" i="1"/>
  <c r="R463" i="1" s="1"/>
  <c r="D463" i="1"/>
  <c r="M468" i="1"/>
  <c r="R468" i="1" s="1"/>
  <c r="F470" i="1"/>
  <c r="M470" i="1"/>
  <c r="R470" i="1" s="1"/>
  <c r="D470" i="1"/>
  <c r="J470" i="1"/>
  <c r="B470" i="1" s="1"/>
  <c r="K470" i="1" s="1"/>
  <c r="I470" i="1"/>
  <c r="G470" i="1"/>
  <c r="H470" i="1"/>
  <c r="E470" i="1"/>
  <c r="H477" i="1"/>
  <c r="E396" i="1"/>
  <c r="I400" i="1"/>
  <c r="E404" i="1"/>
  <c r="E408" i="1"/>
  <c r="F411" i="1"/>
  <c r="D412" i="1"/>
  <c r="H414" i="1"/>
  <c r="I416" i="1"/>
  <c r="G417" i="1"/>
  <c r="G418" i="1"/>
  <c r="G425" i="1"/>
  <c r="F425" i="1"/>
  <c r="J425" i="1"/>
  <c r="B425" i="1" s="1"/>
  <c r="K425" i="1" s="1"/>
  <c r="J426" i="1"/>
  <c r="B426" i="1" s="1"/>
  <c r="K426" i="1" s="1"/>
  <c r="I426" i="1"/>
  <c r="F426" i="1"/>
  <c r="E426" i="1"/>
  <c r="I428" i="1"/>
  <c r="G430" i="1"/>
  <c r="J434" i="1"/>
  <c r="B434" i="1" s="1"/>
  <c r="K434" i="1" s="1"/>
  <c r="F434" i="1"/>
  <c r="E434" i="1"/>
  <c r="I434" i="1"/>
  <c r="D435" i="1"/>
  <c r="I436" i="1"/>
  <c r="H441" i="1"/>
  <c r="H442" i="1"/>
  <c r="M443" i="1"/>
  <c r="R443" i="1" s="1"/>
  <c r="D452" i="1"/>
  <c r="G454" i="1"/>
  <c r="G458" i="1"/>
  <c r="F463" i="1"/>
  <c r="J416" i="1"/>
  <c r="B416" i="1" s="1"/>
  <c r="K416" i="1" s="1"/>
  <c r="M424" i="1"/>
  <c r="R424" i="1" s="1"/>
  <c r="D424" i="1"/>
  <c r="H424" i="1"/>
  <c r="G424" i="1"/>
  <c r="J428" i="1"/>
  <c r="B428" i="1" s="1"/>
  <c r="K428" i="1" s="1"/>
  <c r="H430" i="1"/>
  <c r="G433" i="1"/>
  <c r="J433" i="1"/>
  <c r="B433" i="1" s="1"/>
  <c r="K433" i="1" s="1"/>
  <c r="F433" i="1"/>
  <c r="E433" i="1"/>
  <c r="H435" i="1"/>
  <c r="I441" i="1"/>
  <c r="M442" i="1"/>
  <c r="R442" i="1" s="1"/>
  <c r="F446" i="1"/>
  <c r="D446" i="1"/>
  <c r="M446" i="1"/>
  <c r="R446" i="1" s="1"/>
  <c r="I446" i="1"/>
  <c r="H446" i="1"/>
  <c r="E451" i="1"/>
  <c r="J451" i="1"/>
  <c r="B451" i="1" s="1"/>
  <c r="K451" i="1" s="1"/>
  <c r="G451" i="1"/>
  <c r="F451" i="1"/>
  <c r="E452" i="1"/>
  <c r="J454" i="1"/>
  <c r="B454" i="1" s="1"/>
  <c r="K454" i="1" s="1"/>
  <c r="H460" i="1"/>
  <c r="M460" i="1"/>
  <c r="R460" i="1" s="1"/>
  <c r="J460" i="1"/>
  <c r="B460" i="1" s="1"/>
  <c r="K460" i="1" s="1"/>
  <c r="G460" i="1"/>
  <c r="E460" i="1"/>
  <c r="D460" i="1"/>
  <c r="I485" i="1"/>
  <c r="H485" i="1"/>
  <c r="F485" i="1"/>
  <c r="M485" i="1"/>
  <c r="R485" i="1" s="1"/>
  <c r="J485" i="1"/>
  <c r="B485" i="1" s="1"/>
  <c r="K485" i="1" s="1"/>
  <c r="E485" i="1"/>
  <c r="F502" i="1"/>
  <c r="E502" i="1"/>
  <c r="I502" i="1"/>
  <c r="H502" i="1"/>
  <c r="G502" i="1"/>
  <c r="D502" i="1"/>
  <c r="M502" i="1"/>
  <c r="R502" i="1" s="1"/>
  <c r="J502" i="1"/>
  <c r="B502" i="1" s="1"/>
  <c r="K502" i="1" s="1"/>
  <c r="J493" i="1"/>
  <c r="B493" i="1" s="1"/>
  <c r="K493" i="1" s="1"/>
  <c r="D493" i="1"/>
  <c r="I493" i="1"/>
  <c r="G493" i="1"/>
  <c r="M493" i="1"/>
  <c r="R493" i="1" s="1"/>
  <c r="H493" i="1"/>
  <c r="E493" i="1"/>
  <c r="I503" i="1"/>
  <c r="H503" i="1"/>
  <c r="J503" i="1"/>
  <c r="B503" i="1" s="1"/>
  <c r="K503" i="1" s="1"/>
  <c r="F503" i="1"/>
  <c r="E503" i="1"/>
  <c r="D503" i="1"/>
  <c r="M503" i="1"/>
  <c r="R503" i="1" s="1"/>
  <c r="G503" i="1"/>
  <c r="F421" i="1"/>
  <c r="F429" i="1"/>
  <c r="M445" i="1"/>
  <c r="R445" i="1" s="1"/>
  <c r="I479" i="1"/>
  <c r="G479" i="1"/>
  <c r="M479" i="1"/>
  <c r="R479" i="1" s="1"/>
  <c r="D479" i="1"/>
  <c r="J479" i="1"/>
  <c r="B479" i="1" s="1"/>
  <c r="K479" i="1" s="1"/>
  <c r="F479" i="1"/>
  <c r="E483" i="1"/>
  <c r="J483" i="1"/>
  <c r="B483" i="1" s="1"/>
  <c r="K483" i="1" s="1"/>
  <c r="H483" i="1"/>
  <c r="I483" i="1"/>
  <c r="G483" i="1"/>
  <c r="F483" i="1"/>
  <c r="D483" i="1"/>
  <c r="G485" i="1"/>
  <c r="F493" i="1"/>
  <c r="G444" i="1"/>
  <c r="D445" i="1"/>
  <c r="G457" i="1"/>
  <c r="E457" i="1"/>
  <c r="E491" i="1"/>
  <c r="J491" i="1"/>
  <c r="B491" i="1" s="1"/>
  <c r="K491" i="1" s="1"/>
  <c r="H491" i="1"/>
  <c r="I491" i="1"/>
  <c r="G491" i="1"/>
  <c r="F491" i="1"/>
  <c r="D491" i="1"/>
  <c r="J496" i="1"/>
  <c r="B496" i="1" s="1"/>
  <c r="K496" i="1" s="1"/>
  <c r="H496" i="1"/>
  <c r="G496" i="1"/>
  <c r="E496" i="1"/>
  <c r="M496" i="1"/>
  <c r="R496" i="1" s="1"/>
  <c r="I496" i="1"/>
  <c r="F496" i="1"/>
  <c r="D496" i="1"/>
  <c r="M491" i="1"/>
  <c r="R491" i="1" s="1"/>
  <c r="J474" i="1"/>
  <c r="B474" i="1" s="1"/>
  <c r="K474" i="1" s="1"/>
  <c r="H474" i="1"/>
  <c r="E474" i="1"/>
  <c r="M474" i="1"/>
  <c r="R474" i="1" s="1"/>
  <c r="G474" i="1"/>
  <c r="H476" i="1"/>
  <c r="F476" i="1"/>
  <c r="M476" i="1"/>
  <c r="R476" i="1" s="1"/>
  <c r="J476" i="1"/>
  <c r="B476" i="1" s="1"/>
  <c r="K476" i="1" s="1"/>
  <c r="G476" i="1"/>
  <c r="F497" i="1"/>
  <c r="G497" i="1"/>
  <c r="D497" i="1"/>
  <c r="M497" i="1"/>
  <c r="R497" i="1" s="1"/>
  <c r="J497" i="1"/>
  <c r="B497" i="1" s="1"/>
  <c r="K497" i="1" s="1"/>
  <c r="I497" i="1"/>
  <c r="E497" i="1"/>
  <c r="M437" i="1"/>
  <c r="R437" i="1" s="1"/>
  <c r="G445" i="1"/>
  <c r="M453" i="1"/>
  <c r="R453" i="1" s="1"/>
  <c r="H457" i="1"/>
  <c r="D474" i="1"/>
  <c r="D476" i="1"/>
  <c r="F478" i="1"/>
  <c r="M478" i="1"/>
  <c r="R478" i="1" s="1"/>
  <c r="D478" i="1"/>
  <c r="I478" i="1"/>
  <c r="J478" i="1"/>
  <c r="B478" i="1" s="1"/>
  <c r="K478" i="1" s="1"/>
  <c r="G478" i="1"/>
  <c r="M480" i="1"/>
  <c r="R480" i="1" s="1"/>
  <c r="D480" i="1"/>
  <c r="J480" i="1"/>
  <c r="B480" i="1" s="1"/>
  <c r="K480" i="1" s="1"/>
  <c r="G480" i="1"/>
  <c r="I480" i="1"/>
  <c r="H480" i="1"/>
  <c r="E480" i="1"/>
  <c r="H497" i="1"/>
  <c r="M444" i="1"/>
  <c r="R444" i="1" s="1"/>
  <c r="I457" i="1"/>
  <c r="E459" i="1"/>
  <c r="G459" i="1"/>
  <c r="D459" i="1"/>
  <c r="G465" i="1"/>
  <c r="E465" i="1"/>
  <c r="M465" i="1"/>
  <c r="R465" i="1" s="1"/>
  <c r="I465" i="1"/>
  <c r="F474" i="1"/>
  <c r="E476" i="1"/>
  <c r="J482" i="1"/>
  <c r="B482" i="1" s="1"/>
  <c r="K482" i="1" s="1"/>
  <c r="H482" i="1"/>
  <c r="E482" i="1"/>
  <c r="I482" i="1"/>
  <c r="G482" i="1"/>
  <c r="F482" i="1"/>
  <c r="D482" i="1"/>
  <c r="I487" i="1"/>
  <c r="G487" i="1"/>
  <c r="F487" i="1"/>
  <c r="M487" i="1"/>
  <c r="R487" i="1" s="1"/>
  <c r="D487" i="1"/>
  <c r="E487" i="1"/>
  <c r="G505" i="1"/>
  <c r="F505" i="1"/>
  <c r="D505" i="1"/>
  <c r="M505" i="1"/>
  <c r="R505" i="1" s="1"/>
  <c r="J505" i="1"/>
  <c r="B505" i="1" s="1"/>
  <c r="K505" i="1" s="1"/>
  <c r="I505" i="1"/>
  <c r="H505" i="1"/>
  <c r="E505" i="1"/>
  <c r="G518" i="1"/>
  <c r="F518" i="1"/>
  <c r="E518" i="1"/>
  <c r="J518" i="1"/>
  <c r="B518" i="1" s="1"/>
  <c r="K518" i="1" s="1"/>
  <c r="I518" i="1"/>
  <c r="H518" i="1"/>
  <c r="D518" i="1"/>
  <c r="M518" i="1"/>
  <c r="R518" i="1" s="1"/>
  <c r="H521" i="1"/>
  <c r="G521" i="1"/>
  <c r="F521" i="1"/>
  <c r="I521" i="1"/>
  <c r="E521" i="1"/>
  <c r="D521" i="1"/>
  <c r="M521" i="1"/>
  <c r="R521" i="1" s="1"/>
  <c r="J521" i="1"/>
  <c r="B521" i="1" s="1"/>
  <c r="K521" i="1" s="1"/>
  <c r="G481" i="1"/>
  <c r="E481" i="1"/>
  <c r="J481" i="1"/>
  <c r="B481" i="1" s="1"/>
  <c r="K481" i="1" s="1"/>
  <c r="H484" i="1"/>
  <c r="F484" i="1"/>
  <c r="E484" i="1"/>
  <c r="G492" i="1"/>
  <c r="I492" i="1"/>
  <c r="F492" i="1"/>
  <c r="E492" i="1"/>
  <c r="M492" i="1"/>
  <c r="R492" i="1" s="1"/>
  <c r="H508" i="1"/>
  <c r="G508" i="1"/>
  <c r="F508" i="1"/>
  <c r="D508" i="1"/>
  <c r="M508" i="1"/>
  <c r="R508" i="1" s="1"/>
  <c r="J508" i="1"/>
  <c r="B508" i="1" s="1"/>
  <c r="K508" i="1" s="1"/>
  <c r="H513" i="1"/>
  <c r="G513" i="1"/>
  <c r="F513" i="1"/>
  <c r="I513" i="1"/>
  <c r="E513" i="1"/>
  <c r="D513" i="1"/>
  <c r="M513" i="1"/>
  <c r="R513" i="1" s="1"/>
  <c r="M464" i="1"/>
  <c r="R464" i="1" s="1"/>
  <c r="D464" i="1"/>
  <c r="J464" i="1"/>
  <c r="B464" i="1" s="1"/>
  <c r="K464" i="1" s="1"/>
  <c r="F467" i="1"/>
  <c r="M469" i="1"/>
  <c r="R469" i="1" s="1"/>
  <c r="M472" i="1"/>
  <c r="R472" i="1" s="1"/>
  <c r="D472" i="1"/>
  <c r="J472" i="1"/>
  <c r="B472" i="1" s="1"/>
  <c r="K472" i="1" s="1"/>
  <c r="F481" i="1"/>
  <c r="G484" i="1"/>
  <c r="J490" i="1"/>
  <c r="B490" i="1" s="1"/>
  <c r="K490" i="1" s="1"/>
  <c r="H490" i="1"/>
  <c r="G490" i="1"/>
  <c r="E490" i="1"/>
  <c r="H492" i="1"/>
  <c r="J506" i="1"/>
  <c r="B506" i="1" s="1"/>
  <c r="K506" i="1" s="1"/>
  <c r="I506" i="1"/>
  <c r="M506" i="1"/>
  <c r="R506" i="1" s="1"/>
  <c r="H506" i="1"/>
  <c r="G506" i="1"/>
  <c r="F506" i="1"/>
  <c r="E506" i="1"/>
  <c r="D506" i="1"/>
  <c r="I508" i="1"/>
  <c r="M462" i="1"/>
  <c r="R462" i="1" s="1"/>
  <c r="G467" i="1"/>
  <c r="E472" i="1"/>
  <c r="H481" i="1"/>
  <c r="I484" i="1"/>
  <c r="M488" i="1"/>
  <c r="R488" i="1" s="1"/>
  <c r="D488" i="1"/>
  <c r="J488" i="1"/>
  <c r="B488" i="1" s="1"/>
  <c r="K488" i="1" s="1"/>
  <c r="I488" i="1"/>
  <c r="G488" i="1"/>
  <c r="G489" i="1"/>
  <c r="E489" i="1"/>
  <c r="M489" i="1"/>
  <c r="R489" i="1" s="1"/>
  <c r="D489" i="1"/>
  <c r="J489" i="1"/>
  <c r="B489" i="1" s="1"/>
  <c r="K489" i="1" s="1"/>
  <c r="D490" i="1"/>
  <c r="J492" i="1"/>
  <c r="B492" i="1" s="1"/>
  <c r="K492" i="1" s="1"/>
  <c r="H495" i="1"/>
  <c r="E495" i="1"/>
  <c r="M495" i="1"/>
  <c r="R495" i="1" s="1"/>
  <c r="I495" i="1"/>
  <c r="H500" i="1"/>
  <c r="G500" i="1"/>
  <c r="I500" i="1"/>
  <c r="E500" i="1"/>
  <c r="D500" i="1"/>
  <c r="M500" i="1"/>
  <c r="R500" i="1" s="1"/>
  <c r="F515" i="1"/>
  <c r="E515" i="1"/>
  <c r="M515" i="1"/>
  <c r="R515" i="1" s="1"/>
  <c r="D515" i="1"/>
  <c r="J515" i="1"/>
  <c r="B515" i="1" s="1"/>
  <c r="K515" i="1" s="1"/>
  <c r="I515" i="1"/>
  <c r="H515" i="1"/>
  <c r="G515" i="1"/>
  <c r="D462" i="1"/>
  <c r="F464" i="1"/>
  <c r="H467" i="1"/>
  <c r="D469" i="1"/>
  <c r="F472" i="1"/>
  <c r="G473" i="1"/>
  <c r="E473" i="1"/>
  <c r="J473" i="1"/>
  <c r="B473" i="1" s="1"/>
  <c r="K473" i="1" s="1"/>
  <c r="I481" i="1"/>
  <c r="J484" i="1"/>
  <c r="B484" i="1" s="1"/>
  <c r="K484" i="1" s="1"/>
  <c r="E488" i="1"/>
  <c r="F489" i="1"/>
  <c r="F490" i="1"/>
  <c r="D495" i="1"/>
  <c r="F500" i="1"/>
  <c r="I516" i="1"/>
  <c r="H516" i="1"/>
  <c r="G516" i="1"/>
  <c r="D516" i="1"/>
  <c r="M516" i="1"/>
  <c r="R516" i="1" s="1"/>
  <c r="J516" i="1"/>
  <c r="B516" i="1" s="1"/>
  <c r="K516" i="1" s="1"/>
  <c r="F516" i="1"/>
  <c r="E516" i="1"/>
  <c r="F486" i="1"/>
  <c r="M486" i="1"/>
  <c r="R486" i="1" s="1"/>
  <c r="D486" i="1"/>
  <c r="I486" i="1"/>
  <c r="E494" i="1"/>
  <c r="I494" i="1"/>
  <c r="G494" i="1"/>
  <c r="F494" i="1"/>
  <c r="M494" i="1"/>
  <c r="R494" i="1" s="1"/>
  <c r="E499" i="1"/>
  <c r="M499" i="1"/>
  <c r="R499" i="1" s="1"/>
  <c r="D499" i="1"/>
  <c r="J499" i="1"/>
  <c r="B499" i="1" s="1"/>
  <c r="K499" i="1" s="1"/>
  <c r="H499" i="1"/>
  <c r="G499" i="1"/>
  <c r="J500" i="1"/>
  <c r="B500" i="1" s="1"/>
  <c r="K500" i="1" s="1"/>
  <c r="E507" i="1"/>
  <c r="M507" i="1"/>
  <c r="R507" i="1" s="1"/>
  <c r="D507" i="1"/>
  <c r="I507" i="1"/>
  <c r="G507" i="1"/>
  <c r="F507" i="1"/>
  <c r="F510" i="1"/>
  <c r="E510" i="1"/>
  <c r="J510" i="1"/>
  <c r="B510" i="1" s="1"/>
  <c r="K510" i="1" s="1"/>
  <c r="I510" i="1"/>
  <c r="H510" i="1"/>
  <c r="G510" i="1"/>
  <c r="D510" i="1"/>
  <c r="M510" i="1"/>
  <c r="R510" i="1" s="1"/>
  <c r="J528" i="1"/>
  <c r="B528" i="1" s="1"/>
  <c r="K528" i="1" s="1"/>
  <c r="I528" i="1"/>
  <c r="H528" i="1"/>
  <c r="F528" i="1"/>
  <c r="E528" i="1"/>
  <c r="M528" i="1"/>
  <c r="R528" i="1" s="1"/>
  <c r="D528" i="1"/>
  <c r="G528" i="1"/>
  <c r="E537" i="1"/>
  <c r="M537" i="1"/>
  <c r="R537" i="1" s="1"/>
  <c r="D537" i="1"/>
  <c r="I537" i="1"/>
  <c r="H537" i="1"/>
  <c r="G537" i="1"/>
  <c r="F537" i="1"/>
  <c r="F540" i="1"/>
  <c r="E540" i="1"/>
  <c r="M540" i="1"/>
  <c r="R540" i="1" s="1"/>
  <c r="D540" i="1"/>
  <c r="J540" i="1"/>
  <c r="B540" i="1" s="1"/>
  <c r="K540" i="1" s="1"/>
  <c r="I540" i="1"/>
  <c r="H540" i="1"/>
  <c r="G540" i="1"/>
  <c r="E529" i="1"/>
  <c r="M529" i="1"/>
  <c r="R529" i="1" s="1"/>
  <c r="D529" i="1"/>
  <c r="I529" i="1"/>
  <c r="H529" i="1"/>
  <c r="G529" i="1"/>
  <c r="F529" i="1"/>
  <c r="F532" i="1"/>
  <c r="E532" i="1"/>
  <c r="M532" i="1"/>
  <c r="R532" i="1" s="1"/>
  <c r="D532" i="1"/>
  <c r="J532" i="1"/>
  <c r="B532" i="1" s="1"/>
  <c r="K532" i="1" s="1"/>
  <c r="I532" i="1"/>
  <c r="H532" i="1"/>
  <c r="G532" i="1"/>
  <c r="J537" i="1"/>
  <c r="B537" i="1" s="1"/>
  <c r="K537" i="1" s="1"/>
  <c r="J544" i="1"/>
  <c r="B544" i="1" s="1"/>
  <c r="K544" i="1" s="1"/>
  <c r="I544" i="1"/>
  <c r="H544" i="1"/>
  <c r="F544" i="1"/>
  <c r="E544" i="1"/>
  <c r="M544" i="1"/>
  <c r="R544" i="1" s="1"/>
  <c r="D544" i="1"/>
  <c r="J511" i="1"/>
  <c r="B511" i="1" s="1"/>
  <c r="K511" i="1" s="1"/>
  <c r="I511" i="1"/>
  <c r="H511" i="1"/>
  <c r="J519" i="1"/>
  <c r="B519" i="1" s="1"/>
  <c r="K519" i="1" s="1"/>
  <c r="I519" i="1"/>
  <c r="H519" i="1"/>
  <c r="J529" i="1"/>
  <c r="B529" i="1" s="1"/>
  <c r="K529" i="1" s="1"/>
  <c r="M504" i="1"/>
  <c r="R504" i="1" s="1"/>
  <c r="D504" i="1"/>
  <c r="E512" i="1"/>
  <c r="M512" i="1"/>
  <c r="R512" i="1" s="1"/>
  <c r="D512" i="1"/>
  <c r="E520" i="1"/>
  <c r="M520" i="1"/>
  <c r="R520" i="1" s="1"/>
  <c r="D520" i="1"/>
  <c r="E524" i="1"/>
  <c r="J524" i="1"/>
  <c r="B524" i="1" s="1"/>
  <c r="K524" i="1" s="1"/>
  <c r="I524" i="1"/>
  <c r="H524" i="1"/>
  <c r="G524" i="1"/>
  <c r="E545" i="1"/>
  <c r="M545" i="1"/>
  <c r="R545" i="1" s="1"/>
  <c r="D545" i="1"/>
  <c r="J545" i="1"/>
  <c r="B545" i="1" s="1"/>
  <c r="K545" i="1" s="1"/>
  <c r="I545" i="1"/>
  <c r="H545" i="1"/>
  <c r="G545" i="1"/>
  <c r="F545" i="1"/>
  <c r="E504" i="1"/>
  <c r="E511" i="1"/>
  <c r="F512" i="1"/>
  <c r="E519" i="1"/>
  <c r="F520" i="1"/>
  <c r="H526" i="1"/>
  <c r="G526" i="1"/>
  <c r="F526" i="1"/>
  <c r="E526" i="1"/>
  <c r="M542" i="1"/>
  <c r="R542" i="1" s="1"/>
  <c r="D542" i="1"/>
  <c r="J542" i="1"/>
  <c r="B542" i="1" s="1"/>
  <c r="K542" i="1" s="1"/>
  <c r="H542" i="1"/>
  <c r="G542" i="1"/>
  <c r="F542" i="1"/>
  <c r="E542" i="1"/>
  <c r="H546" i="1"/>
  <c r="G546" i="1"/>
  <c r="F546" i="1"/>
  <c r="E546" i="1"/>
  <c r="M546" i="1"/>
  <c r="R546" i="1" s="1"/>
  <c r="D546" i="1"/>
  <c r="J546" i="1"/>
  <c r="B546" i="1" s="1"/>
  <c r="K546" i="1" s="1"/>
  <c r="I546" i="1"/>
  <c r="F511" i="1"/>
  <c r="G512" i="1"/>
  <c r="F519" i="1"/>
  <c r="G520" i="1"/>
  <c r="D526" i="1"/>
  <c r="J547" i="1"/>
  <c r="B547" i="1" s="1"/>
  <c r="K547" i="1" s="1"/>
  <c r="I547" i="1"/>
  <c r="H547" i="1"/>
  <c r="G547" i="1"/>
  <c r="F547" i="1"/>
  <c r="E547" i="1"/>
  <c r="M547" i="1"/>
  <c r="R547" i="1" s="1"/>
  <c r="D547" i="1"/>
  <c r="J498" i="1"/>
  <c r="B498" i="1" s="1"/>
  <c r="K498" i="1" s="1"/>
  <c r="I498" i="1"/>
  <c r="G504" i="1"/>
  <c r="G511" i="1"/>
  <c r="H512" i="1"/>
  <c r="G519" i="1"/>
  <c r="H520" i="1"/>
  <c r="J523" i="1"/>
  <c r="B523" i="1" s="1"/>
  <c r="K523" i="1" s="1"/>
  <c r="G523" i="1"/>
  <c r="F523" i="1"/>
  <c r="E523" i="1"/>
  <c r="M523" i="1"/>
  <c r="R523" i="1" s="1"/>
  <c r="D523" i="1"/>
  <c r="I526" i="1"/>
  <c r="M534" i="1"/>
  <c r="R534" i="1" s="1"/>
  <c r="D534" i="1"/>
  <c r="J534" i="1"/>
  <c r="B534" i="1" s="1"/>
  <c r="K534" i="1" s="1"/>
  <c r="H534" i="1"/>
  <c r="G534" i="1"/>
  <c r="F534" i="1"/>
  <c r="E534" i="1"/>
  <c r="J536" i="1"/>
  <c r="B536" i="1" s="1"/>
  <c r="K536" i="1" s="1"/>
  <c r="I536" i="1"/>
  <c r="H536" i="1"/>
  <c r="F536" i="1"/>
  <c r="E536" i="1"/>
  <c r="M536" i="1"/>
  <c r="R536" i="1" s="1"/>
  <c r="D536" i="1"/>
  <c r="G543" i="1"/>
  <c r="F543" i="1"/>
  <c r="E543" i="1"/>
  <c r="J543" i="1"/>
  <c r="B543" i="1" s="1"/>
  <c r="K543" i="1" s="1"/>
  <c r="I543" i="1"/>
  <c r="H543" i="1"/>
  <c r="F548" i="1"/>
  <c r="E548" i="1"/>
  <c r="M548" i="1"/>
  <c r="R548" i="1" s="1"/>
  <c r="D548" i="1"/>
  <c r="J548" i="1"/>
  <c r="B548" i="1" s="1"/>
  <c r="K548" i="1" s="1"/>
  <c r="I548" i="1"/>
  <c r="H548" i="1"/>
  <c r="G548" i="1"/>
  <c r="I514" i="1"/>
  <c r="I522" i="1"/>
  <c r="H527" i="1"/>
  <c r="I530" i="1"/>
  <c r="D531" i="1"/>
  <c r="M531" i="1"/>
  <c r="R531" i="1" s="1"/>
  <c r="H535" i="1"/>
  <c r="I538" i="1"/>
  <c r="D539" i="1"/>
  <c r="M539" i="1"/>
  <c r="R539" i="1" s="1"/>
  <c r="I527" i="1"/>
  <c r="E531" i="1"/>
  <c r="I535" i="1"/>
  <c r="E539" i="1"/>
  <c r="J527" i="1"/>
  <c r="B527" i="1" s="1"/>
  <c r="K527" i="1" s="1"/>
  <c r="F531" i="1"/>
  <c r="J535" i="1"/>
  <c r="B535" i="1" s="1"/>
  <c r="K535" i="1" s="1"/>
  <c r="F539" i="1"/>
  <c r="G531" i="1"/>
  <c r="G539" i="1"/>
  <c r="E9" i="1" l="1"/>
  <c r="E4" i="1"/>
  <c r="R549" i="1"/>
  <c r="E5" i="1" s="1"/>
  <c r="E6" i="1"/>
  <c r="K14" i="1"/>
  <c r="F4" i="1" l="1"/>
  <c r="E10" i="1"/>
  <c r="E8" i="1"/>
</calcChain>
</file>

<file path=xl/sharedStrings.xml><?xml version="1.0" encoding="utf-8"?>
<sst xmlns="http://schemas.openxmlformats.org/spreadsheetml/2006/main" count="28" uniqueCount="27">
  <si>
    <r>
      <t>DISEÑO 1 -</t>
    </r>
    <r>
      <rPr>
        <b/>
        <sz val="36"/>
        <color theme="0"/>
        <rFont val="Century Gothic"/>
        <family val="2"/>
      </rPr>
      <t>2026</t>
    </r>
  </si>
  <si>
    <t>GABRIELA D.</t>
  </si>
  <si>
    <t>GABRIELA DÍAZ</t>
  </si>
  <si>
    <t>MUESTRAS</t>
  </si>
  <si>
    <t>CANTIDAD</t>
  </si>
  <si>
    <t>% APROBACIÓN</t>
  </si>
  <si>
    <t>ELABORADAS</t>
  </si>
  <si>
    <t>PRESENTADAS</t>
  </si>
  <si>
    <t>APROBADAS CLIENTE</t>
  </si>
  <si>
    <t>REPROCESOS</t>
  </si>
  <si>
    <t>MUESTRAS MES ACTUAL</t>
  </si>
  <si>
    <t>PROMEDIO MENSUAL</t>
  </si>
  <si>
    <t>MUESTRAS GENERADAS-  DIS 1</t>
  </si>
  <si>
    <t>PRESENTACIÓN MUESTRAS</t>
  </si>
  <si>
    <t>REF</t>
  </si>
  <si>
    <t>DISEÑADOR</t>
  </si>
  <si>
    <t>MODELO</t>
  </si>
  <si>
    <t>GENERO</t>
  </si>
  <si>
    <t>CLIENTE</t>
  </si>
  <si>
    <t>LICENCIA</t>
  </si>
  <si>
    <t>FECHA MUESTRA</t>
  </si>
  <si>
    <t>APROBADAS</t>
  </si>
  <si>
    <t>CLIENTE 1</t>
  </si>
  <si>
    <t>CLIENTE 2</t>
  </si>
  <si>
    <t>CLIENTE 3</t>
  </si>
  <si>
    <t>OBSERV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</si>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</sst>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0"/>
      <name val="Century Gothic"/>
      <family val="2"/>
    </font>
    <font>
      <b/>
      <sz val="26"/>
      <color theme="0"/>
      <name val="Century Gothic"/>
      <family val="2"/>
    </font>
    <font>
      <b/>
      <sz val="36"/>
      <color theme="0"/>
      <name val="Century Gothic"/>
      <family val="2"/>
    </font>
    <font>
      <b/>
      <sz val="16"/>
      <color theme="1"/>
      <name val="Century Gothic"/>
      <family val="2"/>
    </font>
    <font>
      <b/>
      <sz val="24"/>
      <name val="Century Gothic"/>
      <family val="2"/>
    </font>
    <font>
      <b/>
      <sz val="14"/>
      <color theme="0"/>
      <name val="Century Gothic"/>
      <family val="2"/>
    </font>
    <font>
      <b/>
      <sz val="14"/>
      <name val="Century Gothic"/>
      <family val="2"/>
    </font>
    <font>
      <b/>
      <sz val="18"/>
      <name val="Century Gothic"/>
      <family val="2"/>
    </font>
    <font>
      <b/>
      <sz val="28"/>
      <color theme="1"/>
      <name val="Century Gothic"/>
      <family val="2"/>
    </font>
    <font>
      <b/>
      <sz val="28"/>
      <color rgb="FF006600"/>
      <name val="Century Gothic"/>
      <family val="2"/>
    </font>
    <font>
      <b/>
      <sz val="18"/>
      <color theme="5" tint="-0.249977111117893"/>
      <name val="Century Gothic"/>
      <family val="2"/>
    </font>
    <font>
      <b/>
      <sz val="14"/>
      <color theme="1"/>
      <name val="Century Gothic"/>
      <family val="2"/>
    </font>
    <font>
      <b/>
      <sz val="12"/>
      <name val="Century Gothic"/>
      <family val="2"/>
    </font>
    <font>
      <b/>
      <sz val="16"/>
      <color theme="0"/>
      <name val="Century Gothic"/>
      <family val="2"/>
    </font>
    <font>
      <sz val="10"/>
      <color theme="0"/>
      <name val="Century Gothic"/>
      <family val="2"/>
    </font>
    <font>
      <b/>
      <sz val="13"/>
      <color theme="0"/>
      <name val="Century Gothic"/>
      <family val="2"/>
    </font>
    <font>
      <b/>
      <sz val="13"/>
      <color theme="1"/>
      <name val="Century Gothic"/>
      <family val="2"/>
    </font>
    <font>
      <b/>
      <sz val="10"/>
      <color indexed="8"/>
      <name val="Century Gothic"/>
      <family val="2"/>
    </font>
    <font>
      <sz val="10"/>
      <name val="Century Gothic"/>
      <family val="2"/>
    </font>
    <font>
      <b/>
      <sz val="12"/>
      <color theme="0"/>
      <name val="Century Gothic"/>
      <family val="2"/>
    </font>
    <font>
      <sz val="12"/>
      <name val="Century Gothic"/>
      <family val="2"/>
    </font>
    <font>
      <b/>
      <sz val="8"/>
      <name val="Century Gothic"/>
      <family val="2"/>
    </font>
  </fonts>
  <fills count="1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9" fontId="9" fillId="7" borderId="6" xfId="0" applyNumberFormat="1" applyFont="1" applyFill="1" applyBorder="1" applyAlignment="1">
      <alignment horizontal="center" vertical="center" wrapText="1"/>
    </xf>
    <xf numFmtId="9" fontId="9" fillId="7" borderId="7" xfId="0" applyNumberFormat="1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center" wrapText="1"/>
    </xf>
    <xf numFmtId="9" fontId="9" fillId="7" borderId="11" xfId="0" applyNumberFormat="1" applyFont="1" applyFill="1" applyBorder="1" applyAlignment="1">
      <alignment horizontal="center" vertical="center" wrapText="1"/>
    </xf>
    <xf numFmtId="9" fontId="9" fillId="7" borderId="10" xfId="0" applyNumberFormat="1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10" fillId="11" borderId="1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 vertical="center" wrapText="1"/>
    </xf>
    <xf numFmtId="0" fontId="11" fillId="12" borderId="16" xfId="0" applyFont="1" applyFill="1" applyBorder="1" applyAlignment="1">
      <alignment horizontal="center" vertical="center" wrapText="1"/>
    </xf>
    <xf numFmtId="10" fontId="8" fillId="0" borderId="16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1" fontId="8" fillId="0" borderId="16" xfId="0" applyNumberFormat="1" applyFont="1" applyBorder="1" applyAlignment="1">
      <alignment horizontal="center" vertical="center" wrapText="1"/>
    </xf>
    <xf numFmtId="9" fontId="9" fillId="7" borderId="19" xfId="0" applyNumberFormat="1" applyFont="1" applyFill="1" applyBorder="1" applyAlignment="1">
      <alignment horizontal="center" vertical="center" wrapText="1"/>
    </xf>
    <xf numFmtId="9" fontId="9" fillId="7" borderId="20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7" fillId="14" borderId="3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5" borderId="21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18" fillId="9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16" borderId="23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24" xfId="0" applyFont="1" applyBorder="1" applyAlignment="1" applyProtection="1">
      <alignment horizontal="center" vertical="center" wrapText="1"/>
      <protection locked="0"/>
    </xf>
    <xf numFmtId="0" fontId="21" fillId="0" borderId="23" xfId="0" applyFont="1" applyBorder="1" applyAlignment="1" applyProtection="1">
      <alignment horizontal="center" vertical="center" wrapText="1"/>
      <protection locked="0"/>
    </xf>
    <xf numFmtId="0" fontId="19" fillId="9" borderId="0" xfId="0" applyFont="1" applyFill="1" applyAlignment="1">
      <alignment horizontal="center" vertical="center" wrapText="1"/>
    </xf>
    <xf numFmtId="0" fontId="22" fillId="17" borderId="3" xfId="0" applyFont="1" applyFill="1" applyBorder="1" applyAlignment="1">
      <alignment horizontal="center" vertical="center" wrapText="1"/>
    </xf>
    <xf numFmtId="0" fontId="22" fillId="17" borderId="0" xfId="0" applyFont="1" applyFill="1" applyAlignment="1">
      <alignment horizontal="center" vertical="center" wrapText="1"/>
    </xf>
  </cellXfs>
  <cellStyles count="1">
    <cellStyle name="Normal" xfId="0" builtinId="0"/>
  </cellStyles>
  <dxfs count="8">
    <dxf>
      <font>
        <b val="0"/>
        <i val="0"/>
      </font>
      <fill>
        <patternFill patternType="none">
          <bgColor auto="1"/>
        </patternFill>
      </fill>
    </dxf>
    <dxf>
      <font>
        <color theme="0"/>
      </font>
      <fill>
        <patternFill>
          <bgColor theme="0"/>
        </patternFill>
      </fill>
    </dxf>
    <dxf>
      <font>
        <color theme="5" tint="0.79998168889431442"/>
      </font>
      <fill>
        <patternFill>
          <bgColor theme="5" tint="0.79998168889431442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1" tint="0.14996795556505021"/>
      </font>
      <fill>
        <patternFill>
          <bgColor rgb="FFFFCCFF"/>
        </patternFill>
      </fill>
    </dxf>
    <dxf>
      <font>
        <b/>
        <i val="0"/>
        <color theme="1" tint="0.14996795556505021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B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ERVERJAYA\Dise&#241;o\DPTO.%20MUESTRAS\EQUIPO-DISE&#209;O\CONTROL%20DIS-2026\CONTROL%20DISE&#209;O-2026.xlsx" TargetMode="External"/><Relationship Id="rId1" Type="http://schemas.openxmlformats.org/officeDocument/2006/relationships/externalLinkPath" Target="file:///\\SERVERJAYA\Dise&#241;o\DPTO.%20MUESTRAS\EQUIPO-DISE&#209;O\CONTROL%20DIS-2026\CONTROL%20DISE&#209;O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 DISEÑO"/>
      <sheetName val="SANTIAGO MAYORGA"/>
      <sheetName val="GABRIELA DIAZ"/>
      <sheetName val="ESTEFANIA TITE"/>
      <sheetName val="RESUMEN"/>
      <sheetName val="INDIC-DIS1"/>
      <sheetName val="INDIC-DIS2"/>
      <sheetName val="EVALUACIÓN"/>
      <sheetName val="DESEMPEÑO"/>
      <sheetName val="REP PRODUCCIÓN"/>
      <sheetName val="MENSUAL"/>
      <sheetName val="PROCESO M VENDIDAS"/>
      <sheetName val="DATOS"/>
    </sheetNames>
    <sheetDataSet>
      <sheetData sheetId="0">
        <row r="9">
          <cell r="C9" t="str">
            <v>enero</v>
          </cell>
          <cell r="D9" t="str">
            <v>N26-3981</v>
          </cell>
          <cell r="G9" t="str">
            <v>TALÓN 0</v>
          </cell>
          <cell r="I9" t="str">
            <v>PREESCOLAR NIÑO</v>
          </cell>
          <cell r="J9" t="str">
            <v/>
          </cell>
          <cell r="M9" t="str">
            <v>DE PRATI</v>
          </cell>
          <cell r="N9" t="str">
            <v>GABRIELA D.</v>
          </cell>
          <cell r="AW9" t="str">
            <v>GABRIELA D.</v>
          </cell>
          <cell r="BA9" t="str">
            <v>DE PRATI</v>
          </cell>
        </row>
        <row r="10">
          <cell r="C10" t="str">
            <v>enero</v>
          </cell>
          <cell r="D10" t="str">
            <v>N26-3982</v>
          </cell>
          <cell r="G10" t="str">
            <v>TALÓN 0</v>
          </cell>
          <cell r="I10" t="str">
            <v>PREESCOLAR NIÑO</v>
          </cell>
          <cell r="J10" t="str">
            <v/>
          </cell>
          <cell r="M10" t="str">
            <v>DE PRATI</v>
          </cell>
          <cell r="N10" t="str">
            <v>GABRIELA D.</v>
          </cell>
          <cell r="AW10" t="str">
            <v>GABRIELA D.</v>
          </cell>
          <cell r="BA10" t="str">
            <v>DE PRATI</v>
          </cell>
        </row>
        <row r="11">
          <cell r="C11" t="str">
            <v>enero</v>
          </cell>
          <cell r="D11" t="str">
            <v>N26-3983</v>
          </cell>
          <cell r="G11" t="str">
            <v>DESTALONADA 0</v>
          </cell>
          <cell r="I11" t="str">
            <v>ESCOLAR NIÑO</v>
          </cell>
          <cell r="J11" t="str">
            <v/>
          </cell>
          <cell r="M11" t="str">
            <v>DE PRATI</v>
          </cell>
          <cell r="N11" t="str">
            <v>SANTIAGO M.</v>
          </cell>
          <cell r="AW11" t="str">
            <v>SANTIAGO M.</v>
          </cell>
          <cell r="BA11" t="str">
            <v>DE PRATI</v>
          </cell>
        </row>
        <row r="12">
          <cell r="C12" t="str">
            <v>enero</v>
          </cell>
          <cell r="D12" t="str">
            <v>N26-3984</v>
          </cell>
          <cell r="G12" t="str">
            <v>SUECA 0</v>
          </cell>
          <cell r="I12" t="str">
            <v>ESCOLAR NIÑO</v>
          </cell>
          <cell r="J12" t="str">
            <v/>
          </cell>
          <cell r="M12" t="str">
            <v>DE PRATI</v>
          </cell>
          <cell r="N12" t="str">
            <v>SANTIAGO M.</v>
          </cell>
          <cell r="AW12" t="str">
            <v>SANTIAGO M.</v>
          </cell>
          <cell r="BA12" t="str">
            <v>DE PRATI</v>
          </cell>
        </row>
        <row r="13">
          <cell r="C13" t="str">
            <v>enero</v>
          </cell>
          <cell r="D13" t="str">
            <v>N26-3985</v>
          </cell>
          <cell r="G13" t="str">
            <v>DESTALONADA 0</v>
          </cell>
          <cell r="I13" t="str">
            <v>ESCOLAR NIÑO</v>
          </cell>
          <cell r="J13" t="str">
            <v/>
          </cell>
          <cell r="M13" t="str">
            <v>DE PRATI</v>
          </cell>
          <cell r="N13" t="str">
            <v>SANTIAGO M.</v>
          </cell>
          <cell r="AW13" t="str">
            <v>SANTIAGO M.</v>
          </cell>
          <cell r="BA13" t="str">
            <v>DE PRATI</v>
          </cell>
        </row>
        <row r="14">
          <cell r="C14" t="str">
            <v>enero</v>
          </cell>
          <cell r="D14" t="str">
            <v>N26-3986</v>
          </cell>
          <cell r="G14" t="str">
            <v>TALÓN 0</v>
          </cell>
          <cell r="I14" t="str">
            <v>PREESCOLAR NIÑO</v>
          </cell>
          <cell r="J14" t="str">
            <v/>
          </cell>
          <cell r="M14" t="str">
            <v>DE PRATI</v>
          </cell>
          <cell r="N14" t="str">
            <v>SANTIAGO M.</v>
          </cell>
          <cell r="AW14" t="str">
            <v>SANTIAGO M.</v>
          </cell>
          <cell r="BA14" t="str">
            <v>DE PRATI</v>
          </cell>
        </row>
        <row r="15">
          <cell r="C15" t="str">
            <v>enero</v>
          </cell>
          <cell r="D15" t="str">
            <v>N26-3987</v>
          </cell>
          <cell r="G15" t="str">
            <v>TALÓN 0</v>
          </cell>
          <cell r="I15" t="str">
            <v>PREESCOLAR NIÑO</v>
          </cell>
          <cell r="J15" t="str">
            <v/>
          </cell>
          <cell r="M15" t="str">
            <v>DE PRATI</v>
          </cell>
          <cell r="N15" t="str">
            <v>SANTIAGO M.</v>
          </cell>
          <cell r="AA15">
            <v>1</v>
          </cell>
          <cell r="AW15" t="str">
            <v>SANTIAGO M.</v>
          </cell>
          <cell r="BA15" t="str">
            <v>DE PRATI</v>
          </cell>
        </row>
        <row r="16">
          <cell r="C16" t="str">
            <v>enero</v>
          </cell>
          <cell r="D16" t="str">
            <v>N26-3988</v>
          </cell>
          <cell r="G16" t="str">
            <v>TALÓN 0</v>
          </cell>
          <cell r="I16" t="str">
            <v>PREESCOLAR NIÑO</v>
          </cell>
          <cell r="J16" t="str">
            <v/>
          </cell>
          <cell r="M16" t="str">
            <v>DE PRATI</v>
          </cell>
          <cell r="N16" t="str">
            <v>SANTIAGO M.</v>
          </cell>
          <cell r="AW16" t="str">
            <v>SANTIAGO M.</v>
          </cell>
          <cell r="BA16" t="str">
            <v>DE PRATI</v>
          </cell>
        </row>
        <row r="17">
          <cell r="C17" t="str">
            <v>enero</v>
          </cell>
          <cell r="D17" t="str">
            <v>N26-3989</v>
          </cell>
          <cell r="G17" t="str">
            <v>DESTALONADA 0</v>
          </cell>
          <cell r="I17" t="str">
            <v>ESCOLAR NIÑO</v>
          </cell>
          <cell r="J17" t="str">
            <v/>
          </cell>
          <cell r="M17" t="str">
            <v>DE PRATI</v>
          </cell>
          <cell r="N17" t="str">
            <v>SANTIAGO M.</v>
          </cell>
          <cell r="AW17" t="str">
            <v>SANTIAGO M.</v>
          </cell>
          <cell r="BA17" t="str">
            <v>DE PRATI</v>
          </cell>
        </row>
        <row r="18">
          <cell r="C18" t="str">
            <v>enero</v>
          </cell>
          <cell r="D18" t="str">
            <v>N26-3990</v>
          </cell>
          <cell r="G18" t="str">
            <v>TALÓN 0</v>
          </cell>
          <cell r="I18" t="str">
            <v>PREESCOLAR NIÑO</v>
          </cell>
          <cell r="J18" t="str">
            <v/>
          </cell>
          <cell r="M18" t="str">
            <v>DE PRATI</v>
          </cell>
          <cell r="N18" t="str">
            <v>GABRIELA D.</v>
          </cell>
          <cell r="AW18" t="str">
            <v>GABRIELA D.</v>
          </cell>
          <cell r="BA18" t="str">
            <v>DE PRATI</v>
          </cell>
        </row>
        <row r="19">
          <cell r="C19" t="str">
            <v>enero</v>
          </cell>
          <cell r="D19" t="str">
            <v>N26-3991</v>
          </cell>
          <cell r="G19" t="str">
            <v>SUECA 0</v>
          </cell>
          <cell r="I19" t="str">
            <v>ESCOLAR NIÑO</v>
          </cell>
          <cell r="J19" t="str">
            <v/>
          </cell>
          <cell r="M19" t="str">
            <v>DE PRATI</v>
          </cell>
          <cell r="N19" t="str">
            <v>SANTIAGO M.</v>
          </cell>
          <cell r="AA19">
            <v>1</v>
          </cell>
          <cell r="AW19" t="str">
            <v>SANTIAGO M.</v>
          </cell>
          <cell r="BA19" t="str">
            <v>DE PRATI</v>
          </cell>
        </row>
        <row r="20">
          <cell r="C20" t="str">
            <v>enero</v>
          </cell>
          <cell r="D20" t="str">
            <v>N26-3992</v>
          </cell>
          <cell r="G20" t="str">
            <v>TALÓN 0</v>
          </cell>
          <cell r="I20" t="str">
            <v>PREESCOLAR NIÑO</v>
          </cell>
          <cell r="J20" t="str">
            <v/>
          </cell>
          <cell r="M20" t="str">
            <v>DE PRATI</v>
          </cell>
          <cell r="N20" t="str">
            <v>GABRIELA D.</v>
          </cell>
          <cell r="AW20" t="str">
            <v>GABRIELA D.</v>
          </cell>
          <cell r="BA20" t="str">
            <v>DE PRATI</v>
          </cell>
        </row>
        <row r="21">
          <cell r="C21" t="str">
            <v>enero</v>
          </cell>
          <cell r="D21" t="str">
            <v>N26-3993</v>
          </cell>
          <cell r="G21" t="str">
            <v>TALÓN 0</v>
          </cell>
          <cell r="I21" t="str">
            <v>PREESCOLAR NIÑO</v>
          </cell>
          <cell r="J21" t="str">
            <v/>
          </cell>
          <cell r="M21" t="str">
            <v>DE PRATI</v>
          </cell>
          <cell r="N21" t="str">
            <v>GABRIELA D.</v>
          </cell>
          <cell r="AW21" t="str">
            <v>GABRIELA D.</v>
          </cell>
          <cell r="BA21" t="str">
            <v>DE PRATI</v>
          </cell>
        </row>
        <row r="22">
          <cell r="C22" t="str">
            <v>enero</v>
          </cell>
          <cell r="D22" t="str">
            <v>N26-3994</v>
          </cell>
          <cell r="G22" t="str">
            <v>TALÓN 0</v>
          </cell>
          <cell r="I22" t="str">
            <v>PREESCOLAR NIÑO</v>
          </cell>
          <cell r="J22" t="str">
            <v/>
          </cell>
          <cell r="M22" t="str">
            <v>DE PRATI</v>
          </cell>
          <cell r="N22" t="str">
            <v>GABRIELA D.</v>
          </cell>
          <cell r="AW22" t="str">
            <v>GABRIELA D.</v>
          </cell>
          <cell r="BA22" t="str">
            <v>DE PRATI</v>
          </cell>
        </row>
        <row r="23">
          <cell r="C23" t="str">
            <v>enero</v>
          </cell>
          <cell r="D23" t="str">
            <v>N26-3995</v>
          </cell>
          <cell r="G23" t="str">
            <v>TALÓN 0</v>
          </cell>
          <cell r="I23" t="str">
            <v>PREESCOLAR NIÑO</v>
          </cell>
          <cell r="J23" t="str">
            <v/>
          </cell>
          <cell r="M23" t="str">
            <v>DE PRATI</v>
          </cell>
          <cell r="N23" t="str">
            <v>GABRIELA D.</v>
          </cell>
          <cell r="AW23" t="str">
            <v>GABRIELA D.</v>
          </cell>
          <cell r="BA23" t="str">
            <v>DE PRATI</v>
          </cell>
        </row>
        <row r="24">
          <cell r="C24" t="str">
            <v>enero</v>
          </cell>
          <cell r="D24" t="str">
            <v>G26-5045</v>
          </cell>
          <cell r="G24" t="str">
            <v>SUECA 0</v>
          </cell>
          <cell r="I24" t="str">
            <v>ESCOLAR NIÑA</v>
          </cell>
          <cell r="J24" t="str">
            <v/>
          </cell>
          <cell r="M24" t="str">
            <v>DE PRATI</v>
          </cell>
          <cell r="N24" t="str">
            <v>GABRIELA D.</v>
          </cell>
          <cell r="AW24" t="str">
            <v>GABRIELA D.</v>
          </cell>
          <cell r="BA24" t="str">
            <v>DE PRATI</v>
          </cell>
        </row>
        <row r="25">
          <cell r="C25" t="str">
            <v>enero</v>
          </cell>
          <cell r="D25" t="str">
            <v>G26-5046</v>
          </cell>
          <cell r="G25" t="str">
            <v>SUECA CON FILO</v>
          </cell>
          <cell r="I25" t="str">
            <v>ESCOLAR NIÑA</v>
          </cell>
          <cell r="J25" t="str">
            <v/>
          </cell>
          <cell r="M25" t="str">
            <v>DE PRATI</v>
          </cell>
          <cell r="N25" t="str">
            <v>GABRIELA D.</v>
          </cell>
          <cell r="AW25" t="str">
            <v>GABRIELA D.</v>
          </cell>
          <cell r="BA25" t="str">
            <v>DE PRATI</v>
          </cell>
        </row>
        <row r="26">
          <cell r="C26" t="str">
            <v>enero</v>
          </cell>
          <cell r="D26" t="str">
            <v>G26-5047</v>
          </cell>
          <cell r="G26" t="str">
            <v>DESTALONADA 0</v>
          </cell>
          <cell r="I26" t="str">
            <v>ESCOLAR NIÑA</v>
          </cell>
          <cell r="J26" t="str">
            <v/>
          </cell>
          <cell r="M26" t="str">
            <v>DE PRATI</v>
          </cell>
          <cell r="N26" t="str">
            <v>GABRIELA D.</v>
          </cell>
          <cell r="AW26" t="str">
            <v>GABRIELA D.</v>
          </cell>
          <cell r="BA26" t="str">
            <v>DE PRATI</v>
          </cell>
        </row>
        <row r="27">
          <cell r="C27" t="str">
            <v>enero</v>
          </cell>
          <cell r="D27" t="str">
            <v>G26-5048</v>
          </cell>
          <cell r="G27" t="str">
            <v>TALÓN 0</v>
          </cell>
          <cell r="I27" t="str">
            <v>PREESCOLAR NIÑA</v>
          </cell>
          <cell r="J27" t="str">
            <v/>
          </cell>
          <cell r="M27" t="str">
            <v>DE PRATI</v>
          </cell>
          <cell r="N27" t="str">
            <v>GABRIELA D.</v>
          </cell>
          <cell r="AW27" t="str">
            <v>GABRIELA D.</v>
          </cell>
          <cell r="BA27" t="str">
            <v>DE PRATI</v>
          </cell>
        </row>
        <row r="28">
          <cell r="C28" t="str">
            <v>enero</v>
          </cell>
          <cell r="D28" t="str">
            <v>G26-5049</v>
          </cell>
          <cell r="G28" t="str">
            <v>TALÓN 0</v>
          </cell>
          <cell r="I28" t="str">
            <v>PREESCOLAR NIÑA</v>
          </cell>
          <cell r="J28" t="str">
            <v/>
          </cell>
          <cell r="M28" t="str">
            <v>DE PRATI</v>
          </cell>
          <cell r="N28" t="str">
            <v>GABRIELA D.</v>
          </cell>
          <cell r="AW28" t="str">
            <v>GABRIELA D.</v>
          </cell>
          <cell r="BA28" t="str">
            <v>DE PRATI</v>
          </cell>
        </row>
        <row r="29">
          <cell r="C29" t="str">
            <v>enero</v>
          </cell>
          <cell r="D29" t="str">
            <v>G26-5050</v>
          </cell>
          <cell r="G29" t="str">
            <v>BOTA 0</v>
          </cell>
          <cell r="I29" t="str">
            <v>PREESCOLAR NIÑA</v>
          </cell>
          <cell r="J29" t="str">
            <v/>
          </cell>
          <cell r="M29" t="str">
            <v>DE PRATI</v>
          </cell>
          <cell r="N29" t="str">
            <v>GABRIELA D.</v>
          </cell>
          <cell r="AW29" t="str">
            <v>GABRIELA D.</v>
          </cell>
          <cell r="BA29" t="str">
            <v>DE PRATI</v>
          </cell>
        </row>
        <row r="30">
          <cell r="C30" t="str">
            <v>enero</v>
          </cell>
          <cell r="D30" t="str">
            <v>G26-5051</v>
          </cell>
          <cell r="G30" t="str">
            <v>TALÓN 0</v>
          </cell>
          <cell r="I30" t="str">
            <v>PREESCOLAR NIÑA</v>
          </cell>
          <cell r="J30" t="str">
            <v/>
          </cell>
          <cell r="M30" t="str">
            <v>DE PRATI</v>
          </cell>
          <cell r="N30" t="str">
            <v>SANTIAGO M.</v>
          </cell>
          <cell r="AW30" t="str">
            <v>SANTIAGO M.</v>
          </cell>
          <cell r="BA30" t="str">
            <v>DE PRATI</v>
          </cell>
        </row>
        <row r="31">
          <cell r="C31" t="str">
            <v>enero</v>
          </cell>
          <cell r="D31" t="str">
            <v>G26-5052</v>
          </cell>
          <cell r="G31" t="str">
            <v>SUECA 0</v>
          </cell>
          <cell r="I31" t="str">
            <v>ESCOLAR NIÑA</v>
          </cell>
          <cell r="J31" t="str">
            <v/>
          </cell>
          <cell r="M31" t="str">
            <v>DE PRATI</v>
          </cell>
          <cell r="N31" t="str">
            <v>SANTIAGO M.</v>
          </cell>
          <cell r="AW31" t="str">
            <v>SANTIAGO M.</v>
          </cell>
          <cell r="BA31" t="str">
            <v>DE PRATI</v>
          </cell>
        </row>
        <row r="32">
          <cell r="C32" t="str">
            <v>enero</v>
          </cell>
          <cell r="D32" t="str">
            <v>G26-5053</v>
          </cell>
          <cell r="G32" t="str">
            <v>TALÓN 0</v>
          </cell>
          <cell r="I32" t="str">
            <v>PREESCOLAR NIÑA</v>
          </cell>
          <cell r="J32" t="str">
            <v/>
          </cell>
          <cell r="M32" t="str">
            <v>DE PRATI</v>
          </cell>
          <cell r="N32" t="str">
            <v>GABRIELA D.</v>
          </cell>
          <cell r="AW32" t="str">
            <v>GABRIELA D.</v>
          </cell>
          <cell r="BA32" t="str">
            <v>DE PRATI</v>
          </cell>
        </row>
        <row r="33">
          <cell r="C33" t="str">
            <v>enero</v>
          </cell>
          <cell r="D33" t="str">
            <v>G26-5054</v>
          </cell>
          <cell r="G33" t="str">
            <v>TALÓN 0</v>
          </cell>
          <cell r="I33" t="str">
            <v>PREESCOLAR NIÑA</v>
          </cell>
          <cell r="J33" t="str">
            <v/>
          </cell>
          <cell r="M33" t="str">
            <v>DE PRATI</v>
          </cell>
          <cell r="N33" t="str">
            <v>GABRIELA D.</v>
          </cell>
          <cell r="AA33">
            <v>1</v>
          </cell>
          <cell r="AW33" t="str">
            <v>GABRIELA D.</v>
          </cell>
          <cell r="BA33" t="str">
            <v>DE PRATI</v>
          </cell>
        </row>
        <row r="34">
          <cell r="C34" t="str">
            <v>enero</v>
          </cell>
          <cell r="D34" t="str">
            <v>G26-5055</v>
          </cell>
          <cell r="G34" t="str">
            <v>DESTALONADA 0</v>
          </cell>
          <cell r="I34" t="str">
            <v>ESCOLAR NIÑA</v>
          </cell>
          <cell r="J34" t="str">
            <v/>
          </cell>
          <cell r="M34" t="str">
            <v>DE PRATI</v>
          </cell>
          <cell r="N34" t="str">
            <v>SANTIAGO M.</v>
          </cell>
          <cell r="AA34">
            <v>1</v>
          </cell>
          <cell r="AW34" t="str">
            <v>SANTIAGO M.</v>
          </cell>
          <cell r="BA34" t="str">
            <v>DE PRATI</v>
          </cell>
        </row>
        <row r="35">
          <cell r="C35" t="str">
            <v>enero</v>
          </cell>
          <cell r="D35" t="str">
            <v>G26-5056</v>
          </cell>
          <cell r="G35" t="str">
            <v>TALÓN 0</v>
          </cell>
          <cell r="I35" t="str">
            <v>PREESCOLAR NIÑA</v>
          </cell>
          <cell r="J35" t="str">
            <v/>
          </cell>
          <cell r="M35" t="str">
            <v>DE PRATI</v>
          </cell>
          <cell r="N35" t="str">
            <v>SANTIAGO M.</v>
          </cell>
          <cell r="AW35" t="str">
            <v>SANTIAGO M.</v>
          </cell>
          <cell r="BA35" t="str">
            <v>DE PRATI</v>
          </cell>
        </row>
        <row r="36">
          <cell r="C36" t="str">
            <v>enero</v>
          </cell>
          <cell r="D36" t="str">
            <v>G26-5057</v>
          </cell>
          <cell r="G36" t="str">
            <v>TALÓN 0</v>
          </cell>
          <cell r="I36" t="str">
            <v>PREESCOLAR NIÑA</v>
          </cell>
          <cell r="J36" t="str">
            <v/>
          </cell>
          <cell r="M36" t="str">
            <v>DE PRATI</v>
          </cell>
          <cell r="N36" t="str">
            <v>SANTIAGO M.</v>
          </cell>
          <cell r="AW36" t="str">
            <v>SANTIAGO M.</v>
          </cell>
          <cell r="BA36" t="str">
            <v>DE PRATI</v>
          </cell>
        </row>
        <row r="37">
          <cell r="C37" t="str">
            <v>enero</v>
          </cell>
          <cell r="D37" t="str">
            <v>G26-5058</v>
          </cell>
          <cell r="G37" t="str">
            <v>TALÓN 0</v>
          </cell>
          <cell r="I37" t="str">
            <v>PREESCOLAR NIÑA</v>
          </cell>
          <cell r="J37" t="str">
            <v/>
          </cell>
          <cell r="M37" t="str">
            <v>DE PRATI</v>
          </cell>
          <cell r="N37" t="str">
            <v>SANTIAGO M.</v>
          </cell>
          <cell r="AW37" t="str">
            <v>SANTIAGO M.</v>
          </cell>
          <cell r="BA37" t="str">
            <v>DE PRATI</v>
          </cell>
        </row>
        <row r="38">
          <cell r="C38" t="str">
            <v>enero</v>
          </cell>
          <cell r="D38" t="str">
            <v>G26-5059</v>
          </cell>
          <cell r="G38" t="str">
            <v>TALÓN 0</v>
          </cell>
          <cell r="I38" t="str">
            <v>PREESCOLAR NIÑA</v>
          </cell>
          <cell r="J38" t="str">
            <v/>
          </cell>
          <cell r="M38" t="str">
            <v>DE PRATI</v>
          </cell>
          <cell r="N38" t="str">
            <v>SANTIAGO M.</v>
          </cell>
          <cell r="AW38" t="str">
            <v>SANTIAGO M.</v>
          </cell>
          <cell r="BA38" t="str">
            <v>DE PRATI</v>
          </cell>
        </row>
        <row r="39">
          <cell r="C39" t="str">
            <v>enero</v>
          </cell>
          <cell r="D39" t="str">
            <v>G26-5060</v>
          </cell>
          <cell r="G39" t="str">
            <v>TALÓN 0</v>
          </cell>
          <cell r="I39" t="str">
            <v>PREESCOLAR NIÑA</v>
          </cell>
          <cell r="J39" t="str">
            <v/>
          </cell>
          <cell r="M39" t="str">
            <v>DE PRATI</v>
          </cell>
          <cell r="N39" t="str">
            <v>SANTIAGO M.</v>
          </cell>
          <cell r="AW39" t="str">
            <v>SANTIAGO M.</v>
          </cell>
          <cell r="BA39" t="str">
            <v>DE PRATI</v>
          </cell>
        </row>
        <row r="40">
          <cell r="C40" t="str">
            <v>enero</v>
          </cell>
          <cell r="D40" t="str">
            <v>G26-5061</v>
          </cell>
          <cell r="G40" t="str">
            <v>DESTALONADA 0</v>
          </cell>
          <cell r="I40" t="str">
            <v>ESCOLAR NIÑA</v>
          </cell>
          <cell r="J40" t="str">
            <v/>
          </cell>
          <cell r="M40" t="str">
            <v>DE PRATI</v>
          </cell>
          <cell r="N40" t="str">
            <v>SANTIAGO M.</v>
          </cell>
          <cell r="AW40" t="str">
            <v>SANTIAGO M.</v>
          </cell>
          <cell r="BA40" t="str">
            <v>DE PRATI</v>
          </cell>
        </row>
        <row r="41">
          <cell r="C41" t="str">
            <v>enero</v>
          </cell>
          <cell r="D41" t="str">
            <v>G26-5062</v>
          </cell>
          <cell r="G41" t="str">
            <v>SUECA 0</v>
          </cell>
          <cell r="I41" t="str">
            <v>ESCOLAR NIÑA</v>
          </cell>
          <cell r="J41" t="str">
            <v/>
          </cell>
          <cell r="M41" t="str">
            <v>DE PRATI</v>
          </cell>
          <cell r="N41" t="str">
            <v>SANTIAGO M.</v>
          </cell>
          <cell r="AW41" t="str">
            <v>SANTIAGO M.</v>
          </cell>
          <cell r="BA41" t="str">
            <v>DE PRATI</v>
          </cell>
        </row>
        <row r="42">
          <cell r="C42" t="str">
            <v>enero</v>
          </cell>
          <cell r="D42" t="str">
            <v>G26-5063</v>
          </cell>
          <cell r="G42" t="str">
            <v>DESTALONADA 0</v>
          </cell>
          <cell r="I42" t="str">
            <v>ESCOLAR NIÑA</v>
          </cell>
          <cell r="J42" t="str">
            <v/>
          </cell>
          <cell r="M42" t="str">
            <v>DE PRATI</v>
          </cell>
          <cell r="N42" t="str">
            <v>SANTIAGO M.</v>
          </cell>
          <cell r="AW42" t="str">
            <v>SANTIAGO M.</v>
          </cell>
          <cell r="BA42" t="str">
            <v>DE PRATI</v>
          </cell>
        </row>
        <row r="43">
          <cell r="C43" t="str">
            <v>enero</v>
          </cell>
          <cell r="D43" t="str">
            <v>D26-4043</v>
          </cell>
          <cell r="G43" t="str">
            <v>SUECA 0</v>
          </cell>
          <cell r="I43" t="str">
            <v>DAMA</v>
          </cell>
          <cell r="J43" t="str">
            <v/>
          </cell>
          <cell r="M43" t="str">
            <v>SOCKIES</v>
          </cell>
          <cell r="N43" t="str">
            <v>GABRIELA D.</v>
          </cell>
          <cell r="AW43" t="str">
            <v>GABRIELA D.</v>
          </cell>
          <cell r="BA43" t="str">
            <v>SOCKIES</v>
          </cell>
        </row>
        <row r="44">
          <cell r="C44" t="str">
            <v>enero</v>
          </cell>
          <cell r="D44" t="str">
            <v>D26-4044</v>
          </cell>
          <cell r="G44" t="str">
            <v>DESTALONADA 0</v>
          </cell>
          <cell r="I44" t="str">
            <v>DAMA</v>
          </cell>
          <cell r="J44" t="str">
            <v/>
          </cell>
          <cell r="M44" t="str">
            <v>SOCKIES</v>
          </cell>
          <cell r="N44" t="str">
            <v>GABRIELA D.</v>
          </cell>
          <cell r="AW44" t="str">
            <v>GABRIELA D.</v>
          </cell>
          <cell r="BA44" t="str">
            <v>SOCKIES</v>
          </cell>
        </row>
        <row r="45">
          <cell r="C45" t="str">
            <v>enero</v>
          </cell>
          <cell r="D45" t="str">
            <v>D26-4045</v>
          </cell>
          <cell r="G45" t="str">
            <v>SUECA 0</v>
          </cell>
          <cell r="I45" t="str">
            <v>DAMA</v>
          </cell>
          <cell r="J45" t="str">
            <v/>
          </cell>
          <cell r="M45" t="str">
            <v>SOCKIES</v>
          </cell>
          <cell r="N45" t="str">
            <v>GABRIELA D.</v>
          </cell>
          <cell r="AW45" t="str">
            <v>GABRIELA D.</v>
          </cell>
          <cell r="BA45" t="str">
            <v>SOCKIES</v>
          </cell>
        </row>
        <row r="46">
          <cell r="C46" t="str">
            <v>enero</v>
          </cell>
          <cell r="D46" t="str">
            <v>D26-4046</v>
          </cell>
          <cell r="G46" t="str">
            <v>DESTALONADA CON FILO</v>
          </cell>
          <cell r="I46" t="str">
            <v>DAMA</v>
          </cell>
          <cell r="J46" t="str">
            <v/>
          </cell>
          <cell r="M46" t="str">
            <v>SOCKIES</v>
          </cell>
          <cell r="N46" t="str">
            <v>GABRIELA D.</v>
          </cell>
          <cell r="AW46" t="str">
            <v>GABRIELA D.</v>
          </cell>
          <cell r="BA46" t="str">
            <v>SOCKIES</v>
          </cell>
        </row>
        <row r="47">
          <cell r="C47" t="str">
            <v>enero</v>
          </cell>
          <cell r="D47" t="str">
            <v>D26-4047</v>
          </cell>
          <cell r="G47" t="str">
            <v>DESTALONADA CON FILO</v>
          </cell>
          <cell r="I47" t="str">
            <v>DAMA</v>
          </cell>
          <cell r="J47" t="str">
            <v/>
          </cell>
          <cell r="M47" t="str">
            <v>SOCKIES</v>
          </cell>
          <cell r="N47" t="str">
            <v>GABRIELA D.</v>
          </cell>
          <cell r="AW47" t="str">
            <v>GABRIELA D.</v>
          </cell>
          <cell r="BA47" t="str">
            <v>SOCKIES</v>
          </cell>
        </row>
        <row r="48">
          <cell r="C48" t="str">
            <v>enero</v>
          </cell>
          <cell r="D48" t="str">
            <v>D26-4048</v>
          </cell>
          <cell r="G48" t="str">
            <v>SUECA 0</v>
          </cell>
          <cell r="I48" t="str">
            <v>DAMA</v>
          </cell>
          <cell r="J48" t="str">
            <v/>
          </cell>
          <cell r="M48" t="str">
            <v>SOCKIES</v>
          </cell>
          <cell r="N48" t="str">
            <v>GABRIELA D.</v>
          </cell>
          <cell r="AW48" t="str">
            <v>GABRIELA D.</v>
          </cell>
          <cell r="BA48" t="str">
            <v>SOCKIES</v>
          </cell>
        </row>
        <row r="49">
          <cell r="C49" t="str">
            <v>enero</v>
          </cell>
          <cell r="D49" t="str">
            <v>D26-4049</v>
          </cell>
          <cell r="G49" t="str">
            <v>DESTALONADA 0</v>
          </cell>
          <cell r="I49" t="str">
            <v>DAMA</v>
          </cell>
          <cell r="J49" t="str">
            <v/>
          </cell>
          <cell r="M49" t="str">
            <v>SOCKIES</v>
          </cell>
          <cell r="N49" t="str">
            <v>GABRIELA D.</v>
          </cell>
          <cell r="AW49" t="str">
            <v>GABRIELA D.</v>
          </cell>
          <cell r="BA49" t="str">
            <v>SOCKIES</v>
          </cell>
        </row>
        <row r="50">
          <cell r="C50" t="str">
            <v>enero</v>
          </cell>
          <cell r="D50" t="str">
            <v>D26-4050</v>
          </cell>
          <cell r="G50" t="str">
            <v>DESTALONADA CON FILO</v>
          </cell>
          <cell r="I50" t="str">
            <v>DAMA</v>
          </cell>
          <cell r="J50" t="str">
            <v/>
          </cell>
          <cell r="M50" t="str">
            <v>SOCKIES</v>
          </cell>
          <cell r="N50" t="str">
            <v>GABRIELA D.</v>
          </cell>
          <cell r="AW50" t="str">
            <v>GABRIELA D.</v>
          </cell>
          <cell r="BA50" t="str">
            <v>SOCKIES</v>
          </cell>
        </row>
        <row r="51">
          <cell r="C51" t="str">
            <v>enero</v>
          </cell>
          <cell r="D51" t="str">
            <v>D26-4051</v>
          </cell>
          <cell r="G51" t="str">
            <v>SUECA DESPIECE TROMPITA</v>
          </cell>
          <cell r="I51" t="str">
            <v>DAMA</v>
          </cell>
          <cell r="J51" t="str">
            <v/>
          </cell>
          <cell r="M51" t="str">
            <v>ROSADO</v>
          </cell>
          <cell r="N51" t="str">
            <v>GABRIELA D.</v>
          </cell>
          <cell r="AA51">
            <v>1</v>
          </cell>
          <cell r="AW51" t="str">
            <v>GABRIELA D.</v>
          </cell>
          <cell r="BA51" t="str">
            <v>ROSADO</v>
          </cell>
        </row>
        <row r="52">
          <cell r="C52" t="str">
            <v>enero</v>
          </cell>
          <cell r="D52" t="str">
            <v>H26-3474</v>
          </cell>
          <cell r="G52" t="str">
            <v>SUECA 0</v>
          </cell>
          <cell r="I52" t="str">
            <v>CABALLERO</v>
          </cell>
          <cell r="J52" t="str">
            <v/>
          </cell>
          <cell r="M52" t="str">
            <v>SOCKIES</v>
          </cell>
          <cell r="N52" t="str">
            <v>SANTIAGO M.</v>
          </cell>
          <cell r="AW52" t="str">
            <v>SANTIAGO M.</v>
          </cell>
          <cell r="BA52" t="str">
            <v>SOCKIES</v>
          </cell>
        </row>
        <row r="53">
          <cell r="C53" t="str">
            <v>enero</v>
          </cell>
          <cell r="D53" t="str">
            <v>H26-3475</v>
          </cell>
          <cell r="G53" t="str">
            <v>DESTALONADA 0</v>
          </cell>
          <cell r="I53" t="str">
            <v>CABALLERO</v>
          </cell>
          <cell r="J53" t="str">
            <v/>
          </cell>
          <cell r="M53" t="str">
            <v>SOCKIES</v>
          </cell>
          <cell r="N53" t="str">
            <v>SANTIAGO M.</v>
          </cell>
          <cell r="AW53" t="str">
            <v>SANTIAGO M.</v>
          </cell>
          <cell r="BA53" t="str">
            <v>SOCKIES</v>
          </cell>
        </row>
        <row r="54">
          <cell r="C54" t="str">
            <v>enero</v>
          </cell>
          <cell r="D54" t="str">
            <v>H26-3476</v>
          </cell>
          <cell r="G54" t="str">
            <v>SUECA 0</v>
          </cell>
          <cell r="I54" t="str">
            <v>CABALLERO</v>
          </cell>
          <cell r="J54" t="str">
            <v/>
          </cell>
          <cell r="M54" t="str">
            <v>SOCKIES</v>
          </cell>
          <cell r="N54" t="str">
            <v>SANTIAGO M.</v>
          </cell>
          <cell r="AA54">
            <v>1</v>
          </cell>
          <cell r="AW54" t="str">
            <v>SANTIAGO M.</v>
          </cell>
          <cell r="BA54" t="str">
            <v>SOCKIES</v>
          </cell>
        </row>
        <row r="55">
          <cell r="C55" t="str">
            <v>enero</v>
          </cell>
          <cell r="D55" t="str">
            <v>H26-3477</v>
          </cell>
          <cell r="G55" t="str">
            <v>DESTALONADA 0</v>
          </cell>
          <cell r="I55" t="str">
            <v>CABALLERO</v>
          </cell>
          <cell r="J55" t="str">
            <v/>
          </cell>
          <cell r="M55" t="str">
            <v>SOCKIES</v>
          </cell>
          <cell r="N55" t="str">
            <v>SANTIAGO M.</v>
          </cell>
          <cell r="AW55" t="str">
            <v>SANTIAGO M.</v>
          </cell>
          <cell r="BA55" t="str">
            <v>SOCKIES</v>
          </cell>
        </row>
        <row r="56">
          <cell r="C56" t="str">
            <v>enero</v>
          </cell>
          <cell r="D56" t="str">
            <v>D26-4052</v>
          </cell>
          <cell r="G56" t="str">
            <v>SUECA 0</v>
          </cell>
          <cell r="I56" t="str">
            <v>DAMA</v>
          </cell>
          <cell r="J56" t="str">
            <v/>
          </cell>
          <cell r="M56" t="str">
            <v>SOCKIES</v>
          </cell>
          <cell r="N56" t="str">
            <v>GABRIELA D.</v>
          </cell>
          <cell r="AW56" t="str">
            <v>GABRIELA D.</v>
          </cell>
          <cell r="BA56" t="str">
            <v>SOCKIES</v>
          </cell>
        </row>
        <row r="57">
          <cell r="C57" t="str">
            <v>enero</v>
          </cell>
          <cell r="D57" t="str">
            <v>D26-4053</v>
          </cell>
          <cell r="G57" t="str">
            <v>DESTALONADA 0</v>
          </cell>
          <cell r="I57" t="str">
            <v>DAMA</v>
          </cell>
          <cell r="J57" t="str">
            <v/>
          </cell>
          <cell r="M57" t="str">
            <v>SOCKIES</v>
          </cell>
          <cell r="N57" t="str">
            <v>GABRIELA D.</v>
          </cell>
          <cell r="AW57" t="str">
            <v>GABRIELA D.</v>
          </cell>
          <cell r="BA57" t="str">
            <v>SOCKIES</v>
          </cell>
        </row>
        <row r="58">
          <cell r="C58" t="str">
            <v>enero</v>
          </cell>
          <cell r="D58" t="str">
            <v>D26-4054</v>
          </cell>
          <cell r="G58" t="str">
            <v>SUECA 0</v>
          </cell>
          <cell r="I58" t="str">
            <v>DAMA</v>
          </cell>
          <cell r="J58" t="str">
            <v/>
          </cell>
          <cell r="M58" t="str">
            <v>SOCKIES</v>
          </cell>
          <cell r="N58" t="str">
            <v>GABRIELA D.</v>
          </cell>
          <cell r="AW58" t="str">
            <v>GABRIELA D.</v>
          </cell>
          <cell r="BA58" t="str">
            <v>SOCKIES</v>
          </cell>
        </row>
        <row r="59">
          <cell r="C59" t="str">
            <v>enero</v>
          </cell>
          <cell r="D59" t="str">
            <v>D26-4055</v>
          </cell>
          <cell r="G59" t="str">
            <v>DESTALONADA 0</v>
          </cell>
          <cell r="I59" t="str">
            <v>DAMA</v>
          </cell>
          <cell r="J59" t="str">
            <v/>
          </cell>
          <cell r="M59" t="str">
            <v>SOCKIES</v>
          </cell>
          <cell r="N59" t="str">
            <v>GABRIELA D.</v>
          </cell>
          <cell r="AW59" t="str">
            <v>GABRIELA D.</v>
          </cell>
          <cell r="BA59" t="str">
            <v/>
          </cell>
        </row>
        <row r="60">
          <cell r="C60" t="str">
            <v>enero</v>
          </cell>
          <cell r="D60" t="str">
            <v>D26-4056</v>
          </cell>
          <cell r="G60" t="str">
            <v>DESTALONADA CON FILO</v>
          </cell>
          <cell r="I60" t="str">
            <v>DAMA</v>
          </cell>
          <cell r="J60" t="str">
            <v/>
          </cell>
          <cell r="M60" t="str">
            <v>SOCKIES</v>
          </cell>
          <cell r="N60" t="str">
            <v>GABRIELA D.</v>
          </cell>
          <cell r="AW60" t="str">
            <v>GABRIELA D.</v>
          </cell>
          <cell r="BA60" t="str">
            <v>SOCKIES</v>
          </cell>
        </row>
        <row r="61">
          <cell r="C61" t="str">
            <v>enero</v>
          </cell>
          <cell r="D61" t="str">
            <v>D26-4057</v>
          </cell>
          <cell r="G61" t="str">
            <v>SUECA 0</v>
          </cell>
          <cell r="I61" t="str">
            <v>DAMA</v>
          </cell>
          <cell r="J61" t="str">
            <v/>
          </cell>
          <cell r="M61" t="str">
            <v>SOCKIES</v>
          </cell>
          <cell r="N61" t="str">
            <v>GABRIELA D.</v>
          </cell>
          <cell r="AW61" t="str">
            <v>GABRIELA D.</v>
          </cell>
          <cell r="BA61" t="str">
            <v>SOCKIES</v>
          </cell>
        </row>
        <row r="62">
          <cell r="C62" t="str">
            <v>enero</v>
          </cell>
          <cell r="D62" t="str">
            <v>D26-4058</v>
          </cell>
          <cell r="G62" t="str">
            <v>DESTALONADA 0</v>
          </cell>
          <cell r="I62" t="str">
            <v>DAMA</v>
          </cell>
          <cell r="J62" t="str">
            <v/>
          </cell>
          <cell r="M62" t="str">
            <v>SOCKIES</v>
          </cell>
          <cell r="N62" t="str">
            <v>GABRIELA D.</v>
          </cell>
          <cell r="AA62">
            <v>1</v>
          </cell>
          <cell r="AW62" t="str">
            <v>GABRIELA D.</v>
          </cell>
          <cell r="BA62" t="str">
            <v>SOCKIES</v>
          </cell>
        </row>
        <row r="63">
          <cell r="C63" t="str">
            <v>enero</v>
          </cell>
          <cell r="D63" t="str">
            <v>D26-4059</v>
          </cell>
          <cell r="G63" t="str">
            <v>SUECA 0</v>
          </cell>
          <cell r="I63" t="str">
            <v>DAMA</v>
          </cell>
          <cell r="J63" t="str">
            <v/>
          </cell>
          <cell r="M63" t="str">
            <v>SOCKIES</v>
          </cell>
          <cell r="N63" t="str">
            <v>GABRIELA D.</v>
          </cell>
          <cell r="AA63">
            <v>1</v>
          </cell>
          <cell r="AW63" t="str">
            <v>GABRIELA D.</v>
          </cell>
          <cell r="BA63" t="str">
            <v>SOCKIES</v>
          </cell>
        </row>
        <row r="64">
          <cell r="C64" t="str">
            <v>enero</v>
          </cell>
          <cell r="D64" t="str">
            <v>D26-4060</v>
          </cell>
          <cell r="G64" t="str">
            <v>DESTALONADA 0</v>
          </cell>
          <cell r="I64" t="str">
            <v>DAMA</v>
          </cell>
          <cell r="J64" t="str">
            <v/>
          </cell>
          <cell r="M64" t="str">
            <v>SOCKIES</v>
          </cell>
          <cell r="N64" t="str">
            <v>GABRIELA D.</v>
          </cell>
          <cell r="AW64" t="str">
            <v>GABRIELA D.</v>
          </cell>
          <cell r="BA64" t="str">
            <v>SOCKIES</v>
          </cell>
        </row>
        <row r="65">
          <cell r="C65" t="str">
            <v>enero</v>
          </cell>
          <cell r="D65" t="str">
            <v>D26-4061</v>
          </cell>
          <cell r="G65" t="str">
            <v>SUECA 0</v>
          </cell>
          <cell r="I65" t="str">
            <v>DAMA</v>
          </cell>
          <cell r="J65" t="str">
            <v/>
          </cell>
          <cell r="M65" t="str">
            <v>SOCKIES</v>
          </cell>
          <cell r="N65" t="str">
            <v>GABRIELA D.</v>
          </cell>
          <cell r="AW65" t="str">
            <v>GABRIELA D.</v>
          </cell>
          <cell r="BA65" t="str">
            <v>SOCKIES</v>
          </cell>
        </row>
        <row r="66">
          <cell r="C66" t="str">
            <v>enero</v>
          </cell>
          <cell r="D66" t="str">
            <v>D26-4062</v>
          </cell>
          <cell r="G66" t="str">
            <v>DESTALONADA 0</v>
          </cell>
          <cell r="I66" t="str">
            <v>DAMA</v>
          </cell>
          <cell r="J66" t="str">
            <v/>
          </cell>
          <cell r="M66" t="str">
            <v>SOCKIES</v>
          </cell>
          <cell r="N66" t="str">
            <v>GABRIELA D.</v>
          </cell>
          <cell r="AW66" t="str">
            <v>GABRIELA D.</v>
          </cell>
          <cell r="BA66" t="str">
            <v>SOCKIES</v>
          </cell>
        </row>
        <row r="67">
          <cell r="C67" t="str">
            <v>enero</v>
          </cell>
          <cell r="D67" t="str">
            <v>D26-4063</v>
          </cell>
          <cell r="G67" t="str">
            <v>DESTALONADA 0</v>
          </cell>
          <cell r="I67" t="str">
            <v>DAMA</v>
          </cell>
          <cell r="J67" t="str">
            <v/>
          </cell>
          <cell r="M67" t="str">
            <v>SOCKIES</v>
          </cell>
          <cell r="N67" t="str">
            <v>GABRIELA D.</v>
          </cell>
          <cell r="AW67" t="str">
            <v>GABRIELA D.</v>
          </cell>
          <cell r="BA67" t="str">
            <v>SOCKIES</v>
          </cell>
        </row>
        <row r="68">
          <cell r="C68" t="str">
            <v>enero</v>
          </cell>
          <cell r="D68" t="str">
            <v>D26-4064</v>
          </cell>
          <cell r="G68" t="str">
            <v>SUECA 0</v>
          </cell>
          <cell r="I68" t="str">
            <v>DAMA</v>
          </cell>
          <cell r="J68" t="str">
            <v/>
          </cell>
          <cell r="M68" t="str">
            <v>SOCKIES</v>
          </cell>
          <cell r="N68" t="str">
            <v>GABRIELA D.</v>
          </cell>
          <cell r="AW68" t="str">
            <v>GABRIELA D.</v>
          </cell>
          <cell r="BA68" t="str">
            <v>SOCKIES</v>
          </cell>
        </row>
        <row r="69">
          <cell r="C69" t="str">
            <v>enero</v>
          </cell>
          <cell r="D69" t="str">
            <v>D26-4065</v>
          </cell>
          <cell r="G69" t="str">
            <v>DESTALONADA 0</v>
          </cell>
          <cell r="I69" t="str">
            <v>DAMA</v>
          </cell>
          <cell r="J69" t="str">
            <v/>
          </cell>
          <cell r="M69" t="str">
            <v>SOCKIES</v>
          </cell>
          <cell r="N69" t="str">
            <v>GABRIELA D.</v>
          </cell>
          <cell r="AW69" t="str">
            <v>GABRIELA D.</v>
          </cell>
          <cell r="BA69" t="str">
            <v>SOCKIES</v>
          </cell>
        </row>
        <row r="70">
          <cell r="C70" t="str">
            <v>enero</v>
          </cell>
          <cell r="D70" t="str">
            <v>D26-4066</v>
          </cell>
          <cell r="G70" t="str">
            <v xml:space="preserve">DESTALONADA DIVIDIDA STROBEL CON FILO </v>
          </cell>
          <cell r="I70" t="str">
            <v>DAMA</v>
          </cell>
          <cell r="J70" t="str">
            <v/>
          </cell>
          <cell r="M70" t="str">
            <v>SOCKIES</v>
          </cell>
          <cell r="N70" t="str">
            <v>GABRIELA D.</v>
          </cell>
          <cell r="AW70" t="str">
            <v>GABRIELA D.</v>
          </cell>
          <cell r="BA70" t="str">
            <v>SOCKIES</v>
          </cell>
        </row>
        <row r="71">
          <cell r="C71" t="str">
            <v>enero</v>
          </cell>
          <cell r="D71" t="str">
            <v>H26-3478</v>
          </cell>
          <cell r="G71" t="str">
            <v>DESTALONADA 0</v>
          </cell>
          <cell r="I71" t="str">
            <v>CABALLERO</v>
          </cell>
          <cell r="J71" t="str">
            <v/>
          </cell>
          <cell r="M71" t="str">
            <v>SOCKIES</v>
          </cell>
          <cell r="N71" t="str">
            <v>SANTIAGO M.</v>
          </cell>
          <cell r="AW71" t="str">
            <v>SANTIAGO M.</v>
          </cell>
          <cell r="BA71" t="str">
            <v>SOCKIES</v>
          </cell>
        </row>
        <row r="72">
          <cell r="C72" t="str">
            <v>enero</v>
          </cell>
          <cell r="D72" t="str">
            <v>H26-3479</v>
          </cell>
          <cell r="G72" t="str">
            <v>SUECA CON FILO</v>
          </cell>
          <cell r="I72" t="str">
            <v>CABALLERO</v>
          </cell>
          <cell r="J72" t="str">
            <v/>
          </cell>
          <cell r="M72" t="str">
            <v>SOCKIES</v>
          </cell>
          <cell r="N72" t="str">
            <v>SANTIAGO M.</v>
          </cell>
          <cell r="AW72" t="str">
            <v>SANTIAGO M.</v>
          </cell>
          <cell r="BA72" t="str">
            <v>SOCKIES</v>
          </cell>
        </row>
        <row r="73">
          <cell r="C73" t="str">
            <v>enero</v>
          </cell>
          <cell r="D73" t="str">
            <v>H26-3480</v>
          </cell>
          <cell r="G73" t="str">
            <v>DESTALONADA CON FILO</v>
          </cell>
          <cell r="I73" t="str">
            <v>CABALLERO</v>
          </cell>
          <cell r="J73" t="str">
            <v/>
          </cell>
          <cell r="M73" t="str">
            <v>SOCKIES</v>
          </cell>
          <cell r="N73" t="str">
            <v>SANTIAGO M.</v>
          </cell>
          <cell r="AW73" t="str">
            <v>SANTIAGO M.</v>
          </cell>
          <cell r="BA73" t="str">
            <v>SOCKIES</v>
          </cell>
        </row>
        <row r="74">
          <cell r="C74" t="str">
            <v>enero</v>
          </cell>
          <cell r="D74" t="str">
            <v>H26-3481</v>
          </cell>
          <cell r="G74" t="str">
            <v>DESTALONADA 0</v>
          </cell>
          <cell r="I74" t="str">
            <v>CABALLERO</v>
          </cell>
          <cell r="J74" t="str">
            <v/>
          </cell>
          <cell r="M74" t="str">
            <v>SOCKIES</v>
          </cell>
          <cell r="N74" t="str">
            <v>SANTIAGO M.</v>
          </cell>
          <cell r="AW74" t="str">
            <v>SANTIAGO M.</v>
          </cell>
          <cell r="BA74" t="str">
            <v>SOCKIES</v>
          </cell>
        </row>
        <row r="75">
          <cell r="C75" t="str">
            <v>enero</v>
          </cell>
          <cell r="D75" t="str">
            <v>H26-3482</v>
          </cell>
          <cell r="G75" t="str">
            <v>DESTALONADA 0</v>
          </cell>
          <cell r="I75" t="str">
            <v>CABALLERO</v>
          </cell>
          <cell r="J75" t="str">
            <v/>
          </cell>
          <cell r="M75" t="str">
            <v>SOCKIES</v>
          </cell>
          <cell r="N75" t="str">
            <v>SANTIAGO M.</v>
          </cell>
          <cell r="AW75" t="str">
            <v>SANTIAGO M.</v>
          </cell>
          <cell r="BA75" t="str">
            <v>SOCKIES</v>
          </cell>
        </row>
        <row r="76">
          <cell r="C76" t="str">
            <v>enero</v>
          </cell>
          <cell r="D76" t="str">
            <v>H26-3483</v>
          </cell>
          <cell r="G76" t="str">
            <v>SUECA RIBETEADA</v>
          </cell>
          <cell r="I76" t="str">
            <v>CABALLERO</v>
          </cell>
          <cell r="J76" t="str">
            <v/>
          </cell>
          <cell r="M76" t="str">
            <v>SOCKIES</v>
          </cell>
          <cell r="N76" t="str">
            <v>SANTIAGO M.</v>
          </cell>
          <cell r="AW76" t="str">
            <v>SANTIAGO M.</v>
          </cell>
          <cell r="BA76" t="str">
            <v>SOCKIES</v>
          </cell>
        </row>
        <row r="77">
          <cell r="C77" t="str">
            <v>enero</v>
          </cell>
          <cell r="D77" t="str">
            <v>H26-3484</v>
          </cell>
          <cell r="G77" t="str">
            <v>DESTALONADA 0</v>
          </cell>
          <cell r="I77" t="str">
            <v>CABALLERO</v>
          </cell>
          <cell r="J77" t="str">
            <v/>
          </cell>
          <cell r="M77" t="str">
            <v>SOCKIES</v>
          </cell>
          <cell r="N77" t="str">
            <v>SANTIAGO M.</v>
          </cell>
          <cell r="AW77" t="str">
            <v>SANTIAGO M.</v>
          </cell>
          <cell r="BA77" t="str">
            <v>SOCKIES</v>
          </cell>
        </row>
        <row r="78">
          <cell r="C78" t="str">
            <v>enero</v>
          </cell>
          <cell r="D78" t="str">
            <v>H26-3485</v>
          </cell>
          <cell r="G78" t="str">
            <v>SUECA 0</v>
          </cell>
          <cell r="I78" t="str">
            <v>CABALLERO</v>
          </cell>
          <cell r="J78" t="str">
            <v/>
          </cell>
          <cell r="M78" t="str">
            <v>SOCKIES</v>
          </cell>
          <cell r="N78" t="str">
            <v>SANTIAGO M.</v>
          </cell>
          <cell r="AW78" t="str">
            <v>SANTIAGO M.</v>
          </cell>
          <cell r="BA78" t="str">
            <v>SOCKIES</v>
          </cell>
        </row>
        <row r="79">
          <cell r="C79" t="str">
            <v>enero</v>
          </cell>
          <cell r="D79" t="str">
            <v>H26-3486</v>
          </cell>
          <cell r="G79" t="str">
            <v>DESTALONADA 0</v>
          </cell>
          <cell r="I79" t="str">
            <v>CABALLERO</v>
          </cell>
          <cell r="J79" t="str">
            <v/>
          </cell>
          <cell r="M79" t="str">
            <v>SOCKIES</v>
          </cell>
          <cell r="N79" t="str">
            <v>SANTIAGO M.</v>
          </cell>
          <cell r="AW79" t="str">
            <v>SANTIAGO M.</v>
          </cell>
          <cell r="BA79" t="str">
            <v>SOCKIES</v>
          </cell>
        </row>
        <row r="80">
          <cell r="C80" t="str">
            <v>enero</v>
          </cell>
          <cell r="D80" t="str">
            <v>H26-3487</v>
          </cell>
          <cell r="G80" t="str">
            <v>SUECA CON FILO</v>
          </cell>
          <cell r="I80" t="str">
            <v>CABALLERO</v>
          </cell>
          <cell r="J80" t="str">
            <v/>
          </cell>
          <cell r="M80" t="str">
            <v>SOCKIES</v>
          </cell>
          <cell r="N80" t="str">
            <v>SANTIAGO M.</v>
          </cell>
          <cell r="AW80" t="str">
            <v>SANTIAGO M.</v>
          </cell>
          <cell r="BA80" t="str">
            <v>SOCKIES</v>
          </cell>
        </row>
        <row r="81">
          <cell r="C81" t="str">
            <v>enero</v>
          </cell>
          <cell r="D81" t="str">
            <v>H26-3488</v>
          </cell>
          <cell r="G81" t="str">
            <v>DESTALONADA 0</v>
          </cell>
          <cell r="I81" t="str">
            <v>CABALLERO</v>
          </cell>
          <cell r="J81" t="str">
            <v/>
          </cell>
          <cell r="M81" t="str">
            <v>SOCKIES</v>
          </cell>
          <cell r="N81" t="str">
            <v>SANTIAGO M.</v>
          </cell>
          <cell r="AW81" t="str">
            <v>SANTIAGO M.</v>
          </cell>
          <cell r="BA81" t="str">
            <v>SOCKIES</v>
          </cell>
        </row>
        <row r="82">
          <cell r="C82" t="str">
            <v>enero</v>
          </cell>
          <cell r="D82" t="str">
            <v>N26-3996</v>
          </cell>
          <cell r="G82" t="str">
            <v>SUECA 0</v>
          </cell>
          <cell r="I82" t="str">
            <v>ESCOLAR NIÑO</v>
          </cell>
          <cell r="J82" t="str">
            <v/>
          </cell>
          <cell r="M82" t="str">
            <v>SOCKIES</v>
          </cell>
          <cell r="N82" t="str">
            <v>SANTIAGO M.</v>
          </cell>
          <cell r="AW82" t="str">
            <v>SANTIAGO M.</v>
          </cell>
          <cell r="BA82" t="str">
            <v>SOCKIES</v>
          </cell>
        </row>
        <row r="83">
          <cell r="C83" t="str">
            <v>enero</v>
          </cell>
          <cell r="D83" t="str">
            <v>N26-3997</v>
          </cell>
          <cell r="G83" t="str">
            <v>DESTALONADA 0</v>
          </cell>
          <cell r="I83" t="str">
            <v>ESCOLAR NIÑO</v>
          </cell>
          <cell r="J83" t="str">
            <v/>
          </cell>
          <cell r="M83" t="str">
            <v>SOCKIES</v>
          </cell>
          <cell r="N83" t="str">
            <v>SANTIAGO M.</v>
          </cell>
          <cell r="AW83" t="str">
            <v>SANTIAGO M.</v>
          </cell>
          <cell r="BA83" t="str">
            <v>SOCKIES</v>
          </cell>
        </row>
        <row r="84">
          <cell r="C84" t="str">
            <v>enero</v>
          </cell>
          <cell r="D84" t="str">
            <v>N26-3998</v>
          </cell>
          <cell r="G84" t="str">
            <v>SUECA 0</v>
          </cell>
          <cell r="I84" t="str">
            <v>ESCOLAR NIÑO</v>
          </cell>
          <cell r="J84" t="str">
            <v/>
          </cell>
          <cell r="M84" t="str">
            <v>SOCKIES</v>
          </cell>
          <cell r="N84" t="str">
            <v>SANTIAGO M.</v>
          </cell>
          <cell r="AW84" t="str">
            <v>SANTIAGO M.</v>
          </cell>
          <cell r="BA84" t="str">
            <v>SOCKIES</v>
          </cell>
        </row>
        <row r="85">
          <cell r="C85" t="str">
            <v>enero</v>
          </cell>
          <cell r="D85" t="str">
            <v>N26-3999</v>
          </cell>
          <cell r="G85" t="str">
            <v>SUECA 0</v>
          </cell>
          <cell r="I85" t="str">
            <v>ESCOLAR NIÑO</v>
          </cell>
          <cell r="J85" t="str">
            <v/>
          </cell>
          <cell r="M85" t="str">
            <v>SOCKIES</v>
          </cell>
          <cell r="N85" t="str">
            <v>SANTIAGO M.</v>
          </cell>
          <cell r="AW85" t="str">
            <v>SANTIAGO M.</v>
          </cell>
          <cell r="BA85" t="str">
            <v>SOCKIES</v>
          </cell>
        </row>
        <row r="86">
          <cell r="C86" t="str">
            <v>enero</v>
          </cell>
          <cell r="D86" t="str">
            <v>N26-4000</v>
          </cell>
          <cell r="G86" t="str">
            <v>SUECA 0</v>
          </cell>
          <cell r="I86" t="str">
            <v>ESCOLAR NIÑO</v>
          </cell>
          <cell r="J86" t="str">
            <v/>
          </cell>
          <cell r="M86" t="str">
            <v>SOCKIES</v>
          </cell>
          <cell r="N86" t="str">
            <v>SANTIAGO M.</v>
          </cell>
          <cell r="AW86" t="str">
            <v>SANTIAGO M.</v>
          </cell>
          <cell r="BA86" t="str">
            <v>SOCKIES</v>
          </cell>
        </row>
        <row r="87">
          <cell r="C87" t="str">
            <v>enero</v>
          </cell>
          <cell r="D87" t="str">
            <v>N26-4001</v>
          </cell>
          <cell r="G87" t="str">
            <v>DESTALONADA 0</v>
          </cell>
          <cell r="I87" t="str">
            <v>ESCOLAR NIÑO</v>
          </cell>
          <cell r="J87" t="str">
            <v/>
          </cell>
          <cell r="M87" t="str">
            <v>SOCKIES</v>
          </cell>
          <cell r="N87" t="str">
            <v>SANTIAGO M.</v>
          </cell>
          <cell r="AW87" t="str">
            <v>SANTIAGO M.</v>
          </cell>
          <cell r="BA87" t="str">
            <v>SOCKIES</v>
          </cell>
        </row>
        <row r="88">
          <cell r="C88" t="str">
            <v>enero</v>
          </cell>
          <cell r="D88" t="str">
            <v>D26-4067</v>
          </cell>
          <cell r="G88" t="str">
            <v>BOTA CAÑA FRENTE EN V</v>
          </cell>
          <cell r="I88" t="str">
            <v>DAMA</v>
          </cell>
          <cell r="J88" t="str">
            <v/>
          </cell>
          <cell r="M88" t="str">
            <v>MEGAMAXI</v>
          </cell>
          <cell r="N88" t="str">
            <v>SANTIAGO M.</v>
          </cell>
          <cell r="AW88" t="str">
            <v>SANTIAGO M.</v>
          </cell>
          <cell r="BA88" t="str">
            <v>MEGAMAXI</v>
          </cell>
        </row>
        <row r="89">
          <cell r="C89" t="str">
            <v>enero</v>
          </cell>
          <cell r="D89" t="str">
            <v>D26-4068</v>
          </cell>
          <cell r="G89" t="str">
            <v>BOTA 0</v>
          </cell>
          <cell r="I89" t="str">
            <v>DAMA</v>
          </cell>
          <cell r="J89" t="str">
            <v/>
          </cell>
          <cell r="M89" t="str">
            <v>MEGAMAXI</v>
          </cell>
          <cell r="N89" t="str">
            <v>SANTIAGO M.</v>
          </cell>
          <cell r="AW89" t="str">
            <v>SANTIAGO M.</v>
          </cell>
          <cell r="BA89" t="str">
            <v>MEGAMAXI</v>
          </cell>
        </row>
        <row r="90">
          <cell r="C90" t="str">
            <v>enero</v>
          </cell>
          <cell r="D90" t="str">
            <v>D26-4069</v>
          </cell>
          <cell r="G90" t="str">
            <v>TALÓN 0</v>
          </cell>
          <cell r="I90" t="str">
            <v>DAMA</v>
          </cell>
          <cell r="J90" t="str">
            <v/>
          </cell>
          <cell r="M90" t="str">
            <v>MEGAMAXI</v>
          </cell>
          <cell r="N90" t="str">
            <v>SANTIAGO M.</v>
          </cell>
          <cell r="AW90" t="str">
            <v/>
          </cell>
          <cell r="BA90" t="str">
            <v>MEGAMAXI</v>
          </cell>
        </row>
        <row r="91">
          <cell r="C91" t="str">
            <v>enero</v>
          </cell>
          <cell r="D91" t="str">
            <v>D26-4070</v>
          </cell>
          <cell r="G91" t="str">
            <v>TALÓN 0</v>
          </cell>
          <cell r="I91" t="str">
            <v>DAMA</v>
          </cell>
          <cell r="J91" t="str">
            <v/>
          </cell>
          <cell r="M91" t="str">
            <v>MEGAMAXI</v>
          </cell>
          <cell r="N91" t="str">
            <v>GABRIELA D.</v>
          </cell>
          <cell r="AW91" t="str">
            <v>GABRIELA D.</v>
          </cell>
          <cell r="BA91" t="str">
            <v>MEGAMAXI</v>
          </cell>
        </row>
        <row r="92">
          <cell r="C92" t="str">
            <v>enero</v>
          </cell>
          <cell r="D92" t="str">
            <v>D26-4071</v>
          </cell>
          <cell r="G92" t="str">
            <v>SANDALIA PUNTA ABIERTA</v>
          </cell>
          <cell r="I92" t="str">
            <v>DAMA</v>
          </cell>
          <cell r="J92" t="str">
            <v/>
          </cell>
          <cell r="M92" t="str">
            <v>MEGAMAXI</v>
          </cell>
          <cell r="N92" t="str">
            <v>SANTIAGO M.</v>
          </cell>
          <cell r="AA92">
            <v>1</v>
          </cell>
          <cell r="AW92" t="str">
            <v/>
          </cell>
          <cell r="BA92" t="str">
            <v>MEGAMAXI</v>
          </cell>
        </row>
        <row r="93">
          <cell r="C93" t="str">
            <v>enero</v>
          </cell>
          <cell r="D93" t="str">
            <v>D26-4072</v>
          </cell>
          <cell r="G93" t="str">
            <v>SANDALIA CRUZADA EN X</v>
          </cell>
          <cell r="I93" t="str">
            <v>DAMA</v>
          </cell>
          <cell r="J93" t="str">
            <v/>
          </cell>
          <cell r="M93" t="str">
            <v>MEGAMAXI</v>
          </cell>
          <cell r="N93" t="str">
            <v>SANTIAGO M.</v>
          </cell>
          <cell r="AW93" t="str">
            <v>SANTIAGO M.</v>
          </cell>
          <cell r="BA93" t="str">
            <v>MEGAMAXI</v>
          </cell>
        </row>
        <row r="94">
          <cell r="C94" t="str">
            <v>enero</v>
          </cell>
          <cell r="D94" t="str">
            <v>D26-4073</v>
          </cell>
          <cell r="G94" t="str">
            <v>SUECA 0</v>
          </cell>
          <cell r="I94" t="str">
            <v>DAMA</v>
          </cell>
          <cell r="J94" t="str">
            <v/>
          </cell>
          <cell r="M94" t="str">
            <v>MEGAMAXI</v>
          </cell>
          <cell r="N94" t="str">
            <v>SANTIAGO M.</v>
          </cell>
          <cell r="AW94" t="str">
            <v>SANTIAGO M.</v>
          </cell>
          <cell r="BA94" t="str">
            <v>MEGAMAXI</v>
          </cell>
        </row>
        <row r="95">
          <cell r="C95" t="str">
            <v>enero</v>
          </cell>
          <cell r="D95" t="str">
            <v>D26-4074</v>
          </cell>
          <cell r="G95" t="str">
            <v>SUECA 0</v>
          </cell>
          <cell r="I95" t="str">
            <v>DAMA</v>
          </cell>
          <cell r="J95" t="str">
            <v/>
          </cell>
          <cell r="M95" t="str">
            <v>MEGAMAXI</v>
          </cell>
          <cell r="N95" t="str">
            <v>SANTIAGO M.</v>
          </cell>
          <cell r="AW95" t="str">
            <v>SANTIAGO M.</v>
          </cell>
          <cell r="BA95" t="str">
            <v>MEGAMAXI</v>
          </cell>
        </row>
        <row r="96">
          <cell r="C96" t="str">
            <v>enero</v>
          </cell>
          <cell r="D96" t="str">
            <v>D26-4075</v>
          </cell>
          <cell r="G96" t="str">
            <v>SUECA 0</v>
          </cell>
          <cell r="I96" t="str">
            <v>DAMA</v>
          </cell>
          <cell r="J96" t="str">
            <v/>
          </cell>
          <cell r="M96" t="str">
            <v>MEGAMAXI</v>
          </cell>
          <cell r="N96" t="str">
            <v>SANTIAGO M.</v>
          </cell>
          <cell r="AA96">
            <v>1</v>
          </cell>
          <cell r="AW96" t="str">
            <v/>
          </cell>
          <cell r="BA96" t="str">
            <v>MEGAMAXI</v>
          </cell>
        </row>
        <row r="97">
          <cell r="C97" t="str">
            <v>enero</v>
          </cell>
          <cell r="D97" t="str">
            <v>D26-4076</v>
          </cell>
          <cell r="G97" t="str">
            <v>DESTALONADA 0</v>
          </cell>
          <cell r="I97" t="str">
            <v>DAMA</v>
          </cell>
          <cell r="J97" t="str">
            <v/>
          </cell>
          <cell r="M97" t="str">
            <v>MEGAMAXI</v>
          </cell>
          <cell r="N97" t="str">
            <v>GABRIELA D.</v>
          </cell>
          <cell r="AA97">
            <v>1</v>
          </cell>
          <cell r="AW97" t="str">
            <v/>
          </cell>
          <cell r="BA97" t="str">
            <v>MEGAMAXI</v>
          </cell>
        </row>
        <row r="98">
          <cell r="C98" t="str">
            <v>enero</v>
          </cell>
          <cell r="D98" t="str">
            <v>D26-4077</v>
          </cell>
          <cell r="G98" t="str">
            <v>DESTALONADA 0</v>
          </cell>
          <cell r="I98" t="str">
            <v>DAMA</v>
          </cell>
          <cell r="J98" t="str">
            <v/>
          </cell>
          <cell r="M98" t="str">
            <v>MEGAMAXI</v>
          </cell>
          <cell r="N98" t="str">
            <v>SANTIAGO M.</v>
          </cell>
          <cell r="AW98" t="str">
            <v>SANTIAGO M.</v>
          </cell>
          <cell r="BA98" t="str">
            <v>MEGAMAXI</v>
          </cell>
        </row>
        <row r="99">
          <cell r="C99" t="str">
            <v>enero</v>
          </cell>
          <cell r="D99" t="str">
            <v>D26-4078</v>
          </cell>
          <cell r="G99" t="str">
            <v>BOTA 0</v>
          </cell>
          <cell r="I99" t="str">
            <v>DAMA</v>
          </cell>
          <cell r="J99" t="str">
            <v/>
          </cell>
          <cell r="M99" t="str">
            <v>MEGAMAXI</v>
          </cell>
          <cell r="N99" t="str">
            <v>GABRIELA D.</v>
          </cell>
          <cell r="AW99" t="str">
            <v>GABRIELA D.</v>
          </cell>
          <cell r="BA99" t="str">
            <v>MEGAMAXI</v>
          </cell>
        </row>
        <row r="100">
          <cell r="C100" t="str">
            <v>enero</v>
          </cell>
          <cell r="D100" t="str">
            <v>D26-4079</v>
          </cell>
          <cell r="G100" t="str">
            <v>BOTA 0</v>
          </cell>
          <cell r="I100" t="str">
            <v>DAMA</v>
          </cell>
          <cell r="J100" t="str">
            <v/>
          </cell>
          <cell r="M100" t="str">
            <v>MEGAMAXI</v>
          </cell>
          <cell r="N100" t="str">
            <v>GABRIELA D.</v>
          </cell>
          <cell r="AW100" t="str">
            <v>GABRIELA D.</v>
          </cell>
          <cell r="BA100" t="str">
            <v>MEGAMAXI</v>
          </cell>
        </row>
        <row r="101">
          <cell r="C101" t="str">
            <v>enero</v>
          </cell>
          <cell r="D101" t="str">
            <v>D26-4080</v>
          </cell>
          <cell r="G101" t="str">
            <v>TALÓN FILO ANGOSTO</v>
          </cell>
          <cell r="I101" t="str">
            <v>DAMA</v>
          </cell>
          <cell r="J101" t="str">
            <v/>
          </cell>
          <cell r="M101" t="str">
            <v>MEGAMAXI</v>
          </cell>
          <cell r="N101" t="str">
            <v>GABRIELA D.</v>
          </cell>
          <cell r="AW101" t="str">
            <v>GABRIELA D.</v>
          </cell>
          <cell r="BA101" t="str">
            <v>MEGAMAXI</v>
          </cell>
        </row>
        <row r="102">
          <cell r="C102" t="str">
            <v>enero</v>
          </cell>
          <cell r="D102" t="str">
            <v>D26-4081</v>
          </cell>
          <cell r="G102" t="str">
            <v>TALÓN CON FILO</v>
          </cell>
          <cell r="I102" t="str">
            <v>DAMA</v>
          </cell>
          <cell r="J102" t="str">
            <v/>
          </cell>
          <cell r="M102" t="str">
            <v>MEGAMAXI</v>
          </cell>
          <cell r="N102" t="str">
            <v>GABRIELA D.</v>
          </cell>
          <cell r="AW102" t="str">
            <v/>
          </cell>
          <cell r="BA102" t="str">
            <v>MEGAMAXI</v>
          </cell>
        </row>
        <row r="103">
          <cell r="C103" t="str">
            <v>enero</v>
          </cell>
          <cell r="D103" t="str">
            <v>D26-4082</v>
          </cell>
          <cell r="G103" t="str">
            <v>SANDALIA CRUZADA</v>
          </cell>
          <cell r="I103" t="str">
            <v>DAMA</v>
          </cell>
          <cell r="J103" t="str">
            <v/>
          </cell>
          <cell r="M103" t="str">
            <v>MEGAMAXI</v>
          </cell>
          <cell r="N103" t="str">
            <v>GABRIELA D.</v>
          </cell>
          <cell r="AW103" t="str">
            <v/>
          </cell>
          <cell r="BA103" t="str">
            <v>MEGAMAXI</v>
          </cell>
        </row>
        <row r="104">
          <cell r="C104" t="str">
            <v>enero</v>
          </cell>
          <cell r="D104" t="str">
            <v>D26-4083</v>
          </cell>
          <cell r="G104" t="str">
            <v>SANDALIA 0</v>
          </cell>
          <cell r="I104" t="str">
            <v>DAMA</v>
          </cell>
          <cell r="J104" t="str">
            <v/>
          </cell>
          <cell r="M104" t="str">
            <v>MEGAMAXI</v>
          </cell>
          <cell r="N104" t="str">
            <v>GABRIELA D.</v>
          </cell>
          <cell r="AW104" t="str">
            <v>GABRIELA D.</v>
          </cell>
          <cell r="BA104" t="str">
            <v>MEGAMAXI</v>
          </cell>
        </row>
        <row r="105">
          <cell r="C105" t="str">
            <v>enero</v>
          </cell>
          <cell r="D105" t="str">
            <v>D26-4084</v>
          </cell>
          <cell r="G105" t="str">
            <v>SANDALIA 0</v>
          </cell>
          <cell r="I105" t="str">
            <v>DAMA</v>
          </cell>
          <cell r="J105" t="str">
            <v/>
          </cell>
          <cell r="M105" t="str">
            <v>MEGAMAXI</v>
          </cell>
          <cell r="N105" t="str">
            <v>GABRIELA D.</v>
          </cell>
          <cell r="AW105" t="str">
            <v/>
          </cell>
          <cell r="BA105" t="str">
            <v>MEGAMAXI</v>
          </cell>
        </row>
        <row r="106">
          <cell r="C106" t="str">
            <v>enero</v>
          </cell>
          <cell r="D106" t="str">
            <v>D26-4085</v>
          </cell>
          <cell r="G106" t="str">
            <v>SUECA 0</v>
          </cell>
          <cell r="I106" t="str">
            <v>DAMA</v>
          </cell>
          <cell r="J106" t="str">
            <v/>
          </cell>
          <cell r="M106" t="str">
            <v>MEGAMAXI</v>
          </cell>
          <cell r="N106" t="str">
            <v>GABRIELA D.</v>
          </cell>
          <cell r="AW106" t="str">
            <v>GABRIELA D.</v>
          </cell>
          <cell r="BA106" t="str">
            <v>MEGAMAXI</v>
          </cell>
        </row>
        <row r="107">
          <cell r="C107" t="str">
            <v>enero</v>
          </cell>
          <cell r="D107" t="str">
            <v>D26-4086</v>
          </cell>
          <cell r="G107" t="str">
            <v>SUECA 0</v>
          </cell>
          <cell r="I107" t="str">
            <v>DAMA</v>
          </cell>
          <cell r="J107" t="str">
            <v/>
          </cell>
          <cell r="M107" t="str">
            <v>MEGAMAXI</v>
          </cell>
          <cell r="N107" t="str">
            <v>GABRIELA D.</v>
          </cell>
          <cell r="AW107" t="str">
            <v/>
          </cell>
          <cell r="BA107" t="str">
            <v>MEGAMAXI</v>
          </cell>
        </row>
        <row r="108">
          <cell r="C108" t="str">
            <v>enero</v>
          </cell>
          <cell r="D108" t="str">
            <v>D26-4087</v>
          </cell>
          <cell r="G108" t="str">
            <v>SUECA 0</v>
          </cell>
          <cell r="I108" t="str">
            <v>DAMA</v>
          </cell>
          <cell r="J108" t="str">
            <v/>
          </cell>
          <cell r="M108" t="str">
            <v>MEGAMAXI</v>
          </cell>
          <cell r="N108" t="str">
            <v>GABRIELA D.</v>
          </cell>
          <cell r="AW108" t="str">
            <v>GABRIELA D.</v>
          </cell>
          <cell r="BA108" t="str">
            <v>MEGAMAXI</v>
          </cell>
        </row>
        <row r="109">
          <cell r="C109" t="str">
            <v>enero</v>
          </cell>
          <cell r="D109" t="str">
            <v>D26-4088</v>
          </cell>
          <cell r="G109" t="str">
            <v>DESTALONADA CON FILO</v>
          </cell>
          <cell r="I109" t="str">
            <v>DAMA</v>
          </cell>
          <cell r="J109" t="str">
            <v/>
          </cell>
          <cell r="M109" t="str">
            <v>MEGAMAXI</v>
          </cell>
          <cell r="N109" t="str">
            <v>GABRIELA D.</v>
          </cell>
          <cell r="AW109" t="str">
            <v/>
          </cell>
          <cell r="BA109" t="str">
            <v>MEGAMAXI</v>
          </cell>
        </row>
        <row r="110">
          <cell r="C110" t="str">
            <v>enero</v>
          </cell>
          <cell r="D110" t="str">
            <v>D26-4089</v>
          </cell>
          <cell r="G110" t="str">
            <v>DESTALONADA 0</v>
          </cell>
          <cell r="I110" t="str">
            <v>DAMA</v>
          </cell>
          <cell r="J110" t="str">
            <v/>
          </cell>
          <cell r="M110" t="str">
            <v>MEGAMAXI</v>
          </cell>
          <cell r="N110" t="str">
            <v>GABRIELA D.</v>
          </cell>
          <cell r="AW110" t="str">
            <v/>
          </cell>
          <cell r="BA110" t="str">
            <v>MEGAMAXI</v>
          </cell>
        </row>
        <row r="111">
          <cell r="C111" t="str">
            <v>enero</v>
          </cell>
          <cell r="D111" t="str">
            <v>H26-3489</v>
          </cell>
          <cell r="G111" t="str">
            <v>DESTALONADA 0</v>
          </cell>
          <cell r="I111" t="str">
            <v>CABALLERO</v>
          </cell>
          <cell r="J111" t="str">
            <v/>
          </cell>
          <cell r="M111" t="str">
            <v>MEGAMAXI</v>
          </cell>
          <cell r="N111" t="str">
            <v>SANTIAGO M.</v>
          </cell>
          <cell r="AW111" t="str">
            <v>SANTIAGO M.</v>
          </cell>
          <cell r="BA111" t="str">
            <v>MEGAMAXI</v>
          </cell>
        </row>
        <row r="112">
          <cell r="C112" t="str">
            <v>enero</v>
          </cell>
          <cell r="D112" t="str">
            <v>H26-3490</v>
          </cell>
          <cell r="G112" t="str">
            <v>DESTALONADA 0</v>
          </cell>
          <cell r="I112" t="str">
            <v>CABALLERO</v>
          </cell>
          <cell r="J112" t="str">
            <v/>
          </cell>
          <cell r="M112" t="str">
            <v>MEGAMAXI</v>
          </cell>
          <cell r="N112" t="str">
            <v>SANTIAGO M.</v>
          </cell>
          <cell r="AW112" t="str">
            <v>SANTIAGO M.</v>
          </cell>
          <cell r="BA112" t="str">
            <v>MEGAMAXI</v>
          </cell>
        </row>
        <row r="113">
          <cell r="C113" t="str">
            <v>enero</v>
          </cell>
          <cell r="D113" t="str">
            <v>H26-3491</v>
          </cell>
          <cell r="G113" t="str">
            <v>SUECA 0</v>
          </cell>
          <cell r="I113" t="str">
            <v>CABALLERO</v>
          </cell>
          <cell r="J113" t="str">
            <v/>
          </cell>
          <cell r="M113" t="str">
            <v>MEGAMAXI</v>
          </cell>
          <cell r="N113" t="str">
            <v>SANTIAGO M.</v>
          </cell>
          <cell r="AW113" t="str">
            <v>SANTIAGO M.</v>
          </cell>
          <cell r="BA113" t="str">
            <v>MEGAMAXI</v>
          </cell>
        </row>
        <row r="114">
          <cell r="C114" t="str">
            <v>enero</v>
          </cell>
          <cell r="D114" t="str">
            <v>H26-3492</v>
          </cell>
          <cell r="G114" t="str">
            <v>SUECA 0</v>
          </cell>
          <cell r="I114" t="str">
            <v>CABALLERO</v>
          </cell>
          <cell r="J114" t="str">
            <v/>
          </cell>
          <cell r="M114" t="str">
            <v>MEGAMAXI</v>
          </cell>
          <cell r="N114" t="str">
            <v>SANTIAGO M.</v>
          </cell>
          <cell r="AW114" t="str">
            <v>SANTIAGO M.</v>
          </cell>
          <cell r="BA114" t="str">
            <v>MEGAMAXI</v>
          </cell>
        </row>
        <row r="115">
          <cell r="C115" t="str">
            <v>enero</v>
          </cell>
          <cell r="D115" t="str">
            <v>H26-3493</v>
          </cell>
          <cell r="G115" t="str">
            <v>SUECA MAS PUNTERA</v>
          </cell>
          <cell r="I115" t="str">
            <v>CABALLERO</v>
          </cell>
          <cell r="J115" t="str">
            <v/>
          </cell>
          <cell r="M115" t="str">
            <v>MEGAMAXI</v>
          </cell>
          <cell r="N115" t="str">
            <v>SANTIAGO M.</v>
          </cell>
          <cell r="AW115" t="str">
            <v/>
          </cell>
          <cell r="BA115" t="str">
            <v>MEGAMAXI</v>
          </cell>
        </row>
        <row r="116">
          <cell r="C116" t="str">
            <v>enero</v>
          </cell>
          <cell r="D116" t="str">
            <v>H26-3494</v>
          </cell>
          <cell r="G116" t="str">
            <v>SUECA 0</v>
          </cell>
          <cell r="I116" t="str">
            <v>CABALLERO</v>
          </cell>
          <cell r="J116" t="str">
            <v/>
          </cell>
          <cell r="M116" t="str">
            <v>MEGAMAXI</v>
          </cell>
          <cell r="N116" t="str">
            <v>SANTIAGO M.</v>
          </cell>
          <cell r="AW116" t="str">
            <v>SANTIAGO M.</v>
          </cell>
          <cell r="BA116" t="str">
            <v>MEGAMAXI</v>
          </cell>
        </row>
        <row r="117">
          <cell r="C117" t="str">
            <v>enero</v>
          </cell>
          <cell r="D117" t="str">
            <v>H26-3495</v>
          </cell>
          <cell r="G117" t="str">
            <v>TALÓN 0</v>
          </cell>
          <cell r="I117" t="str">
            <v>CABALLERO</v>
          </cell>
          <cell r="J117" t="str">
            <v/>
          </cell>
          <cell r="M117" t="str">
            <v>MEGAMAXI</v>
          </cell>
          <cell r="N117" t="str">
            <v>SANTIAGO M.</v>
          </cell>
          <cell r="AW117" t="str">
            <v/>
          </cell>
          <cell r="BA117" t="str">
            <v>MEGAMAXI</v>
          </cell>
        </row>
        <row r="118">
          <cell r="C118" t="str">
            <v>enero</v>
          </cell>
          <cell r="D118" t="str">
            <v>H26-3496</v>
          </cell>
          <cell r="G118" t="str">
            <v>DESTALONADA 0</v>
          </cell>
          <cell r="I118" t="str">
            <v>CABALLERO</v>
          </cell>
          <cell r="J118" t="str">
            <v/>
          </cell>
          <cell r="M118" t="str">
            <v>MEGAMAXI</v>
          </cell>
          <cell r="N118" t="str">
            <v>SANTIAGO M.</v>
          </cell>
          <cell r="AW118" t="str">
            <v>SANTIAGO M.</v>
          </cell>
          <cell r="BA118" t="str">
            <v>MEGAMAXI</v>
          </cell>
        </row>
        <row r="119">
          <cell r="C119" t="str">
            <v>enero</v>
          </cell>
          <cell r="D119" t="str">
            <v>H26-3497</v>
          </cell>
          <cell r="G119" t="str">
            <v>DESTALONADA 0</v>
          </cell>
          <cell r="I119" t="str">
            <v>CABALLERO</v>
          </cell>
          <cell r="J119" t="str">
            <v/>
          </cell>
          <cell r="M119" t="str">
            <v>MEGAMAXI</v>
          </cell>
          <cell r="N119" t="str">
            <v>SANTIAGO M.</v>
          </cell>
          <cell r="AW119" t="str">
            <v>SANTIAGO M.</v>
          </cell>
          <cell r="BA119" t="str">
            <v>MEGAMAXI</v>
          </cell>
        </row>
        <row r="120">
          <cell r="C120" t="str">
            <v>enero</v>
          </cell>
          <cell r="D120" t="str">
            <v>H26-3498</v>
          </cell>
          <cell r="G120" t="str">
            <v>SUECA PUNTERA+LATERAL</v>
          </cell>
          <cell r="I120" t="str">
            <v>CABALLERO</v>
          </cell>
          <cell r="J120" t="str">
            <v/>
          </cell>
          <cell r="M120" t="str">
            <v>MEGAMAXI</v>
          </cell>
          <cell r="N120" t="str">
            <v>SANTIAGO M.</v>
          </cell>
          <cell r="AW120" t="str">
            <v/>
          </cell>
          <cell r="BA120" t="str">
            <v>MEGAMAXI</v>
          </cell>
        </row>
        <row r="121">
          <cell r="C121" t="str">
            <v>enero</v>
          </cell>
          <cell r="D121" t="str">
            <v>H26-3499</v>
          </cell>
          <cell r="G121" t="str">
            <v>SUECA 0</v>
          </cell>
          <cell r="I121" t="str">
            <v>CABALLERO</v>
          </cell>
          <cell r="J121" t="str">
            <v/>
          </cell>
          <cell r="M121" t="str">
            <v>MEGAMAXI</v>
          </cell>
          <cell r="N121" t="str">
            <v>SANTIAGO M.</v>
          </cell>
          <cell r="AW121" t="str">
            <v>SANTIAGO M.</v>
          </cell>
          <cell r="BA121" t="str">
            <v>MEGAMAXI</v>
          </cell>
        </row>
        <row r="122">
          <cell r="C122" t="str">
            <v>enero</v>
          </cell>
          <cell r="D122" t="str">
            <v>H26-3500</v>
          </cell>
          <cell r="G122" t="str">
            <v>SUECA 0</v>
          </cell>
          <cell r="I122" t="str">
            <v>CABALLERO</v>
          </cell>
          <cell r="J122" t="str">
            <v/>
          </cell>
          <cell r="M122" t="str">
            <v>MEGAMAXI</v>
          </cell>
          <cell r="N122" t="str">
            <v>SANTIAGO M.</v>
          </cell>
          <cell r="AW122" t="str">
            <v/>
          </cell>
          <cell r="BA122" t="str">
            <v>MEGAMAXI</v>
          </cell>
        </row>
        <row r="123">
          <cell r="C123" t="str">
            <v>enero</v>
          </cell>
          <cell r="D123" t="str">
            <v>H26-3501</v>
          </cell>
          <cell r="G123" t="str">
            <v>SUECA 0</v>
          </cell>
          <cell r="I123" t="str">
            <v>CABALLERO</v>
          </cell>
          <cell r="J123" t="str">
            <v/>
          </cell>
          <cell r="M123" t="str">
            <v>MEGAMAXI</v>
          </cell>
          <cell r="N123" t="str">
            <v>SANTIAGO M.</v>
          </cell>
          <cell r="AW123" t="str">
            <v/>
          </cell>
          <cell r="BA123" t="str">
            <v>MEGAMAXI</v>
          </cell>
        </row>
        <row r="124">
          <cell r="C124" t="str">
            <v>enero</v>
          </cell>
          <cell r="D124" t="str">
            <v>H26-3502</v>
          </cell>
          <cell r="G124" t="str">
            <v>TALÓN 0</v>
          </cell>
          <cell r="I124" t="str">
            <v>CABALLERO</v>
          </cell>
          <cell r="J124" t="str">
            <v/>
          </cell>
          <cell r="M124" t="str">
            <v>MEGAMAXI</v>
          </cell>
          <cell r="N124" t="str">
            <v>SANTIAGO M.</v>
          </cell>
          <cell r="AW124" t="str">
            <v>SANTIAGO M.</v>
          </cell>
          <cell r="BA124" t="str">
            <v>MEGAMAXI</v>
          </cell>
        </row>
        <row r="125">
          <cell r="C125" t="str">
            <v>enero</v>
          </cell>
          <cell r="D125" t="str">
            <v>H26-3503</v>
          </cell>
          <cell r="G125" t="str">
            <v>MOCASÍN CON RIBETE</v>
          </cell>
          <cell r="I125" t="str">
            <v>CABALLERO</v>
          </cell>
          <cell r="J125" t="str">
            <v/>
          </cell>
          <cell r="M125" t="str">
            <v>MEGAMAXI</v>
          </cell>
          <cell r="N125" t="str">
            <v>SANTIAGO M.</v>
          </cell>
          <cell r="AW125" t="str">
            <v>SANTIAGO M.</v>
          </cell>
          <cell r="BA125" t="str">
            <v>MEGAMAXI</v>
          </cell>
        </row>
        <row r="126">
          <cell r="C126" t="str">
            <v>enero</v>
          </cell>
          <cell r="D126" t="str">
            <v>H26-3504</v>
          </cell>
          <cell r="G126" t="str">
            <v>DESTALONADA 0</v>
          </cell>
          <cell r="I126" t="str">
            <v>CABALLERO</v>
          </cell>
          <cell r="J126" t="str">
            <v/>
          </cell>
          <cell r="M126" t="str">
            <v>MEGAMAXI</v>
          </cell>
          <cell r="N126" t="str">
            <v>SANTIAGO M.</v>
          </cell>
          <cell r="AW126" t="str">
            <v>SANTIAGO M.</v>
          </cell>
          <cell r="BA126" t="str">
            <v>MEGAMAXI</v>
          </cell>
        </row>
        <row r="127">
          <cell r="C127" t="str">
            <v>enero</v>
          </cell>
          <cell r="D127" t="str">
            <v>H26-3505</v>
          </cell>
          <cell r="G127" t="str">
            <v>DESTALONADA 0</v>
          </cell>
          <cell r="I127" t="str">
            <v>CABALLERO</v>
          </cell>
          <cell r="J127" t="str">
            <v/>
          </cell>
          <cell r="M127" t="str">
            <v>MEGAMAXI</v>
          </cell>
          <cell r="N127" t="str">
            <v>SANTIAGO M.</v>
          </cell>
          <cell r="AW127" t="str">
            <v>SANTIAGO M.</v>
          </cell>
          <cell r="BA127" t="str">
            <v>MEGAMAXI</v>
          </cell>
        </row>
        <row r="128">
          <cell r="C128" t="str">
            <v>enero</v>
          </cell>
          <cell r="D128" t="str">
            <v>H26-3506</v>
          </cell>
          <cell r="G128" t="str">
            <v>SUECA 0</v>
          </cell>
          <cell r="I128" t="str">
            <v>CABALLERO</v>
          </cell>
          <cell r="J128" t="str">
            <v/>
          </cell>
          <cell r="M128" t="str">
            <v>MEGAMAXI</v>
          </cell>
          <cell r="N128" t="str">
            <v>SANTIAGO M.</v>
          </cell>
          <cell r="AW128" t="str">
            <v>SANTIAGO M.</v>
          </cell>
          <cell r="BA128" t="str">
            <v>MEGAMAXI</v>
          </cell>
        </row>
        <row r="129">
          <cell r="C129" t="str">
            <v>enero</v>
          </cell>
          <cell r="D129" t="str">
            <v>H26-3507</v>
          </cell>
          <cell r="G129" t="str">
            <v>SUECA 0</v>
          </cell>
          <cell r="I129" t="str">
            <v>CABALLERO</v>
          </cell>
          <cell r="J129" t="str">
            <v/>
          </cell>
          <cell r="M129" t="str">
            <v>MEGAMAXI</v>
          </cell>
          <cell r="N129" t="str">
            <v>SANTIAGO M.</v>
          </cell>
          <cell r="AW129" t="str">
            <v/>
          </cell>
          <cell r="BA129" t="str">
            <v>MEGAMAXI</v>
          </cell>
        </row>
        <row r="130">
          <cell r="C130" t="str">
            <v>enero</v>
          </cell>
          <cell r="D130" t="str">
            <v>H26-3508</v>
          </cell>
          <cell r="G130" t="str">
            <v>SUECA 0</v>
          </cell>
          <cell r="I130" t="str">
            <v>CABALLERO</v>
          </cell>
          <cell r="J130" t="str">
            <v/>
          </cell>
          <cell r="M130" t="str">
            <v>MEGAMAXI</v>
          </cell>
          <cell r="N130" t="str">
            <v>SANTIAGO M.</v>
          </cell>
          <cell r="AW130" t="str">
            <v>SANTIAGO M.</v>
          </cell>
          <cell r="BA130" t="str">
            <v>MEGAMAXI</v>
          </cell>
        </row>
        <row r="131">
          <cell r="C131" t="str">
            <v>enero</v>
          </cell>
          <cell r="D131" t="str">
            <v>H26-3509</v>
          </cell>
          <cell r="G131" t="str">
            <v>SUECA 0</v>
          </cell>
          <cell r="I131" t="str">
            <v>CABALLERO</v>
          </cell>
          <cell r="J131" t="str">
            <v/>
          </cell>
          <cell r="M131" t="str">
            <v>MEGAMAXI</v>
          </cell>
          <cell r="N131" t="str">
            <v>SANTIAGO M.</v>
          </cell>
          <cell r="AW131" t="str">
            <v/>
          </cell>
          <cell r="BA131" t="str">
            <v>MEGAMAXI</v>
          </cell>
        </row>
        <row r="132">
          <cell r="C132" t="str">
            <v>enero</v>
          </cell>
          <cell r="D132" t="str">
            <v>H26-3510</v>
          </cell>
          <cell r="G132" t="str">
            <v>TALÓN CON PUNTERA</v>
          </cell>
          <cell r="I132" t="str">
            <v>CABALLERO</v>
          </cell>
          <cell r="J132" t="str">
            <v/>
          </cell>
          <cell r="M132" t="str">
            <v>MEGAMAXI</v>
          </cell>
          <cell r="N132" t="str">
            <v>SANTIAGO M.</v>
          </cell>
          <cell r="AW132" t="str">
            <v/>
          </cell>
          <cell r="BA132" t="str">
            <v>MEGAMAXI</v>
          </cell>
        </row>
        <row r="133">
          <cell r="C133" t="str">
            <v>enero</v>
          </cell>
          <cell r="D133" t="str">
            <v>D26-4090</v>
          </cell>
          <cell r="G133" t="str">
            <v>BOTA FORRO SOBRESALIDO</v>
          </cell>
          <cell r="I133" t="str">
            <v>DAMA</v>
          </cell>
          <cell r="J133" t="str">
            <v/>
          </cell>
          <cell r="M133" t="str">
            <v>MEGAMAXI</v>
          </cell>
          <cell r="N133" t="str">
            <v>GABRIELA D.</v>
          </cell>
          <cell r="AW133" t="str">
            <v/>
          </cell>
          <cell r="BA133" t="str">
            <v>MEGAMAXI</v>
          </cell>
        </row>
        <row r="134">
          <cell r="C134" t="str">
            <v>enero</v>
          </cell>
          <cell r="D134" t="str">
            <v>D26-4091</v>
          </cell>
          <cell r="G134" t="str">
            <v>BOTA 0</v>
          </cell>
          <cell r="I134" t="str">
            <v>DAMA</v>
          </cell>
          <cell r="J134" t="str">
            <v/>
          </cell>
          <cell r="M134" t="str">
            <v>MEGAMAXI</v>
          </cell>
          <cell r="N134" t="str">
            <v>GABRIELA D.</v>
          </cell>
          <cell r="AW134" t="str">
            <v>GABRIELA D.</v>
          </cell>
          <cell r="BA134" t="str">
            <v>MEGAMAXI</v>
          </cell>
        </row>
        <row r="135">
          <cell r="C135" t="str">
            <v>enero</v>
          </cell>
          <cell r="D135" t="str">
            <v>D26-4092</v>
          </cell>
          <cell r="G135" t="str">
            <v>TALÓN CON FILO</v>
          </cell>
          <cell r="I135" t="str">
            <v>DAMA</v>
          </cell>
          <cell r="J135" t="str">
            <v/>
          </cell>
          <cell r="M135" t="str">
            <v>MEGAMAXI</v>
          </cell>
          <cell r="N135" t="str">
            <v>GABRIELA D.</v>
          </cell>
          <cell r="AW135" t="str">
            <v/>
          </cell>
          <cell r="BA135" t="str">
            <v>MEGAMAXI</v>
          </cell>
        </row>
        <row r="136">
          <cell r="C136" t="str">
            <v>febrero</v>
          </cell>
          <cell r="D136" t="str">
            <v>D26-4093</v>
          </cell>
          <cell r="G136" t="str">
            <v>TALÓN CON FILO</v>
          </cell>
          <cell r="I136" t="str">
            <v>DAMA</v>
          </cell>
          <cell r="J136" t="str">
            <v/>
          </cell>
          <cell r="M136" t="str">
            <v>MEGAMAXI</v>
          </cell>
          <cell r="N136" t="str">
            <v>GABRIELA D.</v>
          </cell>
          <cell r="AW136" t="str">
            <v/>
          </cell>
          <cell r="BA136" t="str">
            <v>MEGAMAXI</v>
          </cell>
        </row>
        <row r="137">
          <cell r="C137" t="str">
            <v>enero</v>
          </cell>
          <cell r="D137" t="str">
            <v>D26-4094</v>
          </cell>
          <cell r="G137" t="str">
            <v>SANDALIA PUNTA ABIERTA</v>
          </cell>
          <cell r="I137" t="str">
            <v>DAMA</v>
          </cell>
          <cell r="J137" t="str">
            <v/>
          </cell>
          <cell r="M137" t="str">
            <v>MEGAMAXI</v>
          </cell>
          <cell r="N137" t="str">
            <v>GABRIELA D.</v>
          </cell>
          <cell r="AW137" t="str">
            <v>GABRIELA D.</v>
          </cell>
          <cell r="BA137" t="str">
            <v>MEGAMAXI</v>
          </cell>
        </row>
        <row r="138">
          <cell r="C138" t="str">
            <v>enero</v>
          </cell>
          <cell r="D138" t="str">
            <v>D26-4095</v>
          </cell>
          <cell r="G138" t="str">
            <v>SANDALIA PUNTA ABIERTA</v>
          </cell>
          <cell r="I138" t="str">
            <v>DAMA</v>
          </cell>
          <cell r="J138" t="str">
            <v/>
          </cell>
          <cell r="M138" t="str">
            <v>MEGAMAXI</v>
          </cell>
          <cell r="N138" t="str">
            <v>GABRIELA D.</v>
          </cell>
          <cell r="AW138" t="str">
            <v/>
          </cell>
          <cell r="BA138" t="str">
            <v>MEGAMAXI</v>
          </cell>
        </row>
        <row r="139">
          <cell r="C139" t="str">
            <v>enero</v>
          </cell>
          <cell r="D139" t="str">
            <v>D26-4096</v>
          </cell>
          <cell r="G139" t="str">
            <v>SANDALIA PUNTA ABIERTA</v>
          </cell>
          <cell r="I139" t="str">
            <v>DAMA</v>
          </cell>
          <cell r="J139" t="str">
            <v/>
          </cell>
          <cell r="M139" t="str">
            <v>MEGAMAXI</v>
          </cell>
          <cell r="N139" t="str">
            <v>SANTIAGO M.</v>
          </cell>
          <cell r="AW139" t="str">
            <v>SANTIAGO M.</v>
          </cell>
          <cell r="BA139" t="str">
            <v>MEGAMAXI</v>
          </cell>
        </row>
        <row r="140">
          <cell r="C140" t="str">
            <v>febrero</v>
          </cell>
          <cell r="D140" t="str">
            <v>D26-4097</v>
          </cell>
          <cell r="G140" t="str">
            <v>SUECA 0</v>
          </cell>
          <cell r="I140" t="str">
            <v>DAMA</v>
          </cell>
          <cell r="J140" t="str">
            <v/>
          </cell>
          <cell r="M140" t="str">
            <v>MEGAMAXI</v>
          </cell>
          <cell r="N140" t="str">
            <v>SANTIAGO M.</v>
          </cell>
          <cell r="AW140" t="str">
            <v>SANTIAGO M.</v>
          </cell>
          <cell r="BA140" t="str">
            <v>MEGAMAXI</v>
          </cell>
        </row>
        <row r="141">
          <cell r="C141" t="str">
            <v>enero</v>
          </cell>
          <cell r="D141" t="str">
            <v>D26-4098</v>
          </cell>
          <cell r="G141" t="str">
            <v>SUECA 0</v>
          </cell>
          <cell r="I141" t="str">
            <v>DAMA</v>
          </cell>
          <cell r="J141" t="str">
            <v/>
          </cell>
          <cell r="M141" t="str">
            <v>MEGAMAXI</v>
          </cell>
          <cell r="N141" t="str">
            <v>GABRIELA D.</v>
          </cell>
          <cell r="AA141">
            <v>1</v>
          </cell>
          <cell r="AW141" t="str">
            <v/>
          </cell>
          <cell r="BA141" t="str">
            <v>MEGAMAXI</v>
          </cell>
        </row>
        <row r="142">
          <cell r="C142" t="str">
            <v>enero</v>
          </cell>
          <cell r="D142" t="str">
            <v>D26-4099</v>
          </cell>
          <cell r="G142" t="str">
            <v>SUECA 0</v>
          </cell>
          <cell r="I142" t="str">
            <v>DAMA</v>
          </cell>
          <cell r="J142" t="str">
            <v/>
          </cell>
          <cell r="M142" t="str">
            <v>MEGAMAXI</v>
          </cell>
          <cell r="N142" t="str">
            <v>GABRIELA D.</v>
          </cell>
          <cell r="AW142" t="str">
            <v>GABRIELA D.</v>
          </cell>
          <cell r="BA142" t="str">
            <v>MEGAMAXI</v>
          </cell>
        </row>
        <row r="143">
          <cell r="C143" t="str">
            <v>enero</v>
          </cell>
          <cell r="D143" t="str">
            <v>D26-4100</v>
          </cell>
          <cell r="G143" t="str">
            <v>DESTALONADA 0</v>
          </cell>
          <cell r="I143" t="str">
            <v>DAMA</v>
          </cell>
          <cell r="J143" t="str">
            <v/>
          </cell>
          <cell r="M143" t="str">
            <v>MEGAMAXI</v>
          </cell>
          <cell r="N143" t="str">
            <v>SANTIAGO M.</v>
          </cell>
          <cell r="AW143" t="str">
            <v>SANTIAGO M.</v>
          </cell>
          <cell r="BA143" t="str">
            <v>MEGAMAXI</v>
          </cell>
        </row>
        <row r="144">
          <cell r="C144" t="str">
            <v>enero</v>
          </cell>
          <cell r="D144" t="str">
            <v>D26-4101</v>
          </cell>
          <cell r="G144" t="str">
            <v>DESTALONADA CON FILO+DESPIECE CARITA</v>
          </cell>
          <cell r="I144" t="str">
            <v>DAMA</v>
          </cell>
          <cell r="J144" t="str">
            <v/>
          </cell>
          <cell r="M144" t="str">
            <v>MEGAMAXI</v>
          </cell>
          <cell r="N144" t="str">
            <v>GABRIELA D.</v>
          </cell>
          <cell r="AW144" t="str">
            <v/>
          </cell>
          <cell r="BA144" t="str">
            <v>MEGAMAXI</v>
          </cell>
        </row>
        <row r="145">
          <cell r="C145" t="str">
            <v>febrero</v>
          </cell>
          <cell r="D145" t="str">
            <v>N26-4002</v>
          </cell>
          <cell r="G145" t="str">
            <v>ZAPATO VELCRO</v>
          </cell>
          <cell r="I145" t="str">
            <v>PREESCOLAR NIÑO</v>
          </cell>
          <cell r="J145" t="str">
            <v/>
          </cell>
          <cell r="M145" t="str">
            <v>MEGAMAXI</v>
          </cell>
          <cell r="N145" t="str">
            <v>SANTIAGO M.</v>
          </cell>
          <cell r="AW145" t="str">
            <v>SANTIAGO M.</v>
          </cell>
          <cell r="BA145" t="str">
            <v>MEGAMAXI</v>
          </cell>
        </row>
        <row r="146">
          <cell r="C146" t="str">
            <v>febrero</v>
          </cell>
          <cell r="D146" t="str">
            <v>N26-4003</v>
          </cell>
          <cell r="G146" t="str">
            <v>ZAPATO  VELCRO</v>
          </cell>
          <cell r="I146" t="str">
            <v>PREESCOLAR NIÑO</v>
          </cell>
          <cell r="J146" t="str">
            <v/>
          </cell>
          <cell r="M146" t="str">
            <v>MEGAMAXI</v>
          </cell>
          <cell r="N146" t="str">
            <v>SANTIAGO M.</v>
          </cell>
          <cell r="AW146" t="str">
            <v/>
          </cell>
          <cell r="BA146" t="str">
            <v>MEGAMAXI</v>
          </cell>
        </row>
        <row r="147">
          <cell r="C147" t="str">
            <v>febrero</v>
          </cell>
          <cell r="D147" t="str">
            <v>N26-4004</v>
          </cell>
          <cell r="G147" t="str">
            <v>TALÓN 0</v>
          </cell>
          <cell r="I147" t="str">
            <v>PREESCOLAR NIÑO</v>
          </cell>
          <cell r="J147" t="str">
            <v/>
          </cell>
          <cell r="M147" t="str">
            <v>MEGAMAXI</v>
          </cell>
          <cell r="N147" t="str">
            <v>SANTIAGO M.</v>
          </cell>
          <cell r="AW147" t="str">
            <v>SANTIAGO M.</v>
          </cell>
          <cell r="BA147" t="str">
            <v>MEGAMAXI</v>
          </cell>
        </row>
        <row r="148">
          <cell r="C148" t="str">
            <v>febrero</v>
          </cell>
          <cell r="D148" t="str">
            <v>N26-4005</v>
          </cell>
          <cell r="G148" t="str">
            <v>TALÓN 0</v>
          </cell>
          <cell r="I148" t="str">
            <v>PREESCOLAR NIÑO</v>
          </cell>
          <cell r="J148" t="str">
            <v/>
          </cell>
          <cell r="M148" t="str">
            <v>MEGAMAXI</v>
          </cell>
          <cell r="N148" t="str">
            <v>SANTIAGO M.</v>
          </cell>
          <cell r="AW148" t="str">
            <v>SANTIAGO M.</v>
          </cell>
          <cell r="BA148" t="str">
            <v>MEGAMAXI</v>
          </cell>
        </row>
        <row r="149">
          <cell r="C149" t="str">
            <v>enero</v>
          </cell>
          <cell r="D149" t="str">
            <v>N26-4006</v>
          </cell>
          <cell r="G149" t="str">
            <v>TALÓN 0</v>
          </cell>
          <cell r="I149" t="str">
            <v>PREESCOLAR NIÑO</v>
          </cell>
          <cell r="J149" t="str">
            <v/>
          </cell>
          <cell r="M149" t="str">
            <v>MEGAMAXI</v>
          </cell>
          <cell r="N149" t="str">
            <v>JOSÉ LUIS T.</v>
          </cell>
          <cell r="AW149" t="str">
            <v>JOSÉ LUIS T.</v>
          </cell>
          <cell r="BA149" t="str">
            <v>MEGAMAXI</v>
          </cell>
        </row>
        <row r="150">
          <cell r="C150" t="str">
            <v>febrero</v>
          </cell>
          <cell r="D150" t="str">
            <v>N26-4007</v>
          </cell>
          <cell r="G150" t="str">
            <v>BOTA 0</v>
          </cell>
          <cell r="I150" t="str">
            <v>PREESCOLAR NIÑO</v>
          </cell>
          <cell r="J150" t="str">
            <v/>
          </cell>
          <cell r="M150" t="str">
            <v>MEGAMAXI</v>
          </cell>
          <cell r="N150" t="str">
            <v>SANTIAGO M.</v>
          </cell>
          <cell r="AW150" t="str">
            <v>SANTIAGO M.</v>
          </cell>
          <cell r="BA150" t="str">
            <v>MEGAMAXI</v>
          </cell>
        </row>
        <row r="151">
          <cell r="C151" t="str">
            <v>febrero</v>
          </cell>
          <cell r="D151" t="str">
            <v>N26-4008</v>
          </cell>
          <cell r="G151" t="str">
            <v>BOTA 0</v>
          </cell>
          <cell r="I151" t="str">
            <v>PREESCOLAR NIÑO</v>
          </cell>
          <cell r="J151" t="str">
            <v/>
          </cell>
          <cell r="M151" t="str">
            <v>MEGAMAXI</v>
          </cell>
          <cell r="N151" t="str">
            <v>SANTIAGO M.</v>
          </cell>
          <cell r="AW151" t="str">
            <v>SANTIAGO M.</v>
          </cell>
          <cell r="BA151" t="str">
            <v>MEGAMAXI</v>
          </cell>
        </row>
        <row r="152">
          <cell r="C152" t="str">
            <v>febrero</v>
          </cell>
          <cell r="D152" t="str">
            <v>N26-4009</v>
          </cell>
          <cell r="G152" t="str">
            <v>DESTALONADA 0</v>
          </cell>
          <cell r="I152" t="str">
            <v>ESCOLAR NIÑO</v>
          </cell>
          <cell r="J152" t="str">
            <v/>
          </cell>
          <cell r="M152" t="str">
            <v>MEGAMAXI</v>
          </cell>
          <cell r="N152" t="str">
            <v>SANTIAGO M.</v>
          </cell>
          <cell r="AW152" t="str">
            <v>SANTIAGO M.</v>
          </cell>
          <cell r="BA152" t="str">
            <v>MEGAMAXI</v>
          </cell>
        </row>
        <row r="153">
          <cell r="C153" t="str">
            <v>febrero</v>
          </cell>
          <cell r="D153" t="str">
            <v>N26-4010</v>
          </cell>
          <cell r="G153" t="str">
            <v>DESTALONADA 0</v>
          </cell>
          <cell r="I153" t="str">
            <v>ESCOLAR NIÑO</v>
          </cell>
          <cell r="J153" t="str">
            <v/>
          </cell>
          <cell r="M153" t="str">
            <v>MEGAMAXI</v>
          </cell>
          <cell r="N153" t="str">
            <v>SANTIAGO M.</v>
          </cell>
          <cell r="AW153" t="str">
            <v/>
          </cell>
          <cell r="BA153" t="str">
            <v>MEGAMAXI</v>
          </cell>
        </row>
        <row r="154">
          <cell r="C154" t="str">
            <v>febrero</v>
          </cell>
          <cell r="D154" t="str">
            <v>N26-4011</v>
          </cell>
          <cell r="G154" t="str">
            <v>SUECA 0</v>
          </cell>
          <cell r="I154" t="str">
            <v>ESCOLAR NIÑO</v>
          </cell>
          <cell r="J154" t="str">
            <v/>
          </cell>
          <cell r="M154" t="str">
            <v>MEGAMAXI</v>
          </cell>
          <cell r="N154" t="str">
            <v>JOSÉ LUIS T.</v>
          </cell>
          <cell r="AW154" t="str">
            <v/>
          </cell>
          <cell r="BA154" t="str">
            <v>MEGAMAXI</v>
          </cell>
        </row>
        <row r="155">
          <cell r="C155" t="str">
            <v>febrero</v>
          </cell>
          <cell r="D155" t="str">
            <v>N26-4012</v>
          </cell>
          <cell r="G155" t="str">
            <v>SUECA 0</v>
          </cell>
          <cell r="I155" t="str">
            <v>ESCOLAR NIÑO</v>
          </cell>
          <cell r="J155" t="str">
            <v/>
          </cell>
          <cell r="M155" t="str">
            <v>MEGAMAXI</v>
          </cell>
          <cell r="N155" t="str">
            <v>GABRIELA D.</v>
          </cell>
          <cell r="AW155" t="str">
            <v>GABRIELA D.</v>
          </cell>
          <cell r="BA155" t="str">
            <v>MEGAMAXI</v>
          </cell>
        </row>
        <row r="156">
          <cell r="C156" t="str">
            <v>febrero</v>
          </cell>
          <cell r="D156" t="str">
            <v>N26-4013</v>
          </cell>
          <cell r="G156" t="str">
            <v>SUECA CON RIBETE</v>
          </cell>
          <cell r="I156" t="str">
            <v>ESCOLAR NIÑO</v>
          </cell>
          <cell r="J156" t="str">
            <v/>
          </cell>
          <cell r="M156" t="str">
            <v>MEGAMAXI</v>
          </cell>
          <cell r="N156" t="str">
            <v>SANTIAGO M.</v>
          </cell>
          <cell r="AW156" t="str">
            <v>SANTIAGO M.</v>
          </cell>
          <cell r="BA156" t="str">
            <v>MEGAMAXI</v>
          </cell>
        </row>
        <row r="157">
          <cell r="C157" t="str">
            <v>febrero</v>
          </cell>
          <cell r="D157" t="str">
            <v>N26-4014</v>
          </cell>
          <cell r="G157" t="str">
            <v>SUECA 0</v>
          </cell>
          <cell r="I157" t="str">
            <v>ESCOLAR NIÑO</v>
          </cell>
          <cell r="J157" t="str">
            <v/>
          </cell>
          <cell r="M157" t="str">
            <v>MEGAMAXI</v>
          </cell>
          <cell r="N157" t="str">
            <v>JOSÉ LUIS T.</v>
          </cell>
          <cell r="AW157" t="str">
            <v>JOSÉ LUIS T.</v>
          </cell>
          <cell r="BA157" t="str">
            <v>MEGAMAXI</v>
          </cell>
        </row>
        <row r="158">
          <cell r="C158" t="str">
            <v>febrero</v>
          </cell>
          <cell r="D158" t="str">
            <v>N26-4015</v>
          </cell>
          <cell r="G158" t="str">
            <v>TALÓN 0</v>
          </cell>
          <cell r="I158" t="str">
            <v>ESCOLAR NIÑO</v>
          </cell>
          <cell r="J158" t="str">
            <v/>
          </cell>
          <cell r="M158" t="str">
            <v>MEGAMAXI</v>
          </cell>
          <cell r="N158" t="str">
            <v>SANTIAGO M.</v>
          </cell>
          <cell r="AW158" t="str">
            <v>SANTIAGO M.</v>
          </cell>
          <cell r="BA158" t="str">
            <v>MEGAMAXI</v>
          </cell>
        </row>
        <row r="159">
          <cell r="C159" t="str">
            <v>febrero</v>
          </cell>
          <cell r="D159" t="str">
            <v>N26-4016</v>
          </cell>
          <cell r="G159" t="str">
            <v>BOTA 0</v>
          </cell>
          <cell r="I159" t="str">
            <v>ESCOLAR NIÑO</v>
          </cell>
          <cell r="J159" t="str">
            <v/>
          </cell>
          <cell r="M159" t="str">
            <v>MEGAMAXI</v>
          </cell>
          <cell r="N159" t="str">
            <v>SANTIAGO M.</v>
          </cell>
          <cell r="AW159" t="str">
            <v>SANTIAGO M.</v>
          </cell>
          <cell r="BA159" t="str">
            <v>MEGAMAXI</v>
          </cell>
        </row>
        <row r="160">
          <cell r="C160" t="str">
            <v>febrero</v>
          </cell>
          <cell r="D160" t="str">
            <v>N26-4017</v>
          </cell>
          <cell r="G160" t="str">
            <v>BOTA 0</v>
          </cell>
          <cell r="I160" t="str">
            <v>ESCOLAR NIÑO</v>
          </cell>
          <cell r="J160" t="str">
            <v/>
          </cell>
          <cell r="M160" t="str">
            <v>MEGAMAXI</v>
          </cell>
          <cell r="N160" t="str">
            <v>SANTIAGO M.</v>
          </cell>
          <cell r="AW160" t="str">
            <v>SANTIAGO M.</v>
          </cell>
          <cell r="BA160" t="str">
            <v>MEGAMAXI</v>
          </cell>
        </row>
        <row r="161">
          <cell r="C161" t="str">
            <v>febrero</v>
          </cell>
          <cell r="D161" t="str">
            <v>G26-5064</v>
          </cell>
          <cell r="G161" t="str">
            <v>ZAPATO VELCRO</v>
          </cell>
          <cell r="I161" t="str">
            <v>PREESCOLAR NIÑA</v>
          </cell>
          <cell r="J161" t="str">
            <v/>
          </cell>
          <cell r="M161" t="str">
            <v>MEGAMAXI</v>
          </cell>
          <cell r="N161" t="str">
            <v>GABRIELA D.</v>
          </cell>
          <cell r="AW161" t="str">
            <v>GABRIELA D.</v>
          </cell>
          <cell r="BA161" t="str">
            <v>MEGAMAXI</v>
          </cell>
        </row>
        <row r="162">
          <cell r="C162" t="str">
            <v>febrero</v>
          </cell>
          <cell r="D162" t="str">
            <v>G26-5065</v>
          </cell>
          <cell r="G162" t="str">
            <v>ZAPATO VELCRO</v>
          </cell>
          <cell r="I162" t="str">
            <v>PREESCOLAR NIÑO</v>
          </cell>
          <cell r="J162" t="str">
            <v/>
          </cell>
          <cell r="M162" t="str">
            <v>MEGAMAXI</v>
          </cell>
          <cell r="N162" t="str">
            <v>GABRIELA D.</v>
          </cell>
          <cell r="AW162" t="str">
            <v>GABRIELA D.</v>
          </cell>
          <cell r="BA162" t="str">
            <v>MEGAMAXI</v>
          </cell>
        </row>
        <row r="163">
          <cell r="C163" t="str">
            <v>febrero</v>
          </cell>
          <cell r="D163" t="str">
            <v>G26-5066</v>
          </cell>
          <cell r="G163" t="str">
            <v>TALÓN 0</v>
          </cell>
          <cell r="I163" t="str">
            <v>PREESCOLAR NIÑA</v>
          </cell>
          <cell r="J163" t="str">
            <v/>
          </cell>
          <cell r="M163" t="str">
            <v>MEGAMAXI</v>
          </cell>
          <cell r="N163" t="str">
            <v>GABRIELA D.</v>
          </cell>
          <cell r="AW163" t="str">
            <v>GABRIELA D.</v>
          </cell>
          <cell r="BA163" t="str">
            <v>MEGAMAXI</v>
          </cell>
        </row>
        <row r="164">
          <cell r="C164" t="str">
            <v>febrero</v>
          </cell>
          <cell r="D164" t="str">
            <v>G26-5067</v>
          </cell>
          <cell r="G164" t="str">
            <v>TALÓN 0</v>
          </cell>
          <cell r="I164" t="str">
            <v>PREESCOLAR NIÑA</v>
          </cell>
          <cell r="J164" t="str">
            <v/>
          </cell>
          <cell r="M164" t="str">
            <v>MEGAMAXI</v>
          </cell>
          <cell r="N164" t="str">
            <v>GABRIELA D.</v>
          </cell>
          <cell r="AW164" t="str">
            <v>GABRIELA D.</v>
          </cell>
          <cell r="BA164" t="str">
            <v>MEGAMAXI</v>
          </cell>
        </row>
        <row r="165">
          <cell r="C165" t="str">
            <v>febrero</v>
          </cell>
          <cell r="D165" t="str">
            <v>G26-5068</v>
          </cell>
          <cell r="G165" t="str">
            <v>BOTA CON PUNTERA</v>
          </cell>
          <cell r="I165" t="str">
            <v>PREESCOLAR NIÑA</v>
          </cell>
          <cell r="J165" t="str">
            <v/>
          </cell>
          <cell r="M165" t="str">
            <v>MEGAMAXI</v>
          </cell>
          <cell r="N165" t="str">
            <v>GABRIELA D.</v>
          </cell>
          <cell r="AW165" t="str">
            <v/>
          </cell>
          <cell r="BA165" t="str">
            <v>MEGAMAXI</v>
          </cell>
        </row>
        <row r="166">
          <cell r="C166" t="str">
            <v>febrero</v>
          </cell>
          <cell r="D166" t="str">
            <v>G26-5069</v>
          </cell>
          <cell r="G166" t="str">
            <v>BOTA 0</v>
          </cell>
          <cell r="I166" t="str">
            <v>PREESCOLAR NIÑA</v>
          </cell>
          <cell r="J166" t="str">
            <v/>
          </cell>
          <cell r="M166" t="str">
            <v>MEGAMAXI</v>
          </cell>
          <cell r="N166" t="str">
            <v>GABRIELA D.</v>
          </cell>
          <cell r="AW166" t="str">
            <v>GABRIELA D.</v>
          </cell>
          <cell r="BA166" t="str">
            <v>MEGAMAXI</v>
          </cell>
        </row>
        <row r="167">
          <cell r="C167" t="str">
            <v>febrero</v>
          </cell>
          <cell r="D167" t="str">
            <v>G26-5070</v>
          </cell>
          <cell r="G167" t="str">
            <v>DESTALONADA 0</v>
          </cell>
          <cell r="I167" t="str">
            <v>ESCOLAR NIÑA</v>
          </cell>
          <cell r="J167" t="str">
            <v/>
          </cell>
          <cell r="M167" t="str">
            <v>MEGAMAXI</v>
          </cell>
          <cell r="N167" t="str">
            <v>GABRIELA D.</v>
          </cell>
          <cell r="AA167">
            <v>1</v>
          </cell>
          <cell r="AW167" t="str">
            <v/>
          </cell>
          <cell r="BA167" t="str">
            <v>MEGAMAXI</v>
          </cell>
        </row>
        <row r="168">
          <cell r="C168" t="str">
            <v>febrero</v>
          </cell>
          <cell r="D168" t="str">
            <v>G26-5071</v>
          </cell>
          <cell r="G168" t="str">
            <v>DESTALONADA 0</v>
          </cell>
          <cell r="I168" t="str">
            <v>ESCOLAR NIÑA</v>
          </cell>
          <cell r="J168" t="str">
            <v/>
          </cell>
          <cell r="M168" t="str">
            <v>MEGAMAXI</v>
          </cell>
          <cell r="N168" t="str">
            <v>JOSÉ LUIS T.</v>
          </cell>
          <cell r="AW168" t="str">
            <v/>
          </cell>
          <cell r="BA168" t="str">
            <v>MEGAMAXI</v>
          </cell>
        </row>
        <row r="169">
          <cell r="C169" t="str">
            <v>febrero</v>
          </cell>
          <cell r="D169" t="str">
            <v>G26-5072</v>
          </cell>
          <cell r="G169" t="str">
            <v>SUECA 0</v>
          </cell>
          <cell r="I169" t="str">
            <v>ESCOLAR NIÑA</v>
          </cell>
          <cell r="J169" t="str">
            <v/>
          </cell>
          <cell r="M169" t="str">
            <v>MEGAMAXI</v>
          </cell>
          <cell r="N169" t="str">
            <v>JOSÉ LUIS T.</v>
          </cell>
          <cell r="AW169" t="str">
            <v/>
          </cell>
          <cell r="BA169" t="str">
            <v>MEGAMAXI</v>
          </cell>
        </row>
        <row r="170">
          <cell r="C170" t="str">
            <v>febrero</v>
          </cell>
          <cell r="D170" t="str">
            <v>G26-5073</v>
          </cell>
          <cell r="G170" t="str">
            <v>SUECA 0</v>
          </cell>
          <cell r="I170" t="str">
            <v>ESCOLAR NIÑA</v>
          </cell>
          <cell r="J170" t="str">
            <v/>
          </cell>
          <cell r="M170" t="str">
            <v>MEGAMAXI</v>
          </cell>
          <cell r="N170" t="str">
            <v>GABRIELA D.</v>
          </cell>
          <cell r="AA170">
            <v>1</v>
          </cell>
          <cell r="AW170" t="str">
            <v/>
          </cell>
          <cell r="BA170" t="str">
            <v>MEGAMAXI</v>
          </cell>
        </row>
        <row r="171">
          <cell r="C171" t="str">
            <v>febrero</v>
          </cell>
          <cell r="D171" t="str">
            <v>G26-5074</v>
          </cell>
          <cell r="G171" t="str">
            <v>SUECA 0</v>
          </cell>
          <cell r="I171" t="str">
            <v>ESCOLAR NIÑA</v>
          </cell>
          <cell r="J171" t="str">
            <v/>
          </cell>
          <cell r="M171" t="str">
            <v>MEGAMAXI</v>
          </cell>
          <cell r="N171" t="str">
            <v>GABRIELA D.</v>
          </cell>
          <cell r="AA171">
            <v>1</v>
          </cell>
          <cell r="AW171" t="str">
            <v/>
          </cell>
          <cell r="BA171" t="str">
            <v>MEGAMAXI</v>
          </cell>
        </row>
        <row r="172">
          <cell r="C172" t="str">
            <v>febrero</v>
          </cell>
          <cell r="D172" t="str">
            <v>G26-5075</v>
          </cell>
          <cell r="G172" t="str">
            <v>TALÓN 0</v>
          </cell>
          <cell r="I172" t="str">
            <v>ESCOLAR NIÑA</v>
          </cell>
          <cell r="J172" t="str">
            <v/>
          </cell>
          <cell r="M172" t="str">
            <v>MEGAMAXI</v>
          </cell>
          <cell r="N172" t="str">
            <v>GABRIELA D.</v>
          </cell>
          <cell r="AA172">
            <v>1</v>
          </cell>
          <cell r="AW172" t="str">
            <v/>
          </cell>
          <cell r="BA172" t="str">
            <v>MEGAMAXI</v>
          </cell>
        </row>
        <row r="173">
          <cell r="C173" t="str">
            <v>febrero</v>
          </cell>
          <cell r="D173" t="str">
            <v>G26-5076</v>
          </cell>
          <cell r="G173" t="str">
            <v>BOTA 0</v>
          </cell>
          <cell r="I173" t="str">
            <v>ESCOLAR NIÑA</v>
          </cell>
          <cell r="J173" t="str">
            <v/>
          </cell>
          <cell r="M173" t="str">
            <v>MEGAMAXI</v>
          </cell>
          <cell r="N173" t="str">
            <v>GABRIELA D.</v>
          </cell>
          <cell r="AW173" t="str">
            <v>GABRIELA D.</v>
          </cell>
          <cell r="BA173" t="str">
            <v>MEGAMAXI</v>
          </cell>
        </row>
        <row r="174">
          <cell r="C174" t="str">
            <v>febrero</v>
          </cell>
          <cell r="D174" t="str">
            <v>G26-5077</v>
          </cell>
          <cell r="G174" t="str">
            <v>BOTA CON PUNTA</v>
          </cell>
          <cell r="I174" t="str">
            <v>ESCOLAR NIÑA</v>
          </cell>
          <cell r="J174" t="str">
            <v/>
          </cell>
          <cell r="M174" t="str">
            <v>MEGAMAXI</v>
          </cell>
          <cell r="N174" t="str">
            <v>GABRIELA D.</v>
          </cell>
          <cell r="AW174" t="str">
            <v/>
          </cell>
          <cell r="BA174" t="str">
            <v>MEGAMAXI</v>
          </cell>
        </row>
        <row r="175">
          <cell r="C175" t="str">
            <v>febrero</v>
          </cell>
          <cell r="D175" t="str">
            <v>D26-4102</v>
          </cell>
          <cell r="G175" t="str">
            <v>DESTALONADA CON FILO</v>
          </cell>
          <cell r="I175" t="str">
            <v>DAMA</v>
          </cell>
          <cell r="J175" t="str">
            <v/>
          </cell>
          <cell r="M175" t="str">
            <v>DE PRATI</v>
          </cell>
          <cell r="N175" t="str">
            <v>GABRIELA D.</v>
          </cell>
          <cell r="AW175" t="str">
            <v>GABRIELA D.</v>
          </cell>
          <cell r="BA175" t="str">
            <v>DE PRATI</v>
          </cell>
        </row>
        <row r="176">
          <cell r="C176" t="str">
            <v>febrero</v>
          </cell>
          <cell r="D176" t="str">
            <v>D26-4103</v>
          </cell>
          <cell r="G176" t="str">
            <v>SUECA 0</v>
          </cell>
          <cell r="I176" t="str">
            <v>DAMA</v>
          </cell>
          <cell r="J176" t="str">
            <v/>
          </cell>
          <cell r="M176" t="str">
            <v>DE PRATI</v>
          </cell>
          <cell r="N176" t="str">
            <v>GABRIELA D.</v>
          </cell>
          <cell r="AW176" t="str">
            <v>GABRIELA D.</v>
          </cell>
          <cell r="BA176" t="str">
            <v>DE PRATI</v>
          </cell>
        </row>
        <row r="177">
          <cell r="C177" t="str">
            <v>febrero</v>
          </cell>
          <cell r="D177" t="str">
            <v>D26-4104</v>
          </cell>
          <cell r="G177" t="str">
            <v>DESTALONADA RIBETEADA</v>
          </cell>
          <cell r="I177" t="str">
            <v>DAMA</v>
          </cell>
          <cell r="J177" t="str">
            <v/>
          </cell>
          <cell r="M177" t="str">
            <v>DE PRATI</v>
          </cell>
          <cell r="N177" t="str">
            <v>GABRIELA D.</v>
          </cell>
          <cell r="AW177" t="str">
            <v>GABRIELA D.</v>
          </cell>
          <cell r="BA177" t="str">
            <v>DE PRATI</v>
          </cell>
        </row>
        <row r="178">
          <cell r="C178" t="str">
            <v>febrero</v>
          </cell>
          <cell r="D178" t="str">
            <v>D26-4105</v>
          </cell>
          <cell r="G178" t="str">
            <v>SUECA 0</v>
          </cell>
          <cell r="I178" t="str">
            <v>DAMA</v>
          </cell>
          <cell r="J178" t="str">
            <v/>
          </cell>
          <cell r="M178" t="str">
            <v>DE PRATI</v>
          </cell>
          <cell r="N178" t="str">
            <v>GABRIELA D.</v>
          </cell>
          <cell r="AW178" t="str">
            <v>GABRIELA D.</v>
          </cell>
          <cell r="BA178" t="str">
            <v>DE PRATI</v>
          </cell>
        </row>
        <row r="179">
          <cell r="C179" t="str">
            <v>febrero</v>
          </cell>
          <cell r="D179" t="str">
            <v>D26-4106</v>
          </cell>
          <cell r="G179" t="str">
            <v>DESTALONADA 0</v>
          </cell>
          <cell r="I179" t="str">
            <v>DAMA</v>
          </cell>
          <cell r="J179" t="str">
            <v/>
          </cell>
          <cell r="M179" t="str">
            <v>DE PRATI</v>
          </cell>
          <cell r="N179" t="str">
            <v>GABRIELA D.</v>
          </cell>
          <cell r="AW179" t="str">
            <v>GABRIELA D.</v>
          </cell>
          <cell r="BA179" t="str">
            <v>DE PRATI</v>
          </cell>
        </row>
        <row r="180">
          <cell r="C180" t="str">
            <v>febrero</v>
          </cell>
          <cell r="D180" t="str">
            <v>D26-4107</v>
          </cell>
          <cell r="G180" t="str">
            <v>DESTALONADA 0</v>
          </cell>
          <cell r="I180" t="str">
            <v>DAMA</v>
          </cell>
          <cell r="J180" t="str">
            <v/>
          </cell>
          <cell r="M180" t="str">
            <v>DE PRATI</v>
          </cell>
          <cell r="N180" t="str">
            <v>GABRIELA D.</v>
          </cell>
          <cell r="AW180" t="str">
            <v>GABRIELA D.</v>
          </cell>
          <cell r="BA180" t="str">
            <v>DE PRATI</v>
          </cell>
        </row>
        <row r="181">
          <cell r="C181" t="str">
            <v>febrero</v>
          </cell>
          <cell r="D181" t="str">
            <v>H26-3511</v>
          </cell>
          <cell r="G181" t="str">
            <v>DESTALONADA 0</v>
          </cell>
          <cell r="I181" t="str">
            <v>CABALLERO</v>
          </cell>
          <cell r="J181" t="str">
            <v/>
          </cell>
          <cell r="M181" t="str">
            <v>GRAN AKI</v>
          </cell>
          <cell r="N181" t="str">
            <v>SANTIAGO M.</v>
          </cell>
          <cell r="AW181" t="str">
            <v>SANTIAGO M.</v>
          </cell>
          <cell r="BA181" t="str">
            <v>GRAN AKI</v>
          </cell>
        </row>
        <row r="182">
          <cell r="C182" t="str">
            <v>febrero</v>
          </cell>
          <cell r="D182" t="str">
            <v>H26-3512</v>
          </cell>
          <cell r="G182" t="str">
            <v>SUECA 0</v>
          </cell>
          <cell r="I182" t="str">
            <v>CABALLERO</v>
          </cell>
          <cell r="J182" t="str">
            <v/>
          </cell>
          <cell r="M182" t="str">
            <v>GRAN AKI</v>
          </cell>
          <cell r="N182" t="str">
            <v>SANTIAGO M.</v>
          </cell>
          <cell r="AW182" t="str">
            <v>SANTIAGO M.</v>
          </cell>
          <cell r="BA182" t="str">
            <v>GRAN AKI</v>
          </cell>
        </row>
        <row r="183">
          <cell r="C183" t="str">
            <v>febrero</v>
          </cell>
          <cell r="D183" t="str">
            <v>H26-3513</v>
          </cell>
          <cell r="G183" t="str">
            <v>SUECA 0</v>
          </cell>
          <cell r="I183" t="str">
            <v>CABALLERO</v>
          </cell>
          <cell r="J183" t="str">
            <v/>
          </cell>
          <cell r="M183" t="str">
            <v>GRAN AKI</v>
          </cell>
          <cell r="N183" t="str">
            <v>SANTIAGO M.</v>
          </cell>
          <cell r="AW183" t="str">
            <v>SANTIAGO M.</v>
          </cell>
          <cell r="BA183" t="str">
            <v>GRAN AKI</v>
          </cell>
        </row>
        <row r="184">
          <cell r="C184" t="str">
            <v>febrero</v>
          </cell>
          <cell r="D184" t="str">
            <v>H26-3514</v>
          </cell>
          <cell r="G184" t="str">
            <v>TALÓN 0</v>
          </cell>
          <cell r="I184" t="str">
            <v>CABALLERO</v>
          </cell>
          <cell r="J184" t="str">
            <v/>
          </cell>
          <cell r="M184" t="str">
            <v>GRAN AKI</v>
          </cell>
          <cell r="N184" t="str">
            <v>SANTIAGO M.</v>
          </cell>
          <cell r="AW184" t="str">
            <v>SANTIAGO M.</v>
          </cell>
          <cell r="BA184" t="str">
            <v>GRAN AKI</v>
          </cell>
        </row>
        <row r="185">
          <cell r="C185" t="str">
            <v>febrero</v>
          </cell>
          <cell r="D185" t="str">
            <v>H26-3516</v>
          </cell>
          <cell r="G185" t="str">
            <v>DESTALONADA 0</v>
          </cell>
          <cell r="I185" t="str">
            <v>CABALLERO</v>
          </cell>
          <cell r="J185" t="str">
            <v/>
          </cell>
          <cell r="M185" t="str">
            <v>GRAN AKI</v>
          </cell>
          <cell r="N185" t="str">
            <v>SANTIAGO M.</v>
          </cell>
          <cell r="AW185" t="str">
            <v/>
          </cell>
          <cell r="BA185" t="str">
            <v>GRAN AKI</v>
          </cell>
        </row>
        <row r="186">
          <cell r="C186" t="str">
            <v>febrero</v>
          </cell>
          <cell r="D186" t="str">
            <v>H26-3517</v>
          </cell>
          <cell r="G186" t="str">
            <v>DESTALONADA CON FILO</v>
          </cell>
          <cell r="I186" t="str">
            <v>CABALLERO</v>
          </cell>
          <cell r="J186" t="str">
            <v/>
          </cell>
          <cell r="M186" t="str">
            <v>GRAN AKI</v>
          </cell>
          <cell r="N186" t="str">
            <v>SANTIAGO M.</v>
          </cell>
          <cell r="AW186" t="str">
            <v>SANTIAGO M.</v>
          </cell>
          <cell r="BA186" t="str">
            <v>GRAN AKI</v>
          </cell>
        </row>
        <row r="187">
          <cell r="C187" t="str">
            <v>febrero</v>
          </cell>
          <cell r="D187" t="str">
            <v>H26-3518</v>
          </cell>
          <cell r="G187" t="str">
            <v>SUECA FILO ANGOSTO</v>
          </cell>
          <cell r="I187" t="str">
            <v>CABALLERO</v>
          </cell>
          <cell r="J187" t="str">
            <v/>
          </cell>
          <cell r="M187" t="str">
            <v>GRAN AKI</v>
          </cell>
          <cell r="N187" t="str">
            <v>SANTIAGO M.</v>
          </cell>
          <cell r="AW187" t="str">
            <v/>
          </cell>
          <cell r="BA187" t="str">
            <v>GRAN AKI</v>
          </cell>
        </row>
        <row r="188">
          <cell r="C188" t="str">
            <v>febrero</v>
          </cell>
          <cell r="D188" t="str">
            <v>H26-3519</v>
          </cell>
          <cell r="G188" t="str">
            <v>SUECA 0</v>
          </cell>
          <cell r="I188" t="str">
            <v>CABALLERO</v>
          </cell>
          <cell r="J188" t="str">
            <v/>
          </cell>
          <cell r="M188" t="str">
            <v>GRAN AKI</v>
          </cell>
          <cell r="N188" t="str">
            <v>SANTIAGO M.</v>
          </cell>
          <cell r="AW188" t="str">
            <v>SANTIAGO M.</v>
          </cell>
          <cell r="BA188" t="str">
            <v>GRAN AKI</v>
          </cell>
        </row>
        <row r="189">
          <cell r="C189" t="str">
            <v>febrero</v>
          </cell>
          <cell r="D189" t="str">
            <v>H26-3520</v>
          </cell>
          <cell r="G189" t="str">
            <v>TALÓN 0</v>
          </cell>
          <cell r="I189" t="str">
            <v>CABALLERO</v>
          </cell>
          <cell r="J189" t="str">
            <v/>
          </cell>
          <cell r="M189" t="str">
            <v>GRAN AKI</v>
          </cell>
          <cell r="N189" t="str">
            <v>SANTIAGO M.</v>
          </cell>
          <cell r="AW189" t="str">
            <v>SANTIAGO M.</v>
          </cell>
          <cell r="BA189" t="str">
            <v>GRAN AKI</v>
          </cell>
        </row>
        <row r="190">
          <cell r="C190" t="str">
            <v>febrero</v>
          </cell>
          <cell r="D190" t="str">
            <v>H26-3521</v>
          </cell>
          <cell r="G190" t="str">
            <v>DESTALONADA 0</v>
          </cell>
          <cell r="I190" t="str">
            <v>CABALLERO</v>
          </cell>
          <cell r="J190" t="str">
            <v/>
          </cell>
          <cell r="M190" t="str">
            <v>GRAN AKI</v>
          </cell>
          <cell r="N190" t="str">
            <v>SANTIAGO M.</v>
          </cell>
          <cell r="AW190" t="str">
            <v>SANTIAGO M.</v>
          </cell>
          <cell r="BA190" t="str">
            <v>GRAN AKI</v>
          </cell>
        </row>
        <row r="191">
          <cell r="C191" t="str">
            <v>febrero</v>
          </cell>
          <cell r="D191" t="str">
            <v>H26-3522</v>
          </cell>
          <cell r="G191" t="str">
            <v>SUECA 0</v>
          </cell>
          <cell r="I191" t="str">
            <v>CABALLERO</v>
          </cell>
          <cell r="J191" t="str">
            <v/>
          </cell>
          <cell r="M191" t="str">
            <v>GRAN AKI</v>
          </cell>
          <cell r="N191" t="str">
            <v>SANTIAGO M.</v>
          </cell>
          <cell r="AW191" t="str">
            <v>SANTIAGO M.</v>
          </cell>
          <cell r="BA191" t="str">
            <v>GRAN AKI</v>
          </cell>
        </row>
        <row r="192">
          <cell r="C192" t="str">
            <v>febrero</v>
          </cell>
          <cell r="D192" t="str">
            <v>N26-4018</v>
          </cell>
          <cell r="G192" t="str">
            <v>SUECA 0</v>
          </cell>
          <cell r="I192" t="str">
            <v>ESCOLAR NIÑO</v>
          </cell>
          <cell r="J192" t="str">
            <v/>
          </cell>
          <cell r="M192" t="str">
            <v>GRAN AKI</v>
          </cell>
          <cell r="N192" t="str">
            <v>SANTIAGO M.</v>
          </cell>
          <cell r="AW192" t="str">
            <v>SANTIAGO M.</v>
          </cell>
          <cell r="BA192" t="str">
            <v>GRAN AKI</v>
          </cell>
        </row>
        <row r="193">
          <cell r="C193" t="str">
            <v>febrero</v>
          </cell>
          <cell r="D193" t="str">
            <v>N26-4019</v>
          </cell>
          <cell r="G193" t="str">
            <v>SUECA 0</v>
          </cell>
          <cell r="I193" t="str">
            <v>ESCOLAR NIÑO</v>
          </cell>
          <cell r="J193" t="str">
            <v/>
          </cell>
          <cell r="M193" t="str">
            <v>GRAN AKI</v>
          </cell>
          <cell r="N193" t="str">
            <v>SANTIAGO M.</v>
          </cell>
          <cell r="AW193" t="str">
            <v>SANTIAGO M.</v>
          </cell>
          <cell r="BA193" t="str">
            <v>GRAN AKI</v>
          </cell>
        </row>
        <row r="194">
          <cell r="C194" t="str">
            <v>febrero</v>
          </cell>
          <cell r="D194" t="str">
            <v>N26-4020</v>
          </cell>
          <cell r="G194" t="str">
            <v>SUECA 0</v>
          </cell>
          <cell r="I194" t="str">
            <v>ESCOLAR NIÑO</v>
          </cell>
          <cell r="J194" t="str">
            <v/>
          </cell>
          <cell r="M194" t="str">
            <v>GRAN AKI</v>
          </cell>
          <cell r="N194" t="str">
            <v>SANTIAGO M.</v>
          </cell>
          <cell r="AW194" t="str">
            <v>SANTIAGO M.</v>
          </cell>
          <cell r="BA194" t="str">
            <v>GRAN AKI</v>
          </cell>
        </row>
        <row r="195">
          <cell r="C195" t="str">
            <v>febrero</v>
          </cell>
          <cell r="D195" t="str">
            <v>N26-4021</v>
          </cell>
          <cell r="G195" t="str">
            <v>DESTALONADA 0</v>
          </cell>
          <cell r="I195" t="str">
            <v>ESCOLAR NIÑO</v>
          </cell>
          <cell r="J195" t="str">
            <v/>
          </cell>
          <cell r="M195" t="str">
            <v>GRAN AKI</v>
          </cell>
          <cell r="N195" t="str">
            <v>SANTIAGO M.</v>
          </cell>
          <cell r="AW195" t="str">
            <v>SANTIAGO M.</v>
          </cell>
          <cell r="BA195" t="str">
            <v>GRAN AKI</v>
          </cell>
        </row>
        <row r="196">
          <cell r="C196" t="str">
            <v>febrero</v>
          </cell>
          <cell r="D196" t="str">
            <v>N26-4022</v>
          </cell>
          <cell r="G196" t="str">
            <v>DESTALONADA 0</v>
          </cell>
          <cell r="I196" t="str">
            <v>ESCOLAR NIÑO</v>
          </cell>
          <cell r="J196" t="str">
            <v/>
          </cell>
          <cell r="M196" t="str">
            <v>GRAN AKI</v>
          </cell>
          <cell r="N196" t="str">
            <v>SANTIAGO M.</v>
          </cell>
          <cell r="AW196" t="str">
            <v>SANTIAGO M.</v>
          </cell>
          <cell r="BA196" t="str">
            <v>GRAN AKI</v>
          </cell>
        </row>
        <row r="197">
          <cell r="C197" t="str">
            <v>febrero</v>
          </cell>
          <cell r="D197" t="str">
            <v>D26-4108</v>
          </cell>
          <cell r="G197" t="str">
            <v>SUECA 0</v>
          </cell>
          <cell r="I197" t="str">
            <v>DAMA</v>
          </cell>
          <cell r="J197" t="str">
            <v/>
          </cell>
          <cell r="M197" t="str">
            <v>GRAN AKI</v>
          </cell>
          <cell r="N197" t="str">
            <v>GABRIELA D.</v>
          </cell>
          <cell r="AW197" t="str">
            <v>GABRIELA D.</v>
          </cell>
          <cell r="BA197" t="str">
            <v>GRAN AKI</v>
          </cell>
        </row>
        <row r="198">
          <cell r="C198" t="str">
            <v>febrero</v>
          </cell>
          <cell r="D198" t="str">
            <v>D26-4109</v>
          </cell>
          <cell r="G198" t="str">
            <v>SUECA 0</v>
          </cell>
          <cell r="I198" t="str">
            <v>DAMA</v>
          </cell>
          <cell r="J198" t="str">
            <v/>
          </cell>
          <cell r="M198" t="str">
            <v>GRAN AKI</v>
          </cell>
          <cell r="N198" t="str">
            <v>GABRIELA D.</v>
          </cell>
          <cell r="AW198" t="str">
            <v>GABRIELA D.</v>
          </cell>
          <cell r="BA198" t="str">
            <v>GRAN AKI</v>
          </cell>
        </row>
        <row r="199">
          <cell r="C199" t="str">
            <v>febrero</v>
          </cell>
          <cell r="D199" t="str">
            <v>D26-4110</v>
          </cell>
          <cell r="G199" t="str">
            <v>SUECA 0</v>
          </cell>
          <cell r="I199" t="str">
            <v>DAMA</v>
          </cell>
          <cell r="J199" t="str">
            <v/>
          </cell>
          <cell r="M199" t="str">
            <v>GRAN AKI</v>
          </cell>
          <cell r="N199" t="str">
            <v>GABRIELA D.</v>
          </cell>
          <cell r="AW199" t="str">
            <v>GABRIELA D.</v>
          </cell>
          <cell r="BA199" t="str">
            <v>GRAN AKI</v>
          </cell>
        </row>
        <row r="200">
          <cell r="C200" t="str">
            <v>febrero</v>
          </cell>
          <cell r="D200" t="str">
            <v>D26-4111</v>
          </cell>
          <cell r="G200" t="str">
            <v>DESTALONADA CON FILO</v>
          </cell>
          <cell r="I200" t="str">
            <v>DAMA</v>
          </cell>
          <cell r="J200" t="str">
            <v/>
          </cell>
          <cell r="M200" t="str">
            <v>GRAN AKI</v>
          </cell>
          <cell r="N200" t="str">
            <v>GABRIELA D.</v>
          </cell>
          <cell r="AW200" t="str">
            <v>GABRIELA D.</v>
          </cell>
          <cell r="BA200" t="str">
            <v>GRAN AKI</v>
          </cell>
        </row>
        <row r="201">
          <cell r="C201" t="str">
            <v>febrero</v>
          </cell>
          <cell r="D201" t="str">
            <v>D26-4112</v>
          </cell>
          <cell r="G201" t="str">
            <v>TALÓN 0</v>
          </cell>
          <cell r="I201" t="str">
            <v>DAMA</v>
          </cell>
          <cell r="J201" t="str">
            <v/>
          </cell>
          <cell r="M201" t="str">
            <v>GRAN AKI</v>
          </cell>
          <cell r="N201" t="str">
            <v>GABRIELA D.</v>
          </cell>
          <cell r="AW201" t="str">
            <v/>
          </cell>
          <cell r="BA201" t="str">
            <v>GRAN AKI</v>
          </cell>
        </row>
        <row r="202">
          <cell r="C202" t="str">
            <v>febrero</v>
          </cell>
          <cell r="D202" t="str">
            <v>D26-4113</v>
          </cell>
          <cell r="G202" t="str">
            <v>SANDALIA 0</v>
          </cell>
          <cell r="I202" t="str">
            <v>DAMA</v>
          </cell>
          <cell r="J202" t="str">
            <v/>
          </cell>
          <cell r="M202" t="str">
            <v>GRAN AKI</v>
          </cell>
          <cell r="N202" t="str">
            <v>GABRIELA D.</v>
          </cell>
          <cell r="AW202" t="str">
            <v>GABRIELA D.</v>
          </cell>
          <cell r="BA202" t="str">
            <v>GRAN AKI</v>
          </cell>
        </row>
        <row r="203">
          <cell r="C203" t="str">
            <v>febrero</v>
          </cell>
          <cell r="D203" t="str">
            <v>D26-4114</v>
          </cell>
          <cell r="G203" t="str">
            <v>SUECA 0</v>
          </cell>
          <cell r="I203" t="str">
            <v>DAMA</v>
          </cell>
          <cell r="J203" t="str">
            <v/>
          </cell>
          <cell r="M203" t="str">
            <v>GRAN AKI</v>
          </cell>
          <cell r="N203" t="str">
            <v>GABRIELA D.</v>
          </cell>
          <cell r="AW203" t="str">
            <v>GABRIELA D.</v>
          </cell>
          <cell r="BA203" t="str">
            <v>GRAN AKI</v>
          </cell>
        </row>
        <row r="204">
          <cell r="C204" t="str">
            <v>febrero</v>
          </cell>
          <cell r="D204" t="str">
            <v>D26-4115</v>
          </cell>
          <cell r="G204" t="str">
            <v>SUECA 0</v>
          </cell>
          <cell r="I204" t="str">
            <v>DAMA</v>
          </cell>
          <cell r="J204" t="str">
            <v/>
          </cell>
          <cell r="M204" t="str">
            <v>GRAN AKI</v>
          </cell>
          <cell r="N204" t="str">
            <v>GABRIELA D.</v>
          </cell>
          <cell r="AW204" t="str">
            <v>GABRIELA D.</v>
          </cell>
          <cell r="BA204" t="str">
            <v>GRAN AKI</v>
          </cell>
        </row>
        <row r="205">
          <cell r="C205" t="str">
            <v>febrero</v>
          </cell>
          <cell r="D205" t="str">
            <v>D26-4116</v>
          </cell>
          <cell r="G205" t="str">
            <v>SUECA 0</v>
          </cell>
          <cell r="I205" t="str">
            <v>DAMA</v>
          </cell>
          <cell r="J205" t="str">
            <v/>
          </cell>
          <cell r="M205" t="str">
            <v>GRAN AKI</v>
          </cell>
          <cell r="N205" t="str">
            <v>GABRIELA D.</v>
          </cell>
          <cell r="AW205" t="str">
            <v>GABRIELA D.</v>
          </cell>
          <cell r="BA205" t="str">
            <v>GRAN AKI</v>
          </cell>
        </row>
        <row r="206">
          <cell r="C206" t="str">
            <v>febrero</v>
          </cell>
          <cell r="D206" t="str">
            <v>D26-4117</v>
          </cell>
          <cell r="G206" t="str">
            <v>DESTALONADA 0</v>
          </cell>
          <cell r="I206" t="str">
            <v>DAMA</v>
          </cell>
          <cell r="J206" t="str">
            <v/>
          </cell>
          <cell r="M206" t="str">
            <v>GRAN AKI</v>
          </cell>
          <cell r="N206" t="str">
            <v>GABRIELA D.</v>
          </cell>
          <cell r="AW206" t="str">
            <v>GABRIELA D.</v>
          </cell>
          <cell r="BA206" t="str">
            <v>GRAN AKI</v>
          </cell>
        </row>
        <row r="207">
          <cell r="C207" t="str">
            <v>febrero</v>
          </cell>
          <cell r="D207" t="str">
            <v>D26-4118</v>
          </cell>
          <cell r="G207" t="str">
            <v>TALÓN 0</v>
          </cell>
          <cell r="I207" t="str">
            <v>DAMA</v>
          </cell>
          <cell r="J207" t="str">
            <v/>
          </cell>
          <cell r="M207" t="str">
            <v>GRAN AKI</v>
          </cell>
          <cell r="N207" t="str">
            <v>GABRIELA D.</v>
          </cell>
          <cell r="AW207" t="str">
            <v>GABRIELA D.</v>
          </cell>
          <cell r="BA207" t="str">
            <v>GRAN AKI</v>
          </cell>
        </row>
        <row r="208">
          <cell r="C208" t="str">
            <v>febrero</v>
          </cell>
          <cell r="D208" t="str">
            <v>D26-4119</v>
          </cell>
          <cell r="G208" t="str">
            <v>SANDALIA 0</v>
          </cell>
          <cell r="I208" t="str">
            <v>DAMA</v>
          </cell>
          <cell r="J208" t="str">
            <v/>
          </cell>
          <cell r="M208" t="str">
            <v>GRAN AKI</v>
          </cell>
          <cell r="N208" t="str">
            <v>GABRIELA D.</v>
          </cell>
          <cell r="AW208" t="str">
            <v>GABRIELA D.</v>
          </cell>
          <cell r="BA208" t="str">
            <v>GRAN AKI</v>
          </cell>
        </row>
        <row r="209">
          <cell r="C209" t="str">
            <v>febrero</v>
          </cell>
          <cell r="D209" t="str">
            <v>N26-4023</v>
          </cell>
          <cell r="G209" t="str">
            <v>TALÓN 0</v>
          </cell>
          <cell r="I209" t="str">
            <v>PREESCOLAR NIÑO</v>
          </cell>
          <cell r="J209" t="str">
            <v/>
          </cell>
          <cell r="M209" t="str">
            <v>GRAN AKI</v>
          </cell>
          <cell r="N209" t="str">
            <v>SANTIAGO M.</v>
          </cell>
          <cell r="AW209" t="str">
            <v>SANTIAGO M.</v>
          </cell>
          <cell r="BA209" t="str">
            <v>GRAN AKI</v>
          </cell>
        </row>
        <row r="210">
          <cell r="C210" t="str">
            <v>febrero</v>
          </cell>
          <cell r="D210" t="str">
            <v>N26-4024</v>
          </cell>
          <cell r="G210" t="str">
            <v>TALÓN 0</v>
          </cell>
          <cell r="I210" t="str">
            <v>PREESCOLAR NIÑO</v>
          </cell>
          <cell r="J210" t="str">
            <v/>
          </cell>
          <cell r="M210" t="str">
            <v>GRAN AKI</v>
          </cell>
          <cell r="N210" t="str">
            <v>SANTIAGO M.</v>
          </cell>
          <cell r="AW210" t="str">
            <v>SANTIAGO M.</v>
          </cell>
          <cell r="BA210" t="str">
            <v>GRAN AKI</v>
          </cell>
        </row>
        <row r="211">
          <cell r="C211" t="str">
            <v>febrero</v>
          </cell>
          <cell r="D211" t="str">
            <v>N26-4025</v>
          </cell>
          <cell r="G211" t="str">
            <v>TALÓN 0</v>
          </cell>
          <cell r="I211" t="str">
            <v>PREESCOLAR NIÑO</v>
          </cell>
          <cell r="J211" t="str">
            <v/>
          </cell>
          <cell r="M211" t="str">
            <v>GRAN AKI</v>
          </cell>
          <cell r="N211" t="str">
            <v>SANTIAGO M.</v>
          </cell>
          <cell r="AW211" t="str">
            <v>SANTIAGO M.</v>
          </cell>
          <cell r="BA211" t="str">
            <v>GRAN AKI</v>
          </cell>
        </row>
        <row r="212">
          <cell r="C212" t="str">
            <v>febrero</v>
          </cell>
          <cell r="D212" t="str">
            <v>N26-4026</v>
          </cell>
          <cell r="G212" t="str">
            <v>TALÓN 0</v>
          </cell>
          <cell r="I212" t="str">
            <v>PREESCOLAR NIÑO</v>
          </cell>
          <cell r="J212" t="str">
            <v/>
          </cell>
          <cell r="M212" t="str">
            <v>GRAN AKI</v>
          </cell>
          <cell r="N212" t="str">
            <v>SANTIAGO M.</v>
          </cell>
          <cell r="AW212" t="str">
            <v>SANTIAGO M.</v>
          </cell>
          <cell r="BA212" t="str">
            <v>GRAN AKI</v>
          </cell>
        </row>
        <row r="213">
          <cell r="C213" t="str">
            <v>febrero</v>
          </cell>
          <cell r="D213" t="str">
            <v>N26-4027</v>
          </cell>
          <cell r="G213" t="str">
            <v>TALÓN CON FILO</v>
          </cell>
          <cell r="I213" t="str">
            <v>PREESCOLAR NIÑO</v>
          </cell>
          <cell r="J213" t="str">
            <v/>
          </cell>
          <cell r="M213" t="str">
            <v>GRAN AKI</v>
          </cell>
          <cell r="N213" t="str">
            <v>SANTIAGO M.</v>
          </cell>
          <cell r="AW213" t="str">
            <v>SANTIAGO M.</v>
          </cell>
          <cell r="BA213" t="str">
            <v>GRAN AKI</v>
          </cell>
        </row>
        <row r="214">
          <cell r="C214" t="str">
            <v>febrero</v>
          </cell>
          <cell r="D214" t="str">
            <v>D26-4120</v>
          </cell>
          <cell r="G214" t="str">
            <v>SUECA 0</v>
          </cell>
          <cell r="I214" t="str">
            <v>DAMA</v>
          </cell>
          <cell r="J214" t="str">
            <v/>
          </cell>
          <cell r="M214" t="str">
            <v>GRAN AKI</v>
          </cell>
          <cell r="N214" t="str">
            <v>SANTIAGO M.</v>
          </cell>
          <cell r="AW214" t="str">
            <v>SANTIAGO M.</v>
          </cell>
          <cell r="BA214" t="str">
            <v>GRAN AKI</v>
          </cell>
        </row>
        <row r="215">
          <cell r="C215" t="str">
            <v>febrero</v>
          </cell>
          <cell r="D215" t="str">
            <v>D26-4121</v>
          </cell>
          <cell r="G215" t="str">
            <v>SUECA 0</v>
          </cell>
          <cell r="I215" t="str">
            <v>DAMA</v>
          </cell>
          <cell r="J215" t="str">
            <v/>
          </cell>
          <cell r="M215" t="str">
            <v>GRAN AKI</v>
          </cell>
          <cell r="N215" t="str">
            <v>SANTIAGO M.</v>
          </cell>
          <cell r="AW215" t="str">
            <v>SANTIAGO M.</v>
          </cell>
          <cell r="BA215" t="str">
            <v>GRAN AKI</v>
          </cell>
        </row>
        <row r="216">
          <cell r="C216" t="str">
            <v>febrero</v>
          </cell>
          <cell r="D216" t="str">
            <v>D26-4122</v>
          </cell>
          <cell r="G216" t="str">
            <v>SUECA 0</v>
          </cell>
          <cell r="I216" t="str">
            <v>DAMA</v>
          </cell>
          <cell r="J216" t="str">
            <v/>
          </cell>
          <cell r="M216" t="str">
            <v>GRAN AKI</v>
          </cell>
          <cell r="N216" t="str">
            <v>SANTIAGO M.</v>
          </cell>
          <cell r="AW216" t="str">
            <v>SANTIAGO M.</v>
          </cell>
          <cell r="BA216" t="str">
            <v>GRAN AKI</v>
          </cell>
        </row>
        <row r="217">
          <cell r="C217" t="str">
            <v>febrero</v>
          </cell>
          <cell r="D217" t="str">
            <v>D26-4123</v>
          </cell>
          <cell r="G217" t="str">
            <v>DESTALONADA 0</v>
          </cell>
          <cell r="I217" t="str">
            <v>DAMA</v>
          </cell>
          <cell r="J217" t="str">
            <v/>
          </cell>
          <cell r="M217" t="str">
            <v>GRAN AKI</v>
          </cell>
          <cell r="N217" t="str">
            <v>SANTIAGO M.</v>
          </cell>
          <cell r="AW217" t="str">
            <v>SANTIAGO M.</v>
          </cell>
          <cell r="BA217" t="str">
            <v>GRAN AKI</v>
          </cell>
        </row>
        <row r="218">
          <cell r="C218" t="str">
            <v>febrero</v>
          </cell>
          <cell r="D218" t="str">
            <v>D26-4124</v>
          </cell>
          <cell r="G218" t="str">
            <v>TALÓN 0</v>
          </cell>
          <cell r="I218" t="str">
            <v>DAMA</v>
          </cell>
          <cell r="J218" t="str">
            <v/>
          </cell>
          <cell r="M218" t="str">
            <v>GRAN AKI</v>
          </cell>
          <cell r="N218" t="str">
            <v>SANTIAGO M.</v>
          </cell>
          <cell r="AW218" t="str">
            <v>SANTIAGO M.</v>
          </cell>
          <cell r="BA218" t="str">
            <v>GRAN AKI</v>
          </cell>
        </row>
        <row r="219">
          <cell r="C219" t="str">
            <v>febrero</v>
          </cell>
          <cell r="D219" t="str">
            <v>D26-4125</v>
          </cell>
          <cell r="G219" t="str">
            <v>SANDALIA 0</v>
          </cell>
          <cell r="I219" t="str">
            <v>DAMA</v>
          </cell>
          <cell r="J219" t="str">
            <v/>
          </cell>
          <cell r="M219" t="str">
            <v>GRAN AKI</v>
          </cell>
          <cell r="N219" t="str">
            <v>SANTIAGO M.</v>
          </cell>
          <cell r="AW219" t="str">
            <v>SANTIAGO M.</v>
          </cell>
          <cell r="BA219" t="str">
            <v>GRAN AKI</v>
          </cell>
        </row>
        <row r="220">
          <cell r="C220" t="str">
            <v>febrero</v>
          </cell>
          <cell r="D220" t="str">
            <v>SIMP-061</v>
          </cell>
          <cell r="G220" t="str">
            <v>SUECA 0</v>
          </cell>
          <cell r="I220" t="str">
            <v>CABALLERO</v>
          </cell>
          <cell r="J220" t="str">
            <v/>
          </cell>
          <cell r="M220" t="str">
            <v>ARVAL</v>
          </cell>
          <cell r="N220" t="str">
            <v>GABRIELA D.</v>
          </cell>
          <cell r="AW220" t="str">
            <v>GABRIELA D.</v>
          </cell>
          <cell r="BA220" t="str">
            <v>ARVAL</v>
          </cell>
        </row>
        <row r="221">
          <cell r="C221" t="str">
            <v>febrero</v>
          </cell>
          <cell r="D221" t="str">
            <v>SIMP-062</v>
          </cell>
          <cell r="G221" t="str">
            <v>SUECA 0</v>
          </cell>
          <cell r="I221" t="str">
            <v>CABALLERO</v>
          </cell>
          <cell r="J221" t="str">
            <v/>
          </cell>
          <cell r="M221" t="str">
            <v>ARVAL</v>
          </cell>
          <cell r="N221" t="str">
            <v>SANTIAGO M.</v>
          </cell>
          <cell r="AW221" t="str">
            <v>SANTIAGO M.</v>
          </cell>
          <cell r="BA221" t="str">
            <v>ARVAL</v>
          </cell>
        </row>
        <row r="222">
          <cell r="C222" t="str">
            <v>febrero</v>
          </cell>
          <cell r="D222" t="str">
            <v>SIMP-063</v>
          </cell>
          <cell r="G222" t="str">
            <v>SUECA 0</v>
          </cell>
          <cell r="I222" t="str">
            <v>DAMA</v>
          </cell>
          <cell r="J222" t="str">
            <v/>
          </cell>
          <cell r="M222" t="str">
            <v>ARVAL</v>
          </cell>
          <cell r="N222" t="str">
            <v>JOSÉ LUIS T.</v>
          </cell>
          <cell r="AW222" t="str">
            <v>JOSÉ LUIS T.</v>
          </cell>
          <cell r="BA222" t="str">
            <v>ARVAL</v>
          </cell>
        </row>
        <row r="223">
          <cell r="C223" t="str">
            <v>febrero</v>
          </cell>
          <cell r="D223" t="str">
            <v>G26-5078</v>
          </cell>
          <cell r="G223" t="str">
            <v>TALÓN 0</v>
          </cell>
          <cell r="I223" t="str">
            <v>PREESCOLAR NIÑA</v>
          </cell>
          <cell r="J223" t="str">
            <v/>
          </cell>
          <cell r="M223" t="str">
            <v>GRAN AKI</v>
          </cell>
          <cell r="N223" t="str">
            <v>GABRIELA D.</v>
          </cell>
          <cell r="AW223" t="str">
            <v>GABRIELA D.</v>
          </cell>
          <cell r="BA223" t="str">
            <v>GRAN AKI</v>
          </cell>
        </row>
        <row r="224">
          <cell r="C224" t="str">
            <v>febrero</v>
          </cell>
          <cell r="D224" t="str">
            <v>G26-5079</v>
          </cell>
          <cell r="G224" t="str">
            <v>TALÓN 0</v>
          </cell>
          <cell r="I224" t="str">
            <v>PREESCOLAR NIÑA</v>
          </cell>
          <cell r="J224" t="str">
            <v/>
          </cell>
          <cell r="M224" t="str">
            <v>GRAN AKI</v>
          </cell>
          <cell r="N224" t="str">
            <v>GABRIELA D.</v>
          </cell>
          <cell r="AW224" t="str">
            <v>GABRIELA D.</v>
          </cell>
          <cell r="BA224" t="str">
            <v>GRAN AKI</v>
          </cell>
        </row>
        <row r="225">
          <cell r="C225" t="str">
            <v>febrero</v>
          </cell>
          <cell r="D225" t="str">
            <v>G26-5080</v>
          </cell>
          <cell r="G225" t="str">
            <v>TALÓN 0</v>
          </cell>
          <cell r="I225" t="str">
            <v>PREESCOLAR NIÑA</v>
          </cell>
          <cell r="J225" t="str">
            <v/>
          </cell>
          <cell r="M225" t="str">
            <v>GRAN AKI</v>
          </cell>
          <cell r="N225" t="str">
            <v>GABRIELA D.</v>
          </cell>
          <cell r="AW225" t="str">
            <v>GABRIELA D.</v>
          </cell>
          <cell r="BA225" t="str">
            <v>GRAN AKI</v>
          </cell>
        </row>
        <row r="226">
          <cell r="C226" t="str">
            <v>febrero</v>
          </cell>
          <cell r="D226" t="str">
            <v>G26-5081</v>
          </cell>
          <cell r="G226" t="str">
            <v>TALÓN 0</v>
          </cell>
          <cell r="I226" t="str">
            <v>PREESCOLAR NIÑA</v>
          </cell>
          <cell r="J226" t="str">
            <v/>
          </cell>
          <cell r="M226" t="str">
            <v>GRAN AKI</v>
          </cell>
          <cell r="N226" t="str">
            <v>GABRIELA D.</v>
          </cell>
          <cell r="AW226" t="str">
            <v>GABRIELA D.</v>
          </cell>
          <cell r="BA226" t="str">
            <v>GRAN AKI</v>
          </cell>
        </row>
        <row r="227">
          <cell r="C227" t="str">
            <v>febrero</v>
          </cell>
          <cell r="D227" t="str">
            <v>G26-5082</v>
          </cell>
          <cell r="G227" t="str">
            <v>TALÓN 0</v>
          </cell>
          <cell r="I227" t="str">
            <v>PREESCOLAR NIÑA</v>
          </cell>
          <cell r="J227" t="str">
            <v/>
          </cell>
          <cell r="M227" t="str">
            <v>GRAN AKI</v>
          </cell>
          <cell r="N227" t="str">
            <v>GABRIELA D.</v>
          </cell>
          <cell r="AW227" t="str">
            <v>GABRIELA D.</v>
          </cell>
          <cell r="BA227" t="str">
            <v>GRAN AKI</v>
          </cell>
        </row>
        <row r="228">
          <cell r="C228" t="str">
            <v>febrero</v>
          </cell>
          <cell r="D228" t="str">
            <v>G26-5083</v>
          </cell>
          <cell r="G228" t="str">
            <v>SUECA 0</v>
          </cell>
          <cell r="I228" t="str">
            <v>ESCOLAR NIÑA</v>
          </cell>
          <cell r="J228" t="str">
            <v/>
          </cell>
          <cell r="M228" t="str">
            <v>GRAN AKI</v>
          </cell>
          <cell r="N228" t="str">
            <v>GABRIELA D.</v>
          </cell>
          <cell r="AW228" t="str">
            <v>GABRIELA D.</v>
          </cell>
          <cell r="BA228" t="str">
            <v>GRAN AKI</v>
          </cell>
        </row>
        <row r="229">
          <cell r="C229" t="str">
            <v>febrero</v>
          </cell>
          <cell r="D229" t="str">
            <v>G26-5084</v>
          </cell>
          <cell r="G229" t="str">
            <v>SUECA 0</v>
          </cell>
          <cell r="I229" t="str">
            <v>ESCOLAR NIÑA</v>
          </cell>
          <cell r="J229" t="str">
            <v/>
          </cell>
          <cell r="M229" t="str">
            <v>GRAN AKI</v>
          </cell>
          <cell r="N229" t="str">
            <v>GABRIELA D.</v>
          </cell>
          <cell r="AW229" t="str">
            <v>GABRIELA D.</v>
          </cell>
          <cell r="BA229" t="str">
            <v>GRAN AKI</v>
          </cell>
        </row>
        <row r="230">
          <cell r="C230" t="str">
            <v>febrero</v>
          </cell>
          <cell r="D230" t="str">
            <v>G26-5085</v>
          </cell>
          <cell r="G230" t="str">
            <v>SUECA 0</v>
          </cell>
          <cell r="I230" t="str">
            <v>ESCOLAR NIÑA</v>
          </cell>
          <cell r="J230" t="str">
            <v/>
          </cell>
          <cell r="M230" t="str">
            <v>GRAN AKI</v>
          </cell>
          <cell r="N230" t="str">
            <v>GABRIELA D.</v>
          </cell>
          <cell r="AW230" t="str">
            <v>GABRIELA D.</v>
          </cell>
          <cell r="BA230" t="str">
            <v>GRAN AKI</v>
          </cell>
        </row>
        <row r="231">
          <cell r="C231" t="str">
            <v>febrero</v>
          </cell>
          <cell r="D231" t="str">
            <v>G26-5086</v>
          </cell>
          <cell r="G231" t="str">
            <v>DESTALONADA 0</v>
          </cell>
          <cell r="I231" t="str">
            <v>ESCOLAR NIÑA</v>
          </cell>
          <cell r="J231" t="str">
            <v/>
          </cell>
          <cell r="M231" t="str">
            <v>GRAN AKI</v>
          </cell>
          <cell r="N231" t="str">
            <v>GABRIELA D.</v>
          </cell>
          <cell r="AW231" t="str">
            <v>GABRIELA D.</v>
          </cell>
          <cell r="BA231" t="str">
            <v>GRAN AKI</v>
          </cell>
        </row>
        <row r="232">
          <cell r="C232" t="str">
            <v>febrero</v>
          </cell>
          <cell r="D232" t="str">
            <v>D26-4126</v>
          </cell>
          <cell r="G232" t="str">
            <v>SUECA 0</v>
          </cell>
          <cell r="I232" t="str">
            <v>DAMA</v>
          </cell>
          <cell r="J232" t="str">
            <v/>
          </cell>
          <cell r="M232" t="str">
            <v>MEGAMAXI</v>
          </cell>
          <cell r="N232" t="str">
            <v>GABRIELA D.</v>
          </cell>
          <cell r="AW232" t="str">
            <v>GABRIELA D.</v>
          </cell>
          <cell r="BA232" t="str">
            <v>MEGAMAXI</v>
          </cell>
        </row>
        <row r="233">
          <cell r="C233" t="str">
            <v>febrero</v>
          </cell>
          <cell r="D233" t="str">
            <v>MICYA-109</v>
          </cell>
          <cell r="G233" t="str">
            <v>SUECA 0</v>
          </cell>
          <cell r="I233" t="str">
            <v>CABALLERO</v>
          </cell>
          <cell r="J233" t="str">
            <v>DISNEY</v>
          </cell>
          <cell r="M233" t="str">
            <v>MEGAMAXI</v>
          </cell>
          <cell r="N233" t="str">
            <v>SANTIAGO M.</v>
          </cell>
          <cell r="AW233" t="str">
            <v/>
          </cell>
          <cell r="BA233" t="str">
            <v>MEGAMAXI</v>
          </cell>
        </row>
        <row r="234">
          <cell r="C234" t="str">
            <v>febrero</v>
          </cell>
          <cell r="D234" t="str">
            <v>MICYA-110</v>
          </cell>
          <cell r="G234" t="str">
            <v>SUECA 0</v>
          </cell>
          <cell r="I234" t="str">
            <v>CABALLERO</v>
          </cell>
          <cell r="J234" t="str">
            <v>DISNEY</v>
          </cell>
          <cell r="M234" t="str">
            <v>MEGAMAXI</v>
          </cell>
          <cell r="N234" t="str">
            <v>SANTIAGO M.</v>
          </cell>
          <cell r="AW234" t="str">
            <v>SANTIAGO M.</v>
          </cell>
          <cell r="BA234" t="str">
            <v>MEGAMAXI</v>
          </cell>
        </row>
        <row r="235">
          <cell r="C235" t="str">
            <v>febrero</v>
          </cell>
          <cell r="D235" t="str">
            <v>MCOYA-062</v>
          </cell>
          <cell r="G235" t="str">
            <v>DESTALONADA 0</v>
          </cell>
          <cell r="I235" t="str">
            <v>CABALLERO</v>
          </cell>
          <cell r="J235" t="str">
            <v>MARVEL</v>
          </cell>
          <cell r="M235" t="str">
            <v>MEGAMAXI</v>
          </cell>
          <cell r="N235" t="str">
            <v>SANTIAGO M.</v>
          </cell>
          <cell r="AW235" t="str">
            <v/>
          </cell>
          <cell r="BA235" t="str">
            <v>MEGAMAXI</v>
          </cell>
        </row>
        <row r="236">
          <cell r="C236" t="str">
            <v>febrero</v>
          </cell>
          <cell r="D236" t="str">
            <v>SPIYA-056</v>
          </cell>
          <cell r="G236" t="str">
            <v>SUECA CON RIBETE</v>
          </cell>
          <cell r="I236" t="str">
            <v>CABALLERO</v>
          </cell>
          <cell r="J236" t="str">
            <v>MARVEL</v>
          </cell>
          <cell r="M236" t="str">
            <v>MEGAMAXI</v>
          </cell>
          <cell r="N236" t="str">
            <v>SANTIAGO M.</v>
          </cell>
          <cell r="AW236" t="str">
            <v/>
          </cell>
          <cell r="BA236" t="str">
            <v>MEGAMAXI</v>
          </cell>
        </row>
        <row r="237">
          <cell r="C237" t="str">
            <v>febrero</v>
          </cell>
          <cell r="D237" t="str">
            <v>SPIYA-057</v>
          </cell>
          <cell r="G237" t="str">
            <v>DESTALONADA 0</v>
          </cell>
          <cell r="I237" t="str">
            <v>CABALLERO</v>
          </cell>
          <cell r="J237" t="str">
            <v>MARVEL</v>
          </cell>
          <cell r="M237" t="str">
            <v>MEGAMAXI</v>
          </cell>
          <cell r="N237" t="str">
            <v>SANTIAGO M.</v>
          </cell>
          <cell r="AW237" t="str">
            <v>SANTIAGO M.</v>
          </cell>
          <cell r="BA237" t="str">
            <v>MEGAMAXI</v>
          </cell>
        </row>
        <row r="238">
          <cell r="C238" t="str">
            <v>febrero</v>
          </cell>
          <cell r="D238" t="str">
            <v>DEAYA-029</v>
          </cell>
          <cell r="G238" t="str">
            <v>SUECA 0</v>
          </cell>
          <cell r="I238" t="str">
            <v>CABALLERO</v>
          </cell>
          <cell r="J238" t="str">
            <v>MARVEL</v>
          </cell>
          <cell r="M238" t="str">
            <v>MEGAMAXI</v>
          </cell>
          <cell r="N238" t="str">
            <v>SANTIAGO M.</v>
          </cell>
          <cell r="AW238" t="str">
            <v>SANTIAGO M.</v>
          </cell>
          <cell r="BA238" t="str">
            <v>MEGAMAXI</v>
          </cell>
        </row>
        <row r="239">
          <cell r="C239" t="str">
            <v>febrero</v>
          </cell>
          <cell r="D239" t="str">
            <v>MCOYA-063</v>
          </cell>
          <cell r="G239" t="str">
            <v>SUECA 0</v>
          </cell>
          <cell r="I239" t="str">
            <v>CABALLERO</v>
          </cell>
          <cell r="J239" t="str">
            <v>MARVEL</v>
          </cell>
          <cell r="M239" t="str">
            <v>MEGAMAXI</v>
          </cell>
          <cell r="N239" t="str">
            <v>SANTIAGO M.</v>
          </cell>
          <cell r="AW239" t="str">
            <v/>
          </cell>
          <cell r="BA239" t="str">
            <v>MEGAMAXI</v>
          </cell>
        </row>
        <row r="240">
          <cell r="C240" t="str">
            <v>febrero</v>
          </cell>
          <cell r="D240" t="str">
            <v>D26-4127</v>
          </cell>
          <cell r="G240" t="str">
            <v>SUECA 0</v>
          </cell>
          <cell r="I240" t="str">
            <v>DAMA</v>
          </cell>
          <cell r="J240" t="str">
            <v/>
          </cell>
          <cell r="M240" t="str">
            <v>ROSADO</v>
          </cell>
          <cell r="N240" t="str">
            <v>GABRIELA D.</v>
          </cell>
          <cell r="AW240" t="str">
            <v>GABRIELA D.</v>
          </cell>
          <cell r="BA240" t="str">
            <v>ROSADO</v>
          </cell>
        </row>
        <row r="241">
          <cell r="C241" t="str">
            <v>febrero</v>
          </cell>
          <cell r="D241" t="str">
            <v>D26-4128</v>
          </cell>
          <cell r="G241" t="str">
            <v>SANDALIA PUNTA ABIERTA</v>
          </cell>
          <cell r="I241" t="str">
            <v>DAMA</v>
          </cell>
          <cell r="J241" t="str">
            <v/>
          </cell>
          <cell r="M241" t="str">
            <v>ROSADO</v>
          </cell>
          <cell r="N241" t="str">
            <v>GABRIELA D.</v>
          </cell>
          <cell r="AW241" t="str">
            <v>GABRIELA D.</v>
          </cell>
          <cell r="BA241" t="str">
            <v>ROSADO</v>
          </cell>
        </row>
        <row r="242">
          <cell r="C242" t="str">
            <v>febrero</v>
          </cell>
          <cell r="D242" t="str">
            <v>D26-4129</v>
          </cell>
          <cell r="G242" t="str">
            <v>DESTALONADA 0</v>
          </cell>
          <cell r="I242" t="str">
            <v>DAMA</v>
          </cell>
          <cell r="J242" t="str">
            <v/>
          </cell>
          <cell r="M242" t="str">
            <v>ROSADO</v>
          </cell>
          <cell r="N242" t="str">
            <v>GABRIELA D.</v>
          </cell>
          <cell r="AW242" t="str">
            <v>GABRIELA D.</v>
          </cell>
          <cell r="BA242" t="str">
            <v>ROSADO</v>
          </cell>
        </row>
        <row r="243">
          <cell r="C243" t="str">
            <v>febrero</v>
          </cell>
          <cell r="D243" t="str">
            <v>D26-4130</v>
          </cell>
          <cell r="G243" t="str">
            <v>DESTALONADA DESPIECE PUNTA CON VOLUMEN</v>
          </cell>
          <cell r="I243" t="str">
            <v>DAMA</v>
          </cell>
          <cell r="J243" t="str">
            <v/>
          </cell>
          <cell r="M243" t="str">
            <v>ROSADO</v>
          </cell>
          <cell r="N243" t="str">
            <v>GABRIELA D.</v>
          </cell>
          <cell r="AW243" t="str">
            <v/>
          </cell>
          <cell r="BA243" t="str">
            <v>ROSADO</v>
          </cell>
        </row>
        <row r="244">
          <cell r="C244" t="str">
            <v>febrero</v>
          </cell>
          <cell r="D244" t="str">
            <v>G26-5087</v>
          </cell>
          <cell r="G244" t="str">
            <v>DESTALONADA 0</v>
          </cell>
          <cell r="I244" t="str">
            <v>ESCOLAR NIÑA</v>
          </cell>
          <cell r="J244" t="str">
            <v/>
          </cell>
          <cell r="M244" t="str">
            <v>GRAN AKI</v>
          </cell>
          <cell r="N244" t="str">
            <v>GABRIELA D.</v>
          </cell>
          <cell r="AW244" t="str">
            <v>GABRIELA D.</v>
          </cell>
          <cell r="BA244" t="str">
            <v>GRAN AKI</v>
          </cell>
        </row>
        <row r="245">
          <cell r="C245" t="str">
            <v>febrero</v>
          </cell>
          <cell r="D245" t="str">
            <v>MARYA-013</v>
          </cell>
          <cell r="G245" t="str">
            <v>SANDALIA 0</v>
          </cell>
          <cell r="I245" t="str">
            <v>DAMA</v>
          </cell>
          <cell r="J245" t="str">
            <v>DISNEY</v>
          </cell>
          <cell r="M245" t="str">
            <v>MEGAMAXI</v>
          </cell>
          <cell r="N245" t="str">
            <v>GABRIELA D.</v>
          </cell>
          <cell r="AW245" t="str">
            <v/>
          </cell>
          <cell r="BA245" t="str">
            <v>MEGAMAXI</v>
          </cell>
        </row>
        <row r="246">
          <cell r="C246" t="str">
            <v>febrero</v>
          </cell>
          <cell r="D246" t="str">
            <v>MARYA-014</v>
          </cell>
          <cell r="G246" t="str">
            <v>SUECA 0</v>
          </cell>
          <cell r="I246" t="str">
            <v>DAMA</v>
          </cell>
          <cell r="J246" t="str">
            <v>DISNEY</v>
          </cell>
          <cell r="M246" t="str">
            <v>MEGAMAXI</v>
          </cell>
          <cell r="N246" t="str">
            <v>GABRIELA D.</v>
          </cell>
          <cell r="AW246" t="str">
            <v/>
          </cell>
          <cell r="BA246" t="str">
            <v>MEGAMAXI</v>
          </cell>
        </row>
        <row r="247">
          <cell r="C247" t="str">
            <v>febrero</v>
          </cell>
          <cell r="D247" t="str">
            <v>LILYA-053</v>
          </cell>
          <cell r="G247" t="str">
            <v>SUECA 0</v>
          </cell>
          <cell r="I247" t="str">
            <v>DAMA</v>
          </cell>
          <cell r="J247" t="str">
            <v>DISNEY</v>
          </cell>
          <cell r="M247" t="str">
            <v>MEGAMAXI</v>
          </cell>
          <cell r="N247" t="str">
            <v>GABRIELA D.</v>
          </cell>
          <cell r="AW247" t="str">
            <v/>
          </cell>
          <cell r="BA247" t="str">
            <v>MEGAMAXI</v>
          </cell>
        </row>
        <row r="248">
          <cell r="C248" t="str">
            <v>febrero</v>
          </cell>
          <cell r="D248" t="str">
            <v>LILYA-054</v>
          </cell>
          <cell r="G248" t="str">
            <v>DESTALONADA 0</v>
          </cell>
          <cell r="I248" t="str">
            <v>DAMA</v>
          </cell>
          <cell r="J248" t="str">
            <v>DISNEY</v>
          </cell>
          <cell r="M248" t="str">
            <v>MEGAMAXI</v>
          </cell>
          <cell r="N248" t="str">
            <v>GABRIELA D.</v>
          </cell>
          <cell r="AW248" t="str">
            <v/>
          </cell>
          <cell r="BA248" t="str">
            <v>MEGAMAXI</v>
          </cell>
        </row>
        <row r="249">
          <cell r="C249" t="str">
            <v>febrero</v>
          </cell>
          <cell r="D249" t="str">
            <v>WIPYA-004</v>
          </cell>
          <cell r="G249" t="str">
            <v>SUECA 0</v>
          </cell>
          <cell r="I249" t="str">
            <v>DAMA</v>
          </cell>
          <cell r="J249" t="str">
            <v>DISNEY</v>
          </cell>
          <cell r="M249" t="str">
            <v>MEGAMAXI</v>
          </cell>
          <cell r="N249" t="str">
            <v>GABRIELA D.</v>
          </cell>
          <cell r="AW249" t="str">
            <v/>
          </cell>
          <cell r="BA249" t="str">
            <v>MEGAMAXI</v>
          </cell>
        </row>
        <row r="250">
          <cell r="C250" t="str">
            <v>febrero</v>
          </cell>
          <cell r="D250" t="str">
            <v>MICYA-111</v>
          </cell>
          <cell r="G250" t="str">
            <v>SUECA 0</v>
          </cell>
          <cell r="I250" t="str">
            <v>DAMA</v>
          </cell>
          <cell r="J250" t="str">
            <v>DISNEY</v>
          </cell>
          <cell r="M250" t="str">
            <v>MEGAMAXI</v>
          </cell>
          <cell r="N250" t="str">
            <v>GABRIELA D.</v>
          </cell>
          <cell r="AW250" t="str">
            <v/>
          </cell>
          <cell r="BA250" t="str">
            <v>MEGAMAXI</v>
          </cell>
        </row>
        <row r="251">
          <cell r="C251" t="str">
            <v>febrero</v>
          </cell>
          <cell r="D251" t="str">
            <v>MINYA-103</v>
          </cell>
          <cell r="G251" t="str">
            <v>DESTALONADA 0</v>
          </cell>
          <cell r="I251" t="str">
            <v>DAMA</v>
          </cell>
          <cell r="J251" t="str">
            <v>DISNEY</v>
          </cell>
          <cell r="M251" t="str">
            <v>MEGAMAXI</v>
          </cell>
          <cell r="N251" t="str">
            <v>GABRIELA D.</v>
          </cell>
          <cell r="AW251" t="str">
            <v/>
          </cell>
          <cell r="BA251" t="str">
            <v>MEGAMAXI</v>
          </cell>
        </row>
        <row r="252">
          <cell r="C252" t="str">
            <v>febrero</v>
          </cell>
          <cell r="D252" t="str">
            <v>MIC-095</v>
          </cell>
          <cell r="G252" t="str">
            <v>TALÓN 0</v>
          </cell>
          <cell r="I252" t="str">
            <v>PREESCOLAR NIÑO</v>
          </cell>
          <cell r="J252" t="str">
            <v>DISNEY</v>
          </cell>
          <cell r="M252" t="str">
            <v>MEGAMAXI</v>
          </cell>
          <cell r="N252" t="str">
            <v>SANTIAGO M.</v>
          </cell>
          <cell r="AW252" t="str">
            <v/>
          </cell>
          <cell r="BA252" t="str">
            <v>MEGAMAXI</v>
          </cell>
        </row>
        <row r="253">
          <cell r="C253" t="str">
            <v>febrero</v>
          </cell>
          <cell r="D253" t="str">
            <v>MIC-096</v>
          </cell>
          <cell r="G253" t="str">
            <v>ZAPATO 0</v>
          </cell>
          <cell r="I253" t="str">
            <v>PREESCOLAR NIÑO</v>
          </cell>
          <cell r="J253" t="str">
            <v>DISNEY</v>
          </cell>
          <cell r="M253" t="str">
            <v>MEGAMAXI</v>
          </cell>
          <cell r="N253" t="str">
            <v>SANTIAGO M.</v>
          </cell>
          <cell r="AW253" t="str">
            <v/>
          </cell>
          <cell r="BA253" t="str">
            <v>MEGAMAXI</v>
          </cell>
        </row>
        <row r="254">
          <cell r="C254" t="str">
            <v>febrero</v>
          </cell>
          <cell r="D254" t="str">
            <v>CAR-005</v>
          </cell>
          <cell r="G254" t="str">
            <v>ZAPATO 0</v>
          </cell>
          <cell r="I254" t="str">
            <v>PREESCOLAR NIÑO</v>
          </cell>
          <cell r="J254" t="str">
            <v>DISNEY</v>
          </cell>
          <cell r="M254" t="str">
            <v>MEGAMAXI</v>
          </cell>
          <cell r="N254" t="str">
            <v>SANTIAGO M.</v>
          </cell>
          <cell r="AW254" t="str">
            <v/>
          </cell>
          <cell r="BA254" t="str">
            <v>MEGAMAXI</v>
          </cell>
        </row>
        <row r="255">
          <cell r="C255" t="str">
            <v>febrero</v>
          </cell>
          <cell r="D255" t="str">
            <v>SPY-014</v>
          </cell>
          <cell r="G255" t="str">
            <v>TALÓN 0</v>
          </cell>
          <cell r="I255" t="str">
            <v>PREESCOLAR NIÑO</v>
          </cell>
          <cell r="J255" t="str">
            <v>MARVEL</v>
          </cell>
          <cell r="M255" t="str">
            <v>MEGAMAXI</v>
          </cell>
          <cell r="N255" t="str">
            <v>SANTIAGO M.</v>
          </cell>
          <cell r="AW255" t="str">
            <v/>
          </cell>
          <cell r="BA255" t="str">
            <v>MEGAMAXI</v>
          </cell>
        </row>
        <row r="256">
          <cell r="C256" t="str">
            <v>febrero</v>
          </cell>
          <cell r="D256" t="str">
            <v>SPY-015</v>
          </cell>
          <cell r="G256" t="str">
            <v>ZAPATO 0</v>
          </cell>
          <cell r="I256" t="str">
            <v>PREESCOLAR NIÑO</v>
          </cell>
          <cell r="J256" t="str">
            <v>MARVEL</v>
          </cell>
          <cell r="M256" t="str">
            <v>MEGAMAXI</v>
          </cell>
          <cell r="N256" t="str">
            <v>SANTIAGO M.</v>
          </cell>
          <cell r="AW256" t="str">
            <v/>
          </cell>
          <cell r="BA256" t="str">
            <v>MEGAMAXI</v>
          </cell>
        </row>
        <row r="257">
          <cell r="C257" t="str">
            <v>febrero</v>
          </cell>
          <cell r="D257" t="str">
            <v>SPY-016</v>
          </cell>
          <cell r="G257" t="str">
            <v>TALÓN 0</v>
          </cell>
          <cell r="I257" t="str">
            <v>PREESCOLAR NIÑO</v>
          </cell>
          <cell r="J257" t="str">
            <v>MARVEL</v>
          </cell>
          <cell r="M257" t="str">
            <v>MEGAMAXI</v>
          </cell>
          <cell r="N257" t="str">
            <v>SANTIAGO M.</v>
          </cell>
          <cell r="AW257" t="str">
            <v/>
          </cell>
          <cell r="BA257" t="str">
            <v>MEGAMAXI</v>
          </cell>
        </row>
        <row r="258">
          <cell r="C258" t="str">
            <v>febrero</v>
          </cell>
          <cell r="D258" t="str">
            <v>SPY-017</v>
          </cell>
          <cell r="G258" t="str">
            <v>TALÓN 0</v>
          </cell>
          <cell r="I258" t="str">
            <v>PREESCOLAR NIÑO</v>
          </cell>
          <cell r="J258" t="str">
            <v>MARVEL</v>
          </cell>
          <cell r="M258" t="str">
            <v>MEGAMAXI</v>
          </cell>
          <cell r="N258" t="str">
            <v>SANTIAGO M.</v>
          </cell>
          <cell r="AW258" t="str">
            <v/>
          </cell>
          <cell r="BA258" t="str">
            <v>MEGAMAXI</v>
          </cell>
        </row>
        <row r="259">
          <cell r="C259" t="str">
            <v>febrero</v>
          </cell>
          <cell r="D259" t="str">
            <v>MIC-097</v>
          </cell>
          <cell r="G259" t="str">
            <v>SUECA 0</v>
          </cell>
          <cell r="I259" t="str">
            <v>ESCOLAR NIÑO</v>
          </cell>
          <cell r="J259" t="str">
            <v>DISNEY</v>
          </cell>
          <cell r="M259" t="str">
            <v>MEGAMAXI</v>
          </cell>
          <cell r="N259" t="str">
            <v>SANTIAGO M.</v>
          </cell>
          <cell r="AW259" t="str">
            <v/>
          </cell>
          <cell r="BA259" t="str">
            <v>MEGAMAXI</v>
          </cell>
        </row>
        <row r="260">
          <cell r="C260" t="str">
            <v>febrero</v>
          </cell>
          <cell r="D260" t="str">
            <v>CAR-006</v>
          </cell>
          <cell r="G260" t="str">
            <v>DESTALONADA 0</v>
          </cell>
          <cell r="I260" t="str">
            <v>ESCOLAR NIÑO</v>
          </cell>
          <cell r="J260" t="str">
            <v>DISNEY</v>
          </cell>
          <cell r="M260" t="str">
            <v>MEGAMAXI</v>
          </cell>
          <cell r="N260" t="str">
            <v>SANTIAGO M.</v>
          </cell>
          <cell r="AW260" t="str">
            <v/>
          </cell>
          <cell r="BA260" t="str">
            <v>MEGAMAXI</v>
          </cell>
        </row>
        <row r="261">
          <cell r="C261" t="str">
            <v>febrero</v>
          </cell>
          <cell r="D261" t="str">
            <v>SPD-122</v>
          </cell>
          <cell r="G261" t="str">
            <v>DESTALONADA 0</v>
          </cell>
          <cell r="I261" t="str">
            <v>ESCOLAR NIÑO</v>
          </cell>
          <cell r="J261" t="str">
            <v>MARVEL</v>
          </cell>
          <cell r="M261" t="str">
            <v>MEGAMAXI</v>
          </cell>
          <cell r="N261" t="str">
            <v>SANTIAGO M.</v>
          </cell>
          <cell r="AW261" t="str">
            <v/>
          </cell>
          <cell r="BA261" t="str">
            <v>MEGAMAXI</v>
          </cell>
        </row>
        <row r="262">
          <cell r="C262" t="str">
            <v>febrero</v>
          </cell>
          <cell r="D262" t="str">
            <v>MCO-003</v>
          </cell>
          <cell r="G262" t="str">
            <v>SUECA 0</v>
          </cell>
          <cell r="I262" t="str">
            <v>ESCOLAR NIÑO</v>
          </cell>
          <cell r="J262" t="str">
            <v>MARVEL</v>
          </cell>
          <cell r="M262" t="str">
            <v>MEGAMAXI</v>
          </cell>
          <cell r="N262" t="str">
            <v>SANTIAGO M.</v>
          </cell>
          <cell r="AW262" t="str">
            <v/>
          </cell>
          <cell r="BA262" t="str">
            <v>MEGAMAXI</v>
          </cell>
        </row>
        <row r="263">
          <cell r="C263" t="str">
            <v>febrero</v>
          </cell>
          <cell r="D263" t="str">
            <v>SPD-123</v>
          </cell>
          <cell r="G263" t="str">
            <v>SUECA 0</v>
          </cell>
          <cell r="I263" t="str">
            <v>ESCOLAR NIÑO</v>
          </cell>
          <cell r="J263" t="str">
            <v>MARVEL</v>
          </cell>
          <cell r="M263" t="str">
            <v>MEGAMAXI</v>
          </cell>
          <cell r="N263" t="str">
            <v>SANTIAGO M.</v>
          </cell>
          <cell r="AW263" t="str">
            <v/>
          </cell>
          <cell r="BA263" t="str">
            <v>MEGAMAXI</v>
          </cell>
        </row>
        <row r="264">
          <cell r="C264" t="str">
            <v>febrero</v>
          </cell>
          <cell r="D264" t="str">
            <v>AVA-076</v>
          </cell>
          <cell r="G264" t="str">
            <v>SUECA 0</v>
          </cell>
          <cell r="I264" t="str">
            <v>ESCOLAR NIÑO</v>
          </cell>
          <cell r="J264" t="str">
            <v>MARVEL</v>
          </cell>
          <cell r="M264" t="str">
            <v>MEGAMAXI</v>
          </cell>
          <cell r="N264" t="str">
            <v>SANTIAGO M.</v>
          </cell>
          <cell r="AW264" t="str">
            <v/>
          </cell>
          <cell r="BA264" t="str">
            <v>MEGAMAXI</v>
          </cell>
        </row>
        <row r="265">
          <cell r="C265" t="str">
            <v>febrero</v>
          </cell>
          <cell r="D265" t="str">
            <v>MAR-016</v>
          </cell>
          <cell r="G265" t="str">
            <v>SUECA 0</v>
          </cell>
          <cell r="I265" t="str">
            <v>ESCOLAR NIÑA</v>
          </cell>
          <cell r="J265" t="str">
            <v>DISNEY</v>
          </cell>
          <cell r="M265" t="str">
            <v>MEGAMAXI</v>
          </cell>
          <cell r="N265" t="str">
            <v>GABRIELA D.</v>
          </cell>
          <cell r="AW265" t="str">
            <v/>
          </cell>
          <cell r="BA265" t="str">
            <v>MEGAMAXI</v>
          </cell>
        </row>
        <row r="266">
          <cell r="C266" t="str">
            <v>febrero</v>
          </cell>
          <cell r="D266" t="str">
            <v>MAR-017</v>
          </cell>
          <cell r="G266" t="str">
            <v>DESTALONADA 0</v>
          </cell>
          <cell r="I266" t="str">
            <v>ESCOLAR NIÑA</v>
          </cell>
          <cell r="J266" t="str">
            <v>DISNEY</v>
          </cell>
          <cell r="M266" t="str">
            <v>MEGAMAXI</v>
          </cell>
          <cell r="N266" t="str">
            <v>GABRIELA D.</v>
          </cell>
          <cell r="AW266" t="str">
            <v/>
          </cell>
          <cell r="BA266" t="str">
            <v>MEGAMAXI</v>
          </cell>
        </row>
        <row r="267">
          <cell r="C267" t="str">
            <v>febrero</v>
          </cell>
          <cell r="D267" t="str">
            <v>LIL-048</v>
          </cell>
          <cell r="G267" t="str">
            <v>SUECA 0</v>
          </cell>
          <cell r="I267" t="str">
            <v>ESCOLAR NIÑA</v>
          </cell>
          <cell r="J267" t="str">
            <v>DISNEY</v>
          </cell>
          <cell r="M267" t="str">
            <v>MEGAMAXI</v>
          </cell>
          <cell r="N267" t="str">
            <v>GABRIELA D.</v>
          </cell>
          <cell r="AW267" t="str">
            <v/>
          </cell>
          <cell r="BA267" t="str">
            <v>MEGAMAXI</v>
          </cell>
        </row>
        <row r="268">
          <cell r="C268" t="str">
            <v>febrero</v>
          </cell>
          <cell r="D268" t="str">
            <v>LIL-045</v>
          </cell>
          <cell r="G268" t="str">
            <v>DESTALONADA 0</v>
          </cell>
          <cell r="I268" t="str">
            <v>ESCOLAR NIÑO</v>
          </cell>
          <cell r="J268" t="str">
            <v>DISNEY</v>
          </cell>
          <cell r="M268" t="str">
            <v>MEGAMAXI</v>
          </cell>
          <cell r="N268" t="str">
            <v>GABRIELA D.</v>
          </cell>
          <cell r="AW268" t="str">
            <v/>
          </cell>
          <cell r="BA268" t="str">
            <v>MEGAMAXI</v>
          </cell>
        </row>
        <row r="269">
          <cell r="C269" t="str">
            <v>febrero</v>
          </cell>
          <cell r="D269" t="str">
            <v>MIN-154</v>
          </cell>
          <cell r="G269" t="str">
            <v>DESTALONADA 0</v>
          </cell>
          <cell r="I269" t="str">
            <v>ESCOLAR NIÑA</v>
          </cell>
          <cell r="J269" t="str">
            <v>DISNEY</v>
          </cell>
          <cell r="M269" t="str">
            <v>MEGAMAXI</v>
          </cell>
          <cell r="N269" t="str">
            <v>GABRIELA D.</v>
          </cell>
          <cell r="AW269" t="str">
            <v/>
          </cell>
          <cell r="BA269" t="str">
            <v>MEGAMAXI</v>
          </cell>
        </row>
        <row r="270">
          <cell r="C270" t="str">
            <v>febrero</v>
          </cell>
          <cell r="D270" t="str">
            <v>MIN-155</v>
          </cell>
          <cell r="G270" t="str">
            <v>SUECA 0</v>
          </cell>
          <cell r="I270" t="str">
            <v>ESCOLAR NIÑA</v>
          </cell>
          <cell r="J270" t="str">
            <v>DISNEY</v>
          </cell>
          <cell r="M270" t="str">
            <v>MEGAMAXI</v>
          </cell>
          <cell r="N270" t="str">
            <v>GABRIELA D.</v>
          </cell>
          <cell r="AW270" t="str">
            <v/>
          </cell>
          <cell r="BA270" t="str">
            <v>MEGAMAXI</v>
          </cell>
        </row>
        <row r="271">
          <cell r="C271" t="str">
            <v>febrero</v>
          </cell>
          <cell r="D271" t="str">
            <v>DALM-008</v>
          </cell>
          <cell r="G271" t="str">
            <v>SUECA 0</v>
          </cell>
          <cell r="I271" t="str">
            <v>ESCOLAR NIÑA</v>
          </cell>
          <cell r="J271" t="str">
            <v>DISNEY</v>
          </cell>
          <cell r="M271" t="str">
            <v>MEGAMAXI</v>
          </cell>
          <cell r="N271" t="str">
            <v>GABRIELA D.</v>
          </cell>
          <cell r="AW271" t="str">
            <v/>
          </cell>
          <cell r="BA271" t="str">
            <v>MEGAMAXI</v>
          </cell>
        </row>
        <row r="272">
          <cell r="C272" t="str">
            <v>febrero</v>
          </cell>
          <cell r="D272" t="str">
            <v>MOA-001</v>
          </cell>
          <cell r="G272" t="str">
            <v>SUECA 0</v>
          </cell>
          <cell r="I272" t="str">
            <v>ESCOLAR NIÑA</v>
          </cell>
          <cell r="J272" t="str">
            <v>DISNEY</v>
          </cell>
          <cell r="M272" t="str">
            <v>MEGAMAXI</v>
          </cell>
          <cell r="N272" t="str">
            <v>GABRIELA D.</v>
          </cell>
          <cell r="AW272" t="str">
            <v/>
          </cell>
          <cell r="BA272" t="str">
            <v>MEGAMAXI</v>
          </cell>
        </row>
        <row r="273">
          <cell r="C273" t="str">
            <v>febrero</v>
          </cell>
          <cell r="D273" t="str">
            <v>MOA-002</v>
          </cell>
          <cell r="G273" t="str">
            <v>DESTALONADA CON FILO</v>
          </cell>
          <cell r="I273" t="str">
            <v>ESCOLAR NIÑA</v>
          </cell>
          <cell r="J273" t="str">
            <v>DISNEY</v>
          </cell>
          <cell r="M273" t="str">
            <v>MEGAMAXI</v>
          </cell>
          <cell r="N273" t="str">
            <v>GABRIELA D.</v>
          </cell>
          <cell r="AW273" t="str">
            <v/>
          </cell>
          <cell r="BA273" t="str">
            <v>MEGAMAXI</v>
          </cell>
        </row>
        <row r="274">
          <cell r="C274" t="str">
            <v>febrero</v>
          </cell>
          <cell r="D274" t="str">
            <v>MOA-003</v>
          </cell>
          <cell r="G274" t="str">
            <v>ZAPATO VELCRO</v>
          </cell>
          <cell r="I274" t="str">
            <v>PREESCOLAR NIÑA</v>
          </cell>
          <cell r="J274" t="str">
            <v>DISNEY</v>
          </cell>
          <cell r="M274" t="str">
            <v>MEGAMAXI</v>
          </cell>
          <cell r="N274" t="str">
            <v>GABRIELA D.</v>
          </cell>
          <cell r="AW274" t="str">
            <v/>
          </cell>
          <cell r="BA274" t="str">
            <v>MEGAMAXI</v>
          </cell>
        </row>
        <row r="275">
          <cell r="C275" t="str">
            <v>febrero</v>
          </cell>
          <cell r="D275" t="str">
            <v>MOA-004</v>
          </cell>
          <cell r="G275" t="str">
            <v>TALÓN CON FILO</v>
          </cell>
          <cell r="I275" t="str">
            <v>PREESCOLAR NIÑA</v>
          </cell>
          <cell r="J275" t="str">
            <v>DISNEY</v>
          </cell>
          <cell r="M275" t="str">
            <v>MEGAMAXI</v>
          </cell>
          <cell r="N275" t="str">
            <v>GABRIELA D.</v>
          </cell>
          <cell r="AW275" t="str">
            <v/>
          </cell>
          <cell r="BA275" t="str">
            <v>MEGAMAXI</v>
          </cell>
        </row>
        <row r="276">
          <cell r="C276" t="str">
            <v>febrero</v>
          </cell>
          <cell r="D276" t="str">
            <v>DALM-009</v>
          </cell>
          <cell r="G276" t="str">
            <v>ZAPATO CON VELCRO</v>
          </cell>
          <cell r="I276" t="str">
            <v>PREESCOLAR NIÑA</v>
          </cell>
          <cell r="J276" t="str">
            <v>DISNEY</v>
          </cell>
          <cell r="M276" t="str">
            <v>MEGAMAXI</v>
          </cell>
          <cell r="N276" t="str">
            <v>SANTIAGO M.</v>
          </cell>
          <cell r="AW276" t="str">
            <v/>
          </cell>
          <cell r="BA276" t="str">
            <v>MEGAMAXI</v>
          </cell>
        </row>
        <row r="277">
          <cell r="C277" t="str">
            <v>febrero</v>
          </cell>
          <cell r="D277" t="str">
            <v>MIN-156</v>
          </cell>
          <cell r="G277" t="str">
            <v>TALÓN 0</v>
          </cell>
          <cell r="I277" t="str">
            <v>PREESCOLAR NIÑA</v>
          </cell>
          <cell r="J277" t="str">
            <v>DISNEY</v>
          </cell>
          <cell r="M277" t="str">
            <v>MEGAMAXI</v>
          </cell>
          <cell r="N277" t="str">
            <v>GABRIELA D.</v>
          </cell>
          <cell r="AW277" t="str">
            <v/>
          </cell>
          <cell r="BA277" t="str">
            <v>MEGAMAXI</v>
          </cell>
        </row>
        <row r="278">
          <cell r="C278" t="str">
            <v>febrero</v>
          </cell>
          <cell r="D278" t="str">
            <v>MIN-157</v>
          </cell>
          <cell r="G278" t="str">
            <v>ZAPATO CON VELCRO</v>
          </cell>
          <cell r="I278" t="str">
            <v>PREESCOLAR NIÑA</v>
          </cell>
          <cell r="J278" t="str">
            <v>DISNEY</v>
          </cell>
          <cell r="M278" t="str">
            <v>MEGAMAXI</v>
          </cell>
          <cell r="N278" t="str">
            <v>GABRIELA D.</v>
          </cell>
          <cell r="AW278" t="str">
            <v/>
          </cell>
          <cell r="BA278" t="str">
            <v>MEGAMAXI</v>
          </cell>
        </row>
        <row r="279">
          <cell r="C279" t="str">
            <v>febrero</v>
          </cell>
          <cell r="D279" t="str">
            <v>LIL-046</v>
          </cell>
          <cell r="G279" t="str">
            <v>BOTA 0</v>
          </cell>
          <cell r="I279" t="str">
            <v>PREESCOLAR NIÑA</v>
          </cell>
          <cell r="J279" t="str">
            <v>DISNEY</v>
          </cell>
          <cell r="M279" t="str">
            <v>MEGAMAXI</v>
          </cell>
          <cell r="N279" t="str">
            <v>SANTIAGO M.</v>
          </cell>
          <cell r="AW279" t="str">
            <v/>
          </cell>
          <cell r="BA279" t="str">
            <v>MEGAMAXI</v>
          </cell>
        </row>
        <row r="280">
          <cell r="C280" t="str">
            <v>febrero</v>
          </cell>
          <cell r="D280" t="str">
            <v>LIL-049</v>
          </cell>
          <cell r="G280" t="str">
            <v>TALÓN 0</v>
          </cell>
          <cell r="I280" t="str">
            <v>PREESCOLAR NIÑA</v>
          </cell>
          <cell r="J280" t="str">
            <v>DISNEY</v>
          </cell>
          <cell r="M280" t="str">
            <v>MEGAMAXI</v>
          </cell>
          <cell r="N280" t="str">
            <v>GABRIELA D.</v>
          </cell>
          <cell r="AW280" t="str">
            <v/>
          </cell>
          <cell r="BA280" t="str">
            <v>MEGAMAXI</v>
          </cell>
        </row>
        <row r="281">
          <cell r="C281" t="str">
            <v>febrero</v>
          </cell>
          <cell r="D281" t="str">
            <v>MAR-018</v>
          </cell>
          <cell r="G281" t="str">
            <v>TALÓN 0</v>
          </cell>
          <cell r="I281" t="str">
            <v>PREESCOLAR NIÑA</v>
          </cell>
          <cell r="J281" t="str">
            <v>DISNEY</v>
          </cell>
          <cell r="M281" t="str">
            <v>MEGAMAXI</v>
          </cell>
          <cell r="N281" t="str">
            <v>GABRIELA D.</v>
          </cell>
          <cell r="AW281" t="str">
            <v/>
          </cell>
          <cell r="BA281" t="str">
            <v>MEGAMAXI</v>
          </cell>
        </row>
        <row r="282">
          <cell r="C282" t="str">
            <v>febrero</v>
          </cell>
          <cell r="D282" t="str">
            <v>MAR-019</v>
          </cell>
          <cell r="G282" t="str">
            <v>ZAPATO 0</v>
          </cell>
          <cell r="I282" t="str">
            <v>PREESCOLAR NIÑA</v>
          </cell>
          <cell r="J282" t="str">
            <v>DISNEY</v>
          </cell>
          <cell r="M282" t="str">
            <v>MEGAMAXI</v>
          </cell>
          <cell r="N282" t="str">
            <v>GABRIELA D.</v>
          </cell>
          <cell r="AW282" t="str">
            <v/>
          </cell>
          <cell r="BA282" t="str">
            <v>MEGAMAXI</v>
          </cell>
        </row>
        <row r="283">
          <cell r="C283" t="str">
            <v>febrero</v>
          </cell>
          <cell r="D283" t="str">
            <v>TOYA-002</v>
          </cell>
          <cell r="G283" t="str">
            <v>SUECA 0</v>
          </cell>
          <cell r="I283" t="str">
            <v>DAMA</v>
          </cell>
          <cell r="J283" t="str">
            <v>DISNEY</v>
          </cell>
          <cell r="M283" t="str">
            <v>MEGAMAXI</v>
          </cell>
          <cell r="N283" t="str">
            <v>SANTIAGO M.</v>
          </cell>
          <cell r="AW283" t="str">
            <v/>
          </cell>
          <cell r="BA283" t="str">
            <v>MEGAMAXI</v>
          </cell>
        </row>
        <row r="284">
          <cell r="C284" t="str">
            <v>febrero</v>
          </cell>
          <cell r="D284" t="str">
            <v>TOY-009</v>
          </cell>
          <cell r="G284" t="str">
            <v>ZAPATO CON VELCRO</v>
          </cell>
          <cell r="I284" t="str">
            <v>PREESCOLAR NIÑO</v>
          </cell>
          <cell r="J284" t="str">
            <v>DISNEY</v>
          </cell>
          <cell r="M284" t="str">
            <v>MEGAMAXI</v>
          </cell>
          <cell r="N284" t="str">
            <v>GABRIELA D.</v>
          </cell>
          <cell r="AW284" t="str">
            <v/>
          </cell>
          <cell r="BA284" t="str">
            <v>MEGAMAXI</v>
          </cell>
        </row>
        <row r="285">
          <cell r="C285" t="str">
            <v>marzo</v>
          </cell>
          <cell r="D285" t="str">
            <v>D26-4131</v>
          </cell>
          <cell r="G285" t="str">
            <v>DESTALONADA CON FILO</v>
          </cell>
          <cell r="I285" t="str">
            <v>DAMA</v>
          </cell>
          <cell r="J285" t="str">
            <v/>
          </cell>
          <cell r="M285" t="str">
            <v>DE PRATI</v>
          </cell>
          <cell r="N285" t="str">
            <v>GABRIELA D.</v>
          </cell>
          <cell r="AW285" t="str">
            <v/>
          </cell>
          <cell r="BA285" t="str">
            <v>DE PRATI</v>
          </cell>
        </row>
        <row r="286">
          <cell r="C286" t="str">
            <v>marzo</v>
          </cell>
          <cell r="D286" t="str">
            <v>D26-4132</v>
          </cell>
          <cell r="G286" t="str">
            <v>DESTALONADA 0</v>
          </cell>
          <cell r="I286" t="str">
            <v>DAMA</v>
          </cell>
          <cell r="J286" t="str">
            <v/>
          </cell>
          <cell r="M286" t="str">
            <v>DE PRATI</v>
          </cell>
          <cell r="N286" t="str">
            <v>GABRIELA D.</v>
          </cell>
          <cell r="AW286" t="str">
            <v/>
          </cell>
          <cell r="BA286" t="str">
            <v>DE PRATI</v>
          </cell>
        </row>
        <row r="287">
          <cell r="C287" t="str">
            <v>marzo</v>
          </cell>
          <cell r="D287" t="str">
            <v>D26-4133</v>
          </cell>
          <cell r="G287" t="str">
            <v>SUECA 0</v>
          </cell>
          <cell r="I287" t="str">
            <v>DAMA</v>
          </cell>
          <cell r="J287" t="str">
            <v/>
          </cell>
          <cell r="M287" t="str">
            <v>DE PRATI</v>
          </cell>
          <cell r="N287" t="str">
            <v>GABRIELA D.</v>
          </cell>
          <cell r="AW287" t="str">
            <v/>
          </cell>
          <cell r="BA287" t="str">
            <v/>
          </cell>
        </row>
        <row r="288">
          <cell r="C288" t="str">
            <v>marzo</v>
          </cell>
          <cell r="D288" t="str">
            <v>D26-4134</v>
          </cell>
          <cell r="G288" t="str">
            <v>DESTALONADA CON FILO</v>
          </cell>
          <cell r="I288" t="str">
            <v>DAMA</v>
          </cell>
          <cell r="J288" t="str">
            <v/>
          </cell>
          <cell r="M288" t="str">
            <v>DE PRATI</v>
          </cell>
          <cell r="N288" t="str">
            <v>GABRIELA D.</v>
          </cell>
          <cell r="AW288" t="str">
            <v/>
          </cell>
          <cell r="BA288" t="str">
            <v>DE PRATI</v>
          </cell>
        </row>
        <row r="289">
          <cell r="C289" t="str">
            <v>marzo</v>
          </cell>
          <cell r="D289" t="str">
            <v>D26-4136</v>
          </cell>
          <cell r="G289" t="str">
            <v>SANDALIA CRUZADA EN X</v>
          </cell>
          <cell r="I289" t="str">
            <v>DAMA</v>
          </cell>
          <cell r="J289" t="str">
            <v/>
          </cell>
          <cell r="M289" t="str">
            <v>DE PRATI</v>
          </cell>
          <cell r="N289" t="str">
            <v>GABRIELA D.</v>
          </cell>
          <cell r="AW289" t="str">
            <v/>
          </cell>
          <cell r="BA289" t="str">
            <v>DE PRATI</v>
          </cell>
        </row>
        <row r="290">
          <cell r="C290" t="str">
            <v>marzo</v>
          </cell>
          <cell r="D290" t="str">
            <v>D26-4137</v>
          </cell>
          <cell r="G290" t="str">
            <v>SUECA 0</v>
          </cell>
          <cell r="I290" t="str">
            <v>DAMA</v>
          </cell>
          <cell r="J290" t="str">
            <v/>
          </cell>
          <cell r="M290" t="str">
            <v>DE PRATI</v>
          </cell>
          <cell r="N290" t="str">
            <v>GABRIELA D.</v>
          </cell>
          <cell r="AW290" t="str">
            <v/>
          </cell>
          <cell r="BA290" t="str">
            <v>DE PRATI</v>
          </cell>
        </row>
        <row r="291">
          <cell r="C291" t="str">
            <v>marzo</v>
          </cell>
          <cell r="D291" t="str">
            <v>D26-4138</v>
          </cell>
          <cell r="G291" t="str">
            <v>SANDALIA ABIERTA CAPELLADA ANGOSTA</v>
          </cell>
          <cell r="I291" t="str">
            <v>DAMA</v>
          </cell>
          <cell r="J291" t="str">
            <v/>
          </cell>
          <cell r="M291" t="str">
            <v>DE PRATI</v>
          </cell>
          <cell r="N291" t="str">
            <v>GABRIELA D.</v>
          </cell>
          <cell r="AW291" t="str">
            <v/>
          </cell>
          <cell r="BA291" t="str">
            <v>DE PRATI</v>
          </cell>
        </row>
        <row r="292">
          <cell r="C292" t="str">
            <v>marzo</v>
          </cell>
          <cell r="D292" t="str">
            <v>D26-4139</v>
          </cell>
          <cell r="G292" t="str">
            <v>SANDALIA ABIERTA</v>
          </cell>
          <cell r="I292" t="str">
            <v>DAMA</v>
          </cell>
          <cell r="J292" t="str">
            <v/>
          </cell>
          <cell r="M292" t="str">
            <v>DE PRATI</v>
          </cell>
          <cell r="N292" t="str">
            <v>GABRIELA D.</v>
          </cell>
          <cell r="AW292" t="str">
            <v/>
          </cell>
          <cell r="BA292" t="str">
            <v>DE PRATI</v>
          </cell>
        </row>
        <row r="293">
          <cell r="C293" t="str">
            <v>marzo</v>
          </cell>
          <cell r="D293" t="str">
            <v>D26-4140</v>
          </cell>
          <cell r="G293" t="str">
            <v>SANDALIA PUNTA ABIERTA</v>
          </cell>
          <cell r="I293" t="str">
            <v>DAMA</v>
          </cell>
          <cell r="J293" t="str">
            <v/>
          </cell>
          <cell r="M293" t="str">
            <v>DE PRATI</v>
          </cell>
          <cell r="N293" t="str">
            <v>GABRIELA D.</v>
          </cell>
          <cell r="AW293" t="str">
            <v/>
          </cell>
          <cell r="BA293" t="str">
            <v>DE PRATI</v>
          </cell>
        </row>
        <row r="294">
          <cell r="C294" t="str">
            <v>marzo</v>
          </cell>
          <cell r="D294" t="str">
            <v>D26-4141</v>
          </cell>
          <cell r="G294" t="str">
            <v>DESTALONADA 0</v>
          </cell>
          <cell r="I294" t="str">
            <v>DAMA</v>
          </cell>
          <cell r="J294" t="str">
            <v/>
          </cell>
          <cell r="M294" t="str">
            <v>DE PRATI</v>
          </cell>
          <cell r="N294" t="str">
            <v>GABRIELA D.</v>
          </cell>
          <cell r="AW294" t="str">
            <v/>
          </cell>
          <cell r="BA294" t="str">
            <v>DE PRATI</v>
          </cell>
        </row>
        <row r="295">
          <cell r="C295" t="str">
            <v>marzo</v>
          </cell>
          <cell r="D295" t="str">
            <v>D26-4142</v>
          </cell>
          <cell r="G295" t="str">
            <v>DESTALONADA 0</v>
          </cell>
          <cell r="I295" t="str">
            <v>DAMA</v>
          </cell>
          <cell r="J295" t="str">
            <v/>
          </cell>
          <cell r="M295" t="str">
            <v>DE PRATI</v>
          </cell>
          <cell r="N295" t="str">
            <v/>
          </cell>
          <cell r="AW295" t="str">
            <v/>
          </cell>
          <cell r="BA295" t="str">
            <v/>
          </cell>
        </row>
        <row r="296">
          <cell r="C296" t="str">
            <v>marzo</v>
          </cell>
          <cell r="D296" t="str">
            <v>H26-3523</v>
          </cell>
          <cell r="G296" t="str">
            <v>SUECA 0</v>
          </cell>
          <cell r="I296" t="str">
            <v>CABALLERO</v>
          </cell>
          <cell r="J296" t="str">
            <v/>
          </cell>
          <cell r="M296" t="str">
            <v>ETAFASHION</v>
          </cell>
          <cell r="N296" t="str">
            <v>SANTIAGO M.</v>
          </cell>
          <cell r="AW296" t="str">
            <v/>
          </cell>
          <cell r="BA296" t="str">
            <v>ETAFASHION</v>
          </cell>
        </row>
        <row r="297">
          <cell r="C297" t="str">
            <v>marzo</v>
          </cell>
          <cell r="D297" t="str">
            <v>H26-3524</v>
          </cell>
          <cell r="G297" t="str">
            <v>SUECA CON FILO ANGOSTO</v>
          </cell>
          <cell r="I297" t="str">
            <v>CABALLERO</v>
          </cell>
          <cell r="J297" t="str">
            <v/>
          </cell>
          <cell r="M297" t="str">
            <v>ETAFASHION</v>
          </cell>
          <cell r="N297" t="str">
            <v>SANTIAGO M.</v>
          </cell>
          <cell r="AW297" t="str">
            <v/>
          </cell>
          <cell r="BA297" t="str">
            <v>ETAFASHION</v>
          </cell>
        </row>
        <row r="298">
          <cell r="C298" t="str">
            <v>marzo</v>
          </cell>
          <cell r="D298" t="str">
            <v>H26-3525</v>
          </cell>
          <cell r="G298" t="str">
            <v>SUECA FILO ANGOSTO</v>
          </cell>
          <cell r="I298" t="str">
            <v>CABALLERO</v>
          </cell>
          <cell r="J298" t="str">
            <v/>
          </cell>
          <cell r="M298" t="str">
            <v>ETAFASHION</v>
          </cell>
          <cell r="N298" t="str">
            <v>SANTIAGO M.</v>
          </cell>
          <cell r="AW298" t="str">
            <v/>
          </cell>
          <cell r="BA298" t="str">
            <v>ETAFASHION</v>
          </cell>
        </row>
        <row r="299">
          <cell r="C299" t="str">
            <v>marzo</v>
          </cell>
          <cell r="D299" t="str">
            <v>H26-3526</v>
          </cell>
          <cell r="G299" t="str">
            <v>DESTALONADA 0</v>
          </cell>
          <cell r="I299" t="str">
            <v>CABALLERO</v>
          </cell>
          <cell r="J299" t="str">
            <v/>
          </cell>
          <cell r="M299" t="str">
            <v>ETAFASHION</v>
          </cell>
          <cell r="N299" t="str">
            <v>GABRIELA D.</v>
          </cell>
          <cell r="AW299" t="str">
            <v/>
          </cell>
          <cell r="BA299" t="str">
            <v>ETAFASHION</v>
          </cell>
        </row>
        <row r="300">
          <cell r="C300" t="str">
            <v>marzo</v>
          </cell>
          <cell r="D300" t="str">
            <v>H26-3527</v>
          </cell>
          <cell r="G300" t="str">
            <v>DESTALONADA 0</v>
          </cell>
          <cell r="I300" t="str">
            <v>CABALLERO</v>
          </cell>
          <cell r="J300" t="str">
            <v/>
          </cell>
          <cell r="M300" t="str">
            <v>ETAFASHION</v>
          </cell>
          <cell r="N300" t="str">
            <v>GABRIELA D.</v>
          </cell>
          <cell r="AW300" t="str">
            <v/>
          </cell>
          <cell r="BA300" t="str">
            <v>ETAFASHION</v>
          </cell>
        </row>
        <row r="301">
          <cell r="C301" t="str">
            <v>marzo</v>
          </cell>
          <cell r="D301" t="str">
            <v>H26-3528</v>
          </cell>
          <cell r="G301" t="str">
            <v>DESTALONADA  CAPELLADA CON VOLUMEN</v>
          </cell>
          <cell r="I301" t="str">
            <v>CABALLERO</v>
          </cell>
          <cell r="J301" t="str">
            <v/>
          </cell>
          <cell r="M301" t="str">
            <v>ETAFASHION</v>
          </cell>
          <cell r="N301" t="str">
            <v>SANTIAGO M.</v>
          </cell>
          <cell r="AW301" t="str">
            <v/>
          </cell>
          <cell r="BA301" t="str">
            <v>ETAFASHION</v>
          </cell>
        </row>
        <row r="302">
          <cell r="C302" t="str">
            <v>febrero</v>
          </cell>
          <cell r="D302" t="str">
            <v>MINYA-104</v>
          </cell>
          <cell r="G302" t="str">
            <v>DESTALONADA 0</v>
          </cell>
          <cell r="I302" t="str">
            <v>DAMA</v>
          </cell>
          <cell r="J302" t="str">
            <v>DISNEY</v>
          </cell>
          <cell r="M302" t="str">
            <v>MEGAMAXI</v>
          </cell>
          <cell r="N302" t="str">
            <v>SANTIAGO M.</v>
          </cell>
          <cell r="AW302" t="str">
            <v/>
          </cell>
          <cell r="BA302" t="str">
            <v>MEGAMAXI</v>
          </cell>
        </row>
        <row r="303">
          <cell r="C303" t="str">
            <v>marzo</v>
          </cell>
          <cell r="D303" t="str">
            <v>H26-3529</v>
          </cell>
          <cell r="G303" t="str">
            <v>DESTALONADA 0</v>
          </cell>
          <cell r="I303" t="str">
            <v>CABALLERO</v>
          </cell>
          <cell r="J303" t="str">
            <v/>
          </cell>
          <cell r="M303" t="str">
            <v>ETAFASHION</v>
          </cell>
          <cell r="N303" t="str">
            <v>GABRIELA D.</v>
          </cell>
          <cell r="AW303" t="str">
            <v/>
          </cell>
          <cell r="BA303" t="str">
            <v>ETAFASHION</v>
          </cell>
        </row>
        <row r="304">
          <cell r="C304" t="str">
            <v>marzo</v>
          </cell>
          <cell r="D304" t="str">
            <v>H26-3530</v>
          </cell>
          <cell r="G304" t="str">
            <v>SUECA 0</v>
          </cell>
          <cell r="I304" t="str">
            <v>CABALLERO</v>
          </cell>
          <cell r="J304" t="str">
            <v/>
          </cell>
          <cell r="M304" t="str">
            <v>ETAFASHION</v>
          </cell>
          <cell r="N304" t="str">
            <v>SANTIAGO M.</v>
          </cell>
          <cell r="AW304" t="str">
            <v/>
          </cell>
          <cell r="BA304" t="str">
            <v>ETAFASHION</v>
          </cell>
        </row>
        <row r="305">
          <cell r="C305" t="str">
            <v>marzo</v>
          </cell>
          <cell r="D305" t="str">
            <v>H26-3531</v>
          </cell>
          <cell r="G305" t="str">
            <v>DESTALONADA CON FILO</v>
          </cell>
          <cell r="I305" t="str">
            <v>CABALLERO</v>
          </cell>
          <cell r="J305" t="str">
            <v/>
          </cell>
          <cell r="M305" t="str">
            <v>ETAFASHION</v>
          </cell>
          <cell r="N305" t="str">
            <v>GABRIELA D.</v>
          </cell>
          <cell r="AW305" t="str">
            <v/>
          </cell>
          <cell r="BA305" t="str">
            <v>ETAFASHION</v>
          </cell>
        </row>
        <row r="306">
          <cell r="C306" t="str">
            <v>marzo</v>
          </cell>
          <cell r="D306" t="str">
            <v>H26-3532</v>
          </cell>
          <cell r="G306" t="str">
            <v>DESTALONADA 0</v>
          </cell>
          <cell r="I306" t="str">
            <v>CABALLERO</v>
          </cell>
          <cell r="J306" t="str">
            <v/>
          </cell>
          <cell r="M306" t="str">
            <v>ETAFASHION</v>
          </cell>
          <cell r="N306" t="str">
            <v>SANTIAGO M.</v>
          </cell>
          <cell r="AW306" t="str">
            <v/>
          </cell>
          <cell r="BA306" t="str">
            <v>ETAFASHION</v>
          </cell>
        </row>
        <row r="307">
          <cell r="C307" t="str">
            <v>marzo</v>
          </cell>
          <cell r="D307" t="str">
            <v>H26-3533</v>
          </cell>
          <cell r="G307" t="str">
            <v>DESTALONADA 0</v>
          </cell>
          <cell r="I307" t="str">
            <v>CABALLERO</v>
          </cell>
          <cell r="J307" t="str">
            <v/>
          </cell>
          <cell r="M307" t="str">
            <v>ETAFASHION</v>
          </cell>
          <cell r="N307" t="str">
            <v>SANTIAGO M.</v>
          </cell>
          <cell r="AW307" t="str">
            <v/>
          </cell>
          <cell r="BA307" t="str">
            <v>ETAFASHION</v>
          </cell>
        </row>
        <row r="308">
          <cell r="C308" t="str">
            <v>marzo</v>
          </cell>
          <cell r="D308" t="str">
            <v>CAR-007</v>
          </cell>
          <cell r="G308" t="str">
            <v>DESTALONADA 0</v>
          </cell>
          <cell r="I308" t="str">
            <v>ESCOLAR NIÑO</v>
          </cell>
          <cell r="J308" t="str">
            <v>DISNEY</v>
          </cell>
          <cell r="M308" t="str">
            <v>ROLAND</v>
          </cell>
          <cell r="N308" t="str">
            <v>SANTIAGO M.</v>
          </cell>
          <cell r="AW308" t="str">
            <v/>
          </cell>
          <cell r="BA308" t="str">
            <v>ROLAND</v>
          </cell>
        </row>
        <row r="309">
          <cell r="C309" t="str">
            <v>marzo</v>
          </cell>
          <cell r="D309" t="str">
            <v>CARYA-001</v>
          </cell>
          <cell r="G309" t="str">
            <v>SUECA 0</v>
          </cell>
          <cell r="I309" t="str">
            <v>CABALLERO</v>
          </cell>
          <cell r="J309" t="str">
            <v>DISNEY</v>
          </cell>
          <cell r="M309" t="str">
            <v>ROLAND</v>
          </cell>
          <cell r="N309" t="str">
            <v>GABRIELA D.</v>
          </cell>
          <cell r="AW309" t="str">
            <v/>
          </cell>
          <cell r="BA309" t="str">
            <v>ROLAND</v>
          </cell>
        </row>
        <row r="310">
          <cell r="C310" t="str">
            <v>marzo</v>
          </cell>
          <cell r="D310" t="str">
            <v>CAR-008</v>
          </cell>
          <cell r="G310" t="str">
            <v>TALÓN 0</v>
          </cell>
          <cell r="I310" t="str">
            <v>ESCOLAR NIÑO</v>
          </cell>
          <cell r="J310" t="str">
            <v>DISNEY</v>
          </cell>
          <cell r="M310" t="str">
            <v>ROLAND</v>
          </cell>
          <cell r="N310" t="str">
            <v>GABRIELA D.</v>
          </cell>
          <cell r="AW310" t="str">
            <v/>
          </cell>
          <cell r="BA310" t="str">
            <v>ROLAND</v>
          </cell>
        </row>
        <row r="311">
          <cell r="C311" t="str">
            <v>marzo</v>
          </cell>
          <cell r="D311" t="str">
            <v>G26-5088</v>
          </cell>
          <cell r="G311" t="str">
            <v>SUECA 0</v>
          </cell>
          <cell r="I311" t="str">
            <v>ESCOLAR NIÑA</v>
          </cell>
          <cell r="J311" t="str">
            <v/>
          </cell>
          <cell r="M311" t="str">
            <v>ROLAND</v>
          </cell>
          <cell r="N311" t="str">
            <v>SANTIAGO M.</v>
          </cell>
          <cell r="AW311" t="str">
            <v/>
          </cell>
          <cell r="BA311" t="str">
            <v/>
          </cell>
        </row>
        <row r="312">
          <cell r="C312" t="str">
            <v>marzo</v>
          </cell>
          <cell r="D312" t="str">
            <v>PRI-088</v>
          </cell>
          <cell r="G312" t="str">
            <v>SUECA 0</v>
          </cell>
          <cell r="I312" t="str">
            <v>ESCOLAR NIÑA</v>
          </cell>
          <cell r="J312" t="str">
            <v>DISNEY</v>
          </cell>
          <cell r="M312" t="str">
            <v>ROLAND</v>
          </cell>
          <cell r="N312" t="str">
            <v>GABRIELA D.</v>
          </cell>
          <cell r="AW312" t="str">
            <v/>
          </cell>
          <cell r="BA312" t="str">
            <v/>
          </cell>
        </row>
        <row r="313">
          <cell r="C313" t="str">
            <v>marzo</v>
          </cell>
          <cell r="D313" t="str">
            <v>PRI-089</v>
          </cell>
          <cell r="G313" t="str">
            <v>SUECA 0</v>
          </cell>
          <cell r="I313" t="str">
            <v>ESCOLAR NIÑA</v>
          </cell>
          <cell r="J313" t="str">
            <v>DISNEY</v>
          </cell>
          <cell r="M313" t="str">
            <v>ROLAND</v>
          </cell>
          <cell r="N313" t="str">
            <v>GABRIELA D.</v>
          </cell>
          <cell r="AW313" t="str">
            <v/>
          </cell>
          <cell r="BA313" t="str">
            <v/>
          </cell>
        </row>
        <row r="314">
          <cell r="C314" t="str">
            <v>abril</v>
          </cell>
          <cell r="D314" t="str">
            <v>PRI-090</v>
          </cell>
          <cell r="G314" t="str">
            <v>DESTALONADA 0</v>
          </cell>
          <cell r="I314" t="str">
            <v>ESCOLAR NIÑA</v>
          </cell>
          <cell r="J314" t="str">
            <v>DISNEY</v>
          </cell>
          <cell r="M314" t="str">
            <v>ROLAND</v>
          </cell>
          <cell r="N314" t="str">
            <v>GABRIELA D.</v>
          </cell>
          <cell r="AW314" t="str">
            <v/>
          </cell>
          <cell r="BA314" t="str">
            <v/>
          </cell>
        </row>
        <row r="315">
          <cell r="C315" t="str">
            <v>marzo</v>
          </cell>
          <cell r="D315" t="str">
            <v>H26-3534</v>
          </cell>
          <cell r="G315" t="str">
            <v>SUECA 0</v>
          </cell>
          <cell r="I315" t="str">
            <v>CABALLERO</v>
          </cell>
          <cell r="J315" t="str">
            <v/>
          </cell>
          <cell r="M315" t="str">
            <v>ROLAND</v>
          </cell>
          <cell r="N315" t="str">
            <v>SANTIAGO M.</v>
          </cell>
          <cell r="AW315" t="str">
            <v/>
          </cell>
          <cell r="BA315" t="str">
            <v/>
          </cell>
        </row>
        <row r="316">
          <cell r="C316" t="str">
            <v>marzo</v>
          </cell>
          <cell r="D316" t="str">
            <v>D26-4143</v>
          </cell>
          <cell r="G316" t="str">
            <v>DESTALONADA 0</v>
          </cell>
          <cell r="I316" t="str">
            <v>DAMA</v>
          </cell>
          <cell r="J316" t="str">
            <v/>
          </cell>
          <cell r="M316" t="str">
            <v>GRAN AKI</v>
          </cell>
          <cell r="N316" t="str">
            <v>SANTIAGO M.</v>
          </cell>
          <cell r="AW316" t="str">
            <v/>
          </cell>
          <cell r="BA316" t="str">
            <v>GRAN AKI</v>
          </cell>
        </row>
        <row r="317">
          <cell r="C317" t="str">
            <v>marzo</v>
          </cell>
          <cell r="D317" t="str">
            <v>G26-5089</v>
          </cell>
          <cell r="G317" t="str">
            <v>SUECA 0</v>
          </cell>
          <cell r="I317" t="str">
            <v>ESCOLAR NIÑA</v>
          </cell>
          <cell r="J317" t="str">
            <v/>
          </cell>
          <cell r="M317" t="str">
            <v>ROLAND</v>
          </cell>
          <cell r="N317" t="str">
            <v>GABRIELA D.</v>
          </cell>
          <cell r="AW317" t="str">
            <v/>
          </cell>
          <cell r="BA317" t="str">
            <v/>
          </cell>
        </row>
        <row r="318">
          <cell r="C318" t="str">
            <v>marzo</v>
          </cell>
          <cell r="D318" t="str">
            <v>N26-4028</v>
          </cell>
          <cell r="G318" t="str">
            <v>SUECA 0</v>
          </cell>
          <cell r="I318" t="str">
            <v>ESCOLAR NIÑO</v>
          </cell>
          <cell r="J318" t="str">
            <v/>
          </cell>
          <cell r="M318" t="str">
            <v>ROLAND</v>
          </cell>
          <cell r="N318" t="str">
            <v>SANTIAGO M.</v>
          </cell>
          <cell r="AW318" t="str">
            <v/>
          </cell>
          <cell r="BA318" t="str">
            <v/>
          </cell>
        </row>
        <row r="319">
          <cell r="C319" t="str">
            <v>marzo</v>
          </cell>
          <cell r="D319" t="str">
            <v>N26-4029</v>
          </cell>
          <cell r="G319" t="str">
            <v>TALÓN 0</v>
          </cell>
          <cell r="I319" t="str">
            <v>ESCOLAR NIÑO</v>
          </cell>
          <cell r="J319" t="str">
            <v/>
          </cell>
          <cell r="M319" t="str">
            <v>ROLAND</v>
          </cell>
          <cell r="N319" t="str">
            <v>SANTIAGO M.</v>
          </cell>
          <cell r="AW319" t="str">
            <v/>
          </cell>
          <cell r="BA319" t="str">
            <v/>
          </cell>
        </row>
        <row r="320">
          <cell r="C320" t="str">
            <v>marzo</v>
          </cell>
          <cell r="D320" t="str">
            <v>N26-4030</v>
          </cell>
          <cell r="G320" t="str">
            <v>TALÓN 0</v>
          </cell>
          <cell r="I320" t="str">
            <v>ESCOLAR NIÑO</v>
          </cell>
          <cell r="J320" t="str">
            <v/>
          </cell>
          <cell r="M320" t="str">
            <v>ROLAND</v>
          </cell>
          <cell r="N320" t="str">
            <v>SANTIAGO M.</v>
          </cell>
          <cell r="AW320" t="str">
            <v/>
          </cell>
          <cell r="BA320" t="str">
            <v/>
          </cell>
        </row>
        <row r="321">
          <cell r="C321" t="str">
            <v>marzo</v>
          </cell>
          <cell r="D321" t="str">
            <v>N26-4031</v>
          </cell>
          <cell r="G321" t="str">
            <v>SUECA 0</v>
          </cell>
          <cell r="I321" t="str">
            <v>ESCOLAR NIÑO</v>
          </cell>
          <cell r="J321" t="str">
            <v/>
          </cell>
          <cell r="M321" t="str">
            <v>ROLAND</v>
          </cell>
          <cell r="N321" t="str">
            <v>SANTIAGO M.</v>
          </cell>
          <cell r="AW321" t="str">
            <v/>
          </cell>
          <cell r="BA321" t="str">
            <v/>
          </cell>
        </row>
        <row r="322">
          <cell r="C322" t="str">
            <v>marzo</v>
          </cell>
          <cell r="D322" t="str">
            <v>H26-3535</v>
          </cell>
          <cell r="G322" t="str">
            <v>SUECA CON FILO</v>
          </cell>
          <cell r="I322" t="str">
            <v>CABALLERO</v>
          </cell>
          <cell r="J322" t="str">
            <v/>
          </cell>
          <cell r="M322" t="str">
            <v>ROLAND</v>
          </cell>
          <cell r="N322" t="str">
            <v>SANTIAGO M.</v>
          </cell>
          <cell r="AW322" t="str">
            <v/>
          </cell>
          <cell r="BA322" t="str">
            <v/>
          </cell>
        </row>
        <row r="323">
          <cell r="C323" t="str">
            <v>marzo</v>
          </cell>
          <cell r="D323" t="str">
            <v>H26-3536</v>
          </cell>
          <cell r="G323" t="str">
            <v>DESTALONADA CON FILO</v>
          </cell>
          <cell r="I323" t="str">
            <v>CABALLERO</v>
          </cell>
          <cell r="J323" t="str">
            <v/>
          </cell>
          <cell r="M323" t="str">
            <v>ROLAND</v>
          </cell>
          <cell r="N323" t="str">
            <v>SANTIAGO M.</v>
          </cell>
          <cell r="AW323" t="str">
            <v/>
          </cell>
          <cell r="BA323" t="str">
            <v>ROLAND</v>
          </cell>
        </row>
        <row r="324">
          <cell r="C324" t="str">
            <v>marzo</v>
          </cell>
          <cell r="D324" t="str">
            <v>H26-3537</v>
          </cell>
          <cell r="G324" t="str">
            <v>SUECA 0</v>
          </cell>
          <cell r="I324" t="str">
            <v>CABALLERO</v>
          </cell>
          <cell r="J324" t="str">
            <v/>
          </cell>
          <cell r="M324" t="str">
            <v>ROLAND</v>
          </cell>
          <cell r="N324" t="str">
            <v>SANTIAGO M.</v>
          </cell>
          <cell r="AW324" t="str">
            <v/>
          </cell>
          <cell r="BA324" t="str">
            <v/>
          </cell>
        </row>
        <row r="325">
          <cell r="C325" t="str">
            <v>marzo</v>
          </cell>
          <cell r="D325" t="str">
            <v>H26-3538</v>
          </cell>
          <cell r="G325" t="str">
            <v>SUECA 0</v>
          </cell>
          <cell r="I325" t="str">
            <v>CABALLERO</v>
          </cell>
          <cell r="J325" t="str">
            <v/>
          </cell>
          <cell r="M325" t="str">
            <v>ROLAND</v>
          </cell>
          <cell r="N325" t="str">
            <v>SANTIAGO M.</v>
          </cell>
          <cell r="AW325" t="str">
            <v/>
          </cell>
          <cell r="BA325" t="str">
            <v/>
          </cell>
        </row>
        <row r="326">
          <cell r="C326" t="str">
            <v>marzo</v>
          </cell>
          <cell r="D326" t="str">
            <v>D26-4144</v>
          </cell>
          <cell r="G326" t="str">
            <v>SUECA 0</v>
          </cell>
          <cell r="I326" t="str">
            <v>DAMA</v>
          </cell>
          <cell r="J326" t="str">
            <v/>
          </cell>
          <cell r="M326" t="str">
            <v>GRAN AKI</v>
          </cell>
          <cell r="N326" t="str">
            <v>SANTIAGO M.</v>
          </cell>
          <cell r="AW326" t="str">
            <v/>
          </cell>
          <cell r="BA326" t="str">
            <v>GRAN AKI</v>
          </cell>
        </row>
        <row r="327">
          <cell r="C327" t="str">
            <v>marzo</v>
          </cell>
          <cell r="D327" t="str">
            <v>D26-4145</v>
          </cell>
          <cell r="G327" t="str">
            <v>SUECA 0</v>
          </cell>
          <cell r="I327" t="str">
            <v>DAMA</v>
          </cell>
          <cell r="J327" t="str">
            <v/>
          </cell>
          <cell r="M327" t="str">
            <v>GRAN AKI</v>
          </cell>
          <cell r="N327" t="str">
            <v>GABRIELA D.</v>
          </cell>
          <cell r="AW327" t="str">
            <v/>
          </cell>
          <cell r="BA327" t="str">
            <v>GRAN AKI</v>
          </cell>
        </row>
        <row r="328">
          <cell r="C328" t="str">
            <v>marzo</v>
          </cell>
          <cell r="D328" t="str">
            <v>D26-4146</v>
          </cell>
          <cell r="G328" t="str">
            <v>TALÓN 0</v>
          </cell>
          <cell r="I328" t="str">
            <v>DAMA</v>
          </cell>
          <cell r="J328" t="str">
            <v/>
          </cell>
          <cell r="M328" t="str">
            <v>GRAN AKI</v>
          </cell>
          <cell r="N328" t="str">
            <v>GABRIELA D.</v>
          </cell>
          <cell r="AW328" t="str">
            <v/>
          </cell>
          <cell r="BA328" t="str">
            <v>GRAN AKI</v>
          </cell>
        </row>
        <row r="329">
          <cell r="C329" t="str">
            <v>marzo</v>
          </cell>
          <cell r="D329" t="str">
            <v>D26-4147</v>
          </cell>
          <cell r="G329" t="str">
            <v>SANDALIA PUNTA ABIERTA</v>
          </cell>
          <cell r="I329" t="str">
            <v>DAMA</v>
          </cell>
          <cell r="J329" t="str">
            <v/>
          </cell>
          <cell r="M329" t="str">
            <v>MEGAMAXI</v>
          </cell>
          <cell r="N329" t="str">
            <v>GABRIELA D.</v>
          </cell>
          <cell r="AW329" t="str">
            <v/>
          </cell>
          <cell r="BA329" t="str">
            <v>MEGAMAXI</v>
          </cell>
        </row>
        <row r="330">
          <cell r="C330" t="str">
            <v>marzo</v>
          </cell>
          <cell r="D330" t="str">
            <v>H26-3539</v>
          </cell>
          <cell r="G330" t="str">
            <v>SUECA 0</v>
          </cell>
          <cell r="I330" t="str">
            <v>CABALLERO</v>
          </cell>
          <cell r="J330" t="str">
            <v/>
          </cell>
          <cell r="M330" t="str">
            <v>MEGAMAXI</v>
          </cell>
          <cell r="N330" t="str">
            <v>SANTIAGO M.</v>
          </cell>
          <cell r="AW330" t="str">
            <v/>
          </cell>
          <cell r="BA330" t="str">
            <v>MEGAMAXI</v>
          </cell>
        </row>
        <row r="331">
          <cell r="C331" t="str">
            <v>marzo</v>
          </cell>
          <cell r="D331" t="str">
            <v>D26-4148</v>
          </cell>
          <cell r="G331" t="str">
            <v>SANDALIA PUNTA ABIERTA CON VELCRO</v>
          </cell>
          <cell r="I331" t="str">
            <v>DAMA</v>
          </cell>
          <cell r="J331" t="str">
            <v/>
          </cell>
          <cell r="M331" t="str">
            <v>ROLAND</v>
          </cell>
          <cell r="N331" t="str">
            <v>GABRIELA D.</v>
          </cell>
          <cell r="AW331" t="str">
            <v/>
          </cell>
          <cell r="BA331" t="str">
            <v/>
          </cell>
        </row>
        <row r="332">
          <cell r="C332" t="str">
            <v>marzo</v>
          </cell>
          <cell r="D332" t="str">
            <v>D26-4149</v>
          </cell>
          <cell r="G332" t="str">
            <v>SANDALIA PUNTA ABIERTA CON VELCRO</v>
          </cell>
          <cell r="I332" t="str">
            <v>DAMA</v>
          </cell>
          <cell r="J332" t="str">
            <v/>
          </cell>
          <cell r="M332" t="str">
            <v>ROLAND</v>
          </cell>
          <cell r="N332" t="str">
            <v>GABRIELA D.</v>
          </cell>
          <cell r="AW332" t="str">
            <v/>
          </cell>
          <cell r="BA332" t="str">
            <v/>
          </cell>
        </row>
        <row r="333">
          <cell r="C333" t="str">
            <v>marzo</v>
          </cell>
          <cell r="D333" t="str">
            <v>D26-4150</v>
          </cell>
          <cell r="G333" t="str">
            <v>DESTALONADA 0</v>
          </cell>
          <cell r="I333" t="str">
            <v>DAMA</v>
          </cell>
          <cell r="J333" t="str">
            <v/>
          </cell>
          <cell r="M333" t="str">
            <v>ROLAND</v>
          </cell>
          <cell r="N333" t="str">
            <v>SANTIAGO M.</v>
          </cell>
          <cell r="AW333" t="str">
            <v/>
          </cell>
          <cell r="BA333" t="str">
            <v>ROLAND</v>
          </cell>
        </row>
        <row r="334">
          <cell r="C334" t="str">
            <v>marzo</v>
          </cell>
          <cell r="D334" t="str">
            <v>D26-4151</v>
          </cell>
          <cell r="G334" t="str">
            <v>SUECA 0</v>
          </cell>
          <cell r="I334" t="str">
            <v>DAMA</v>
          </cell>
          <cell r="J334" t="str">
            <v/>
          </cell>
          <cell r="M334" t="str">
            <v>ROLAND</v>
          </cell>
          <cell r="N334" t="str">
            <v>SANTIAGO M.</v>
          </cell>
          <cell r="AW334" t="str">
            <v/>
          </cell>
          <cell r="BA334" t="str">
            <v>ROLAND</v>
          </cell>
        </row>
        <row r="335">
          <cell r="C335" t="str">
            <v>marzo</v>
          </cell>
          <cell r="D335" t="str">
            <v>D26-4152</v>
          </cell>
          <cell r="G335" t="str">
            <v>SUECA 0</v>
          </cell>
          <cell r="I335" t="str">
            <v>DAMA</v>
          </cell>
          <cell r="J335" t="str">
            <v/>
          </cell>
          <cell r="M335" t="str">
            <v>ROLAND</v>
          </cell>
          <cell r="N335" t="str">
            <v>SANTIAGO M.</v>
          </cell>
          <cell r="AW335" t="str">
            <v/>
          </cell>
          <cell r="BA335" t="str">
            <v>ROLAND</v>
          </cell>
        </row>
        <row r="336">
          <cell r="C336" t="str">
            <v>marzo</v>
          </cell>
          <cell r="D336" t="str">
            <v>D26-4153</v>
          </cell>
          <cell r="G336" t="str">
            <v>SUECA 0</v>
          </cell>
          <cell r="I336" t="str">
            <v>DAMA</v>
          </cell>
          <cell r="J336" t="str">
            <v/>
          </cell>
          <cell r="M336" t="str">
            <v>ROLAND</v>
          </cell>
          <cell r="N336" t="str">
            <v>SANTIAGO M.</v>
          </cell>
          <cell r="AW336" t="str">
            <v/>
          </cell>
          <cell r="BA336" t="str">
            <v>ROLAND</v>
          </cell>
        </row>
        <row r="337">
          <cell r="C337" t="str">
            <v>marzo</v>
          </cell>
          <cell r="D337" t="str">
            <v>D26-4154</v>
          </cell>
          <cell r="G337" t="str">
            <v>DESTALONADA 0</v>
          </cell>
          <cell r="I337" t="str">
            <v>DAMA</v>
          </cell>
          <cell r="J337" t="str">
            <v/>
          </cell>
          <cell r="M337" t="str">
            <v>ROLAND</v>
          </cell>
          <cell r="N337" t="str">
            <v>SANTIAGO M.</v>
          </cell>
          <cell r="AW337" t="str">
            <v/>
          </cell>
          <cell r="BA337" t="str">
            <v>ROLAND</v>
          </cell>
        </row>
        <row r="338">
          <cell r="C338" t="str">
            <v>marzo</v>
          </cell>
          <cell r="D338" t="str">
            <v>D26-4155</v>
          </cell>
          <cell r="G338" t="str">
            <v>DESTALONADA 0</v>
          </cell>
          <cell r="I338" t="str">
            <v>DAMA</v>
          </cell>
          <cell r="J338" t="str">
            <v/>
          </cell>
          <cell r="M338" t="str">
            <v>ROLAND</v>
          </cell>
          <cell r="N338" t="str">
            <v>SANTIAGO M.</v>
          </cell>
          <cell r="AW338" t="str">
            <v/>
          </cell>
          <cell r="BA338" t="str">
            <v>ROLAND</v>
          </cell>
        </row>
        <row r="339">
          <cell r="C339" t="str">
            <v>marzo</v>
          </cell>
          <cell r="D339" t="str">
            <v>D26-4156</v>
          </cell>
          <cell r="G339" t="str">
            <v>SANDALIA CRUZADA EN X</v>
          </cell>
          <cell r="I339" t="str">
            <v>DAMA</v>
          </cell>
          <cell r="J339" t="str">
            <v/>
          </cell>
          <cell r="M339" t="str">
            <v>ROLAND</v>
          </cell>
          <cell r="N339" t="str">
            <v>GABRIELA D.</v>
          </cell>
          <cell r="AW339" t="str">
            <v/>
          </cell>
          <cell r="BA339" t="str">
            <v/>
          </cell>
        </row>
        <row r="340">
          <cell r="C340" t="str">
            <v>marzo</v>
          </cell>
          <cell r="D340" t="str">
            <v>D26-4157</v>
          </cell>
          <cell r="G340" t="str">
            <v>SANDALIA PUNTA ABIERTA</v>
          </cell>
          <cell r="I340" t="str">
            <v>DAMA</v>
          </cell>
          <cell r="J340" t="str">
            <v/>
          </cell>
          <cell r="M340" t="str">
            <v>ROLAND</v>
          </cell>
          <cell r="N340" t="str">
            <v>GABRIELA D.</v>
          </cell>
          <cell r="AW340" t="str">
            <v/>
          </cell>
          <cell r="BA340" t="str">
            <v/>
          </cell>
        </row>
        <row r="341">
          <cell r="C341" t="str">
            <v>marzo</v>
          </cell>
          <cell r="D341" t="str">
            <v>D26-4158</v>
          </cell>
          <cell r="G341" t="str">
            <v>SUECA 0</v>
          </cell>
          <cell r="I341" t="str">
            <v>DAMA</v>
          </cell>
          <cell r="J341" t="str">
            <v/>
          </cell>
          <cell r="M341" t="str">
            <v>ROLAND</v>
          </cell>
          <cell r="N341" t="str">
            <v>GABRIELA D.</v>
          </cell>
          <cell r="AW341" t="str">
            <v/>
          </cell>
          <cell r="BA341" t="str">
            <v>ROLAND</v>
          </cell>
        </row>
        <row r="342">
          <cell r="C342" t="str">
            <v>marzo</v>
          </cell>
          <cell r="D342" t="str">
            <v>D26-4159</v>
          </cell>
          <cell r="G342" t="str">
            <v>DESTALONADA 0</v>
          </cell>
          <cell r="I342" t="str">
            <v>DAMA</v>
          </cell>
          <cell r="J342" t="str">
            <v/>
          </cell>
          <cell r="M342" t="str">
            <v>ROLAND</v>
          </cell>
          <cell r="N342" t="str">
            <v>GABRIELA D.</v>
          </cell>
          <cell r="AW342" t="str">
            <v/>
          </cell>
          <cell r="BA342" t="str">
            <v>ROLAND</v>
          </cell>
        </row>
        <row r="343">
          <cell r="C343" t="str">
            <v>marzo</v>
          </cell>
          <cell r="D343" t="str">
            <v>H26-3540</v>
          </cell>
          <cell r="G343" t="str">
            <v>SUECA 0</v>
          </cell>
          <cell r="I343" t="str">
            <v>CABALLERO</v>
          </cell>
          <cell r="J343" t="str">
            <v/>
          </cell>
          <cell r="M343" t="str">
            <v>RM</v>
          </cell>
          <cell r="N343" t="str">
            <v>SANTIAGO M.</v>
          </cell>
          <cell r="AW343" t="str">
            <v/>
          </cell>
          <cell r="BA343" t="str">
            <v>RM</v>
          </cell>
        </row>
        <row r="344">
          <cell r="C344" t="str">
            <v>marzo</v>
          </cell>
          <cell r="D344" t="str">
            <v>H26-3541</v>
          </cell>
          <cell r="G344" t="str">
            <v>DESTALONADA 0</v>
          </cell>
          <cell r="I344" t="str">
            <v>CABALLERO</v>
          </cell>
          <cell r="J344" t="str">
            <v/>
          </cell>
          <cell r="M344" t="str">
            <v>RM</v>
          </cell>
          <cell r="N344" t="str">
            <v>SANTIAGO M.</v>
          </cell>
          <cell r="AW344" t="str">
            <v/>
          </cell>
          <cell r="BA344" t="str">
            <v>RM</v>
          </cell>
        </row>
        <row r="345">
          <cell r="C345" t="str">
            <v>marzo</v>
          </cell>
          <cell r="D345" t="str">
            <v>N26-4032</v>
          </cell>
          <cell r="G345" t="str">
            <v>DESTALONADA 0</v>
          </cell>
          <cell r="I345" t="str">
            <v>ESCOLAR NIÑO</v>
          </cell>
          <cell r="J345" t="str">
            <v/>
          </cell>
          <cell r="M345" t="str">
            <v>RM</v>
          </cell>
          <cell r="N345" t="str">
            <v>SANTIAGO M.</v>
          </cell>
          <cell r="AW345" t="str">
            <v/>
          </cell>
          <cell r="BA345" t="str">
            <v>RM</v>
          </cell>
        </row>
        <row r="346">
          <cell r="C346" t="str">
            <v>marzo</v>
          </cell>
          <cell r="D346" t="str">
            <v>H26-3543</v>
          </cell>
          <cell r="G346" t="str">
            <v>SUECA 0</v>
          </cell>
          <cell r="I346" t="str">
            <v>CABALLERO</v>
          </cell>
          <cell r="J346" t="str">
            <v/>
          </cell>
          <cell r="M346" t="str">
            <v>RM</v>
          </cell>
          <cell r="N346" t="str">
            <v>SANTIAGO M.</v>
          </cell>
          <cell r="AW346" t="str">
            <v/>
          </cell>
          <cell r="BA346" t="str">
            <v>RM</v>
          </cell>
        </row>
        <row r="347">
          <cell r="C347" t="str">
            <v>marzo</v>
          </cell>
          <cell r="D347" t="str">
            <v>H26-3544</v>
          </cell>
          <cell r="G347" t="str">
            <v>SUECA 0</v>
          </cell>
          <cell r="I347" t="str">
            <v>CABALLERO</v>
          </cell>
          <cell r="J347" t="str">
            <v/>
          </cell>
          <cell r="M347" t="str">
            <v>RM</v>
          </cell>
          <cell r="N347" t="str">
            <v>SANTIAGO M.</v>
          </cell>
          <cell r="AW347" t="str">
            <v/>
          </cell>
          <cell r="BA347" t="str">
            <v>RM</v>
          </cell>
        </row>
        <row r="348">
          <cell r="C348" t="str">
            <v>marzo</v>
          </cell>
          <cell r="D348" t="str">
            <v>H26-3545</v>
          </cell>
          <cell r="G348" t="str">
            <v>SUECA 0</v>
          </cell>
          <cell r="I348" t="str">
            <v>CABALLERO</v>
          </cell>
          <cell r="J348" t="str">
            <v/>
          </cell>
          <cell r="M348" t="str">
            <v>RM</v>
          </cell>
          <cell r="N348" t="str">
            <v>SANTIAGO M.</v>
          </cell>
          <cell r="AW348" t="str">
            <v/>
          </cell>
          <cell r="BA348" t="str">
            <v>RM</v>
          </cell>
        </row>
        <row r="349">
          <cell r="C349" t="str">
            <v>abril</v>
          </cell>
          <cell r="D349" t="str">
            <v>H26-3546</v>
          </cell>
          <cell r="G349" t="str">
            <v>DESTALONADA CON FILO DIVIDIDA STROBEL</v>
          </cell>
          <cell r="I349" t="str">
            <v>CABALLERO</v>
          </cell>
          <cell r="J349" t="str">
            <v/>
          </cell>
          <cell r="M349" t="str">
            <v>RM</v>
          </cell>
          <cell r="N349" t="str">
            <v>SANTIAGO M.</v>
          </cell>
          <cell r="AW349" t="str">
            <v/>
          </cell>
          <cell r="BA349" t="str">
            <v>RM</v>
          </cell>
        </row>
        <row r="350">
          <cell r="C350" t="str">
            <v>marzo</v>
          </cell>
          <cell r="D350" t="str">
            <v>N26-4033</v>
          </cell>
          <cell r="G350" t="str">
            <v>SUECA 0</v>
          </cell>
          <cell r="I350" t="str">
            <v>ESCOLAR NIÑO</v>
          </cell>
          <cell r="J350" t="str">
            <v/>
          </cell>
          <cell r="M350" t="str">
            <v>RM</v>
          </cell>
          <cell r="N350" t="str">
            <v>SANTIAGO M.</v>
          </cell>
          <cell r="AW350" t="str">
            <v/>
          </cell>
          <cell r="BA350" t="str">
            <v>RM</v>
          </cell>
        </row>
        <row r="351">
          <cell r="C351" t="str">
            <v>marzo</v>
          </cell>
          <cell r="D351" t="str">
            <v>N26-4034</v>
          </cell>
          <cell r="G351" t="str">
            <v>SUECA 0</v>
          </cell>
          <cell r="I351" t="str">
            <v>ESCOLAR NIÑO</v>
          </cell>
          <cell r="J351" t="str">
            <v/>
          </cell>
          <cell r="M351" t="str">
            <v>RM</v>
          </cell>
          <cell r="N351" t="str">
            <v>SANTIAGO M.</v>
          </cell>
          <cell r="AW351" t="str">
            <v/>
          </cell>
          <cell r="BA351" t="str">
            <v>RM</v>
          </cell>
        </row>
        <row r="352">
          <cell r="C352" t="str">
            <v>marzo</v>
          </cell>
          <cell r="D352" t="str">
            <v>N26-4035</v>
          </cell>
          <cell r="G352" t="str">
            <v>DESTALONADA 0</v>
          </cell>
          <cell r="I352" t="str">
            <v>ESCOLAR NIÑO</v>
          </cell>
          <cell r="J352" t="str">
            <v/>
          </cell>
          <cell r="M352" t="str">
            <v>RM</v>
          </cell>
          <cell r="N352" t="str">
            <v>SANTIAGO M.</v>
          </cell>
          <cell r="AW352" t="str">
            <v/>
          </cell>
          <cell r="BA352" t="str">
            <v>RM</v>
          </cell>
        </row>
        <row r="353">
          <cell r="C353" t="str">
            <v>marzo</v>
          </cell>
          <cell r="D353" t="str">
            <v>D26-4160</v>
          </cell>
          <cell r="G353" t="str">
            <v>DESTALONADA 0</v>
          </cell>
          <cell r="I353" t="str">
            <v>DAMA</v>
          </cell>
          <cell r="J353" t="str">
            <v/>
          </cell>
          <cell r="M353" t="str">
            <v>RM</v>
          </cell>
          <cell r="N353" t="str">
            <v>GABRIELA D.</v>
          </cell>
          <cell r="AW353" t="str">
            <v/>
          </cell>
          <cell r="BA353" t="str">
            <v>RM</v>
          </cell>
        </row>
        <row r="354">
          <cell r="C354" t="str">
            <v>marzo</v>
          </cell>
          <cell r="D354" t="str">
            <v>D26-4161</v>
          </cell>
          <cell r="G354" t="str">
            <v>DESTALONADA 0</v>
          </cell>
          <cell r="I354" t="str">
            <v>DAMA</v>
          </cell>
          <cell r="J354" t="str">
            <v/>
          </cell>
          <cell r="M354" t="str">
            <v>RM</v>
          </cell>
          <cell r="N354" t="str">
            <v>GABRIELA D.</v>
          </cell>
          <cell r="AW354" t="str">
            <v/>
          </cell>
          <cell r="BA354" t="str">
            <v>RM</v>
          </cell>
        </row>
        <row r="355">
          <cell r="C355" t="str">
            <v>marzo</v>
          </cell>
          <cell r="D355" t="str">
            <v>D26-4162</v>
          </cell>
          <cell r="G355" t="str">
            <v>DESTALONADA 0</v>
          </cell>
          <cell r="I355" t="str">
            <v>DAMA</v>
          </cell>
          <cell r="J355" t="str">
            <v/>
          </cell>
          <cell r="M355" t="str">
            <v>RM</v>
          </cell>
          <cell r="N355" t="str">
            <v>GABRIELA D.</v>
          </cell>
          <cell r="AW355" t="str">
            <v/>
          </cell>
          <cell r="BA355" t="str">
            <v>RM</v>
          </cell>
        </row>
        <row r="356">
          <cell r="C356" t="str">
            <v>marzo</v>
          </cell>
          <cell r="D356" t="str">
            <v>G26-5090</v>
          </cell>
          <cell r="G356" t="str">
            <v>DESTALONADA 0</v>
          </cell>
          <cell r="I356" t="str">
            <v>ESCOLAR NIÑA</v>
          </cell>
          <cell r="J356" t="str">
            <v/>
          </cell>
          <cell r="M356" t="str">
            <v>RM</v>
          </cell>
          <cell r="N356" t="str">
            <v>GABRIELA D.</v>
          </cell>
          <cell r="AW356" t="str">
            <v/>
          </cell>
          <cell r="BA356" t="str">
            <v>RM</v>
          </cell>
        </row>
        <row r="357">
          <cell r="C357" t="str">
            <v>marzo</v>
          </cell>
          <cell r="D357" t="str">
            <v>G26-5091</v>
          </cell>
          <cell r="G357" t="str">
            <v>DESTALONADA 0</v>
          </cell>
          <cell r="I357" t="str">
            <v>ESCOLAR NIÑA</v>
          </cell>
          <cell r="J357" t="str">
            <v/>
          </cell>
          <cell r="M357" t="str">
            <v>RM</v>
          </cell>
          <cell r="N357" t="str">
            <v>GABRIELA D.</v>
          </cell>
          <cell r="AW357" t="str">
            <v/>
          </cell>
          <cell r="BA357" t="str">
            <v>RM</v>
          </cell>
        </row>
        <row r="358">
          <cell r="C358" t="str">
            <v>marzo</v>
          </cell>
          <cell r="D358" t="str">
            <v>G26-5092</v>
          </cell>
          <cell r="G358" t="str">
            <v>SUECA 0</v>
          </cell>
          <cell r="I358" t="str">
            <v>ESCOLAR NIÑA</v>
          </cell>
          <cell r="J358" t="str">
            <v/>
          </cell>
          <cell r="M358" t="str">
            <v>RM</v>
          </cell>
          <cell r="N358" t="str">
            <v>GABRIELA D.</v>
          </cell>
          <cell r="AW358" t="str">
            <v/>
          </cell>
          <cell r="BA358" t="str">
            <v>RM</v>
          </cell>
        </row>
        <row r="359">
          <cell r="C359" t="str">
            <v>marzo</v>
          </cell>
          <cell r="D359" t="str">
            <v>G26-5093</v>
          </cell>
          <cell r="G359" t="str">
            <v>DESTALONADA 0</v>
          </cell>
          <cell r="I359" t="str">
            <v>ESCOLAR NIÑA</v>
          </cell>
          <cell r="J359" t="str">
            <v/>
          </cell>
          <cell r="M359" t="str">
            <v>RM</v>
          </cell>
          <cell r="N359" t="str">
            <v>GABRIELA D.</v>
          </cell>
          <cell r="AW359" t="str">
            <v/>
          </cell>
          <cell r="BA359" t="str">
            <v>RM</v>
          </cell>
        </row>
        <row r="360">
          <cell r="C360" t="str">
            <v>marzo</v>
          </cell>
          <cell r="D360" t="str">
            <v>G26-5094</v>
          </cell>
          <cell r="G360" t="str">
            <v>ZAPATO VELCRO</v>
          </cell>
          <cell r="I360" t="str">
            <v>PREESCOLAR NIÑA</v>
          </cell>
          <cell r="J360" t="str">
            <v/>
          </cell>
          <cell r="M360" t="str">
            <v>RM</v>
          </cell>
          <cell r="N360" t="str">
            <v>GABRIELA D.</v>
          </cell>
          <cell r="AW360" t="str">
            <v/>
          </cell>
          <cell r="BA360" t="str">
            <v>RM</v>
          </cell>
        </row>
        <row r="361">
          <cell r="C361" t="str">
            <v>marzo</v>
          </cell>
          <cell r="D361" t="str">
            <v>G26-5095</v>
          </cell>
          <cell r="G361" t="str">
            <v>TALÓN 0</v>
          </cell>
          <cell r="I361" t="str">
            <v>PREESCOLAR NIÑA</v>
          </cell>
          <cell r="J361" t="str">
            <v/>
          </cell>
          <cell r="M361" t="str">
            <v>RM</v>
          </cell>
          <cell r="N361" t="str">
            <v>GABRIELA D.</v>
          </cell>
          <cell r="AW361" t="str">
            <v/>
          </cell>
          <cell r="BA361" t="str">
            <v>RM</v>
          </cell>
        </row>
        <row r="362">
          <cell r="C362" t="str">
            <v>marzo</v>
          </cell>
          <cell r="D362" t="str">
            <v>G26-5096</v>
          </cell>
          <cell r="G362" t="str">
            <v>TALÓN 0</v>
          </cell>
          <cell r="I362" t="str">
            <v>PREESCOLAR NIÑA</v>
          </cell>
          <cell r="J362" t="str">
            <v/>
          </cell>
          <cell r="M362" t="str">
            <v>RM</v>
          </cell>
          <cell r="N362" t="str">
            <v>GABRIELA D.</v>
          </cell>
          <cell r="AW362" t="str">
            <v/>
          </cell>
          <cell r="BA362" t="str">
            <v>RM</v>
          </cell>
        </row>
        <row r="363">
          <cell r="C363" t="str">
            <v>marzo</v>
          </cell>
          <cell r="D363" t="str">
            <v>N26-4036</v>
          </cell>
          <cell r="G363" t="str">
            <v>TALÓN 0</v>
          </cell>
          <cell r="I363" t="str">
            <v>PREESCOLAR NIÑO</v>
          </cell>
          <cell r="J363" t="str">
            <v/>
          </cell>
          <cell r="M363" t="str">
            <v>RM</v>
          </cell>
          <cell r="N363" t="str">
            <v>SANTIAGO M.</v>
          </cell>
          <cell r="AW363" t="str">
            <v/>
          </cell>
          <cell r="BA363" t="str">
            <v>RM</v>
          </cell>
        </row>
        <row r="364">
          <cell r="C364" t="str">
            <v>marzo</v>
          </cell>
          <cell r="D364" t="str">
            <v>N26-4037</v>
          </cell>
          <cell r="G364" t="str">
            <v>ZAPATO VELCRO</v>
          </cell>
          <cell r="I364" t="str">
            <v>PREESCOLAR NIÑO</v>
          </cell>
          <cell r="J364" t="str">
            <v/>
          </cell>
          <cell r="M364" t="str">
            <v>RM</v>
          </cell>
          <cell r="N364" t="str">
            <v>SANTIAGO M.</v>
          </cell>
          <cell r="AW364" t="str">
            <v/>
          </cell>
          <cell r="BA364" t="str">
            <v>RM</v>
          </cell>
        </row>
        <row r="365">
          <cell r="C365" t="str">
            <v>marzo</v>
          </cell>
          <cell r="D365" t="str">
            <v>N26-4038</v>
          </cell>
          <cell r="G365" t="str">
            <v>TALÓN 0</v>
          </cell>
          <cell r="I365" t="str">
            <v>PREESCOLAR NIÑO</v>
          </cell>
          <cell r="J365" t="str">
            <v/>
          </cell>
          <cell r="M365" t="str">
            <v>RM</v>
          </cell>
          <cell r="N365" t="str">
            <v>SANTIAGO M.</v>
          </cell>
          <cell r="AW365" t="str">
            <v/>
          </cell>
          <cell r="BA365" t="str">
            <v>RM</v>
          </cell>
        </row>
        <row r="366">
          <cell r="C366" t="str">
            <v>marzo</v>
          </cell>
          <cell r="D366" t="str">
            <v>N26-4039</v>
          </cell>
          <cell r="G366" t="str">
            <v>SUECA 0</v>
          </cell>
          <cell r="I366" t="str">
            <v>ESCOLAR NIÑO</v>
          </cell>
          <cell r="J366" t="str">
            <v/>
          </cell>
          <cell r="M366" t="str">
            <v>ROSADO</v>
          </cell>
          <cell r="N366" t="str">
            <v>SANTIAGO M.</v>
          </cell>
          <cell r="AW366" t="str">
            <v/>
          </cell>
          <cell r="BA366" t="str">
            <v>ROSADO</v>
          </cell>
        </row>
        <row r="367">
          <cell r="C367" t="str">
            <v>marzo</v>
          </cell>
          <cell r="D367" t="str">
            <v>N26-4040</v>
          </cell>
          <cell r="G367" t="str">
            <v>DESTALONADA 0</v>
          </cell>
          <cell r="I367" t="str">
            <v>ESCOLAR NIÑO</v>
          </cell>
          <cell r="J367" t="str">
            <v/>
          </cell>
          <cell r="M367" t="str">
            <v>ROSADO</v>
          </cell>
          <cell r="N367" t="str">
            <v>SANTIAGO M.</v>
          </cell>
          <cell r="AW367" t="str">
            <v/>
          </cell>
          <cell r="BA367" t="str">
            <v>ROSADO</v>
          </cell>
        </row>
        <row r="368">
          <cell r="C368" t="str">
            <v>marzo</v>
          </cell>
          <cell r="D368" t="str">
            <v>N26-4041</v>
          </cell>
          <cell r="G368" t="str">
            <v>SUECA 0</v>
          </cell>
          <cell r="I368" t="str">
            <v>ESCOLAR NIÑO</v>
          </cell>
          <cell r="J368" t="str">
            <v/>
          </cell>
          <cell r="M368" t="str">
            <v>ROSADO</v>
          </cell>
          <cell r="N368" t="str">
            <v>SANTIAGO M.</v>
          </cell>
          <cell r="AW368" t="str">
            <v/>
          </cell>
          <cell r="BA368" t="str">
            <v>ROSADO</v>
          </cell>
        </row>
        <row r="369">
          <cell r="C369" t="str">
            <v>marzo</v>
          </cell>
          <cell r="D369" t="str">
            <v>N26-4042</v>
          </cell>
          <cell r="G369" t="str">
            <v>DESTALONADA 0</v>
          </cell>
          <cell r="I369" t="str">
            <v>ESCOLAR NIÑO</v>
          </cell>
          <cell r="J369" t="str">
            <v/>
          </cell>
          <cell r="M369" t="str">
            <v>ROSADO</v>
          </cell>
          <cell r="N369" t="str">
            <v>SANTIAGO M.</v>
          </cell>
          <cell r="AW369" t="str">
            <v/>
          </cell>
          <cell r="BA369" t="str">
            <v>ROSADO</v>
          </cell>
        </row>
        <row r="370">
          <cell r="C370" t="str">
            <v>marzo</v>
          </cell>
          <cell r="D370" t="str">
            <v>N26-4043</v>
          </cell>
          <cell r="G370" t="str">
            <v>DESTALONADA 0</v>
          </cell>
          <cell r="I370" t="str">
            <v>ESCOLAR NIÑO</v>
          </cell>
          <cell r="J370" t="str">
            <v/>
          </cell>
          <cell r="M370" t="str">
            <v>ROSADO</v>
          </cell>
          <cell r="N370" t="str">
            <v>SANTIAGO M.</v>
          </cell>
          <cell r="AW370" t="str">
            <v/>
          </cell>
          <cell r="BA370" t="str">
            <v>ROSADO</v>
          </cell>
        </row>
        <row r="371">
          <cell r="C371" t="str">
            <v>marzo</v>
          </cell>
          <cell r="D371" t="str">
            <v>N26-4044</v>
          </cell>
          <cell r="G371" t="str">
            <v>BABUCHA GARRA</v>
          </cell>
          <cell r="I371" t="str">
            <v>ESCOLAR NIÑO</v>
          </cell>
          <cell r="J371" t="str">
            <v/>
          </cell>
          <cell r="M371" t="str">
            <v>ROSADO</v>
          </cell>
          <cell r="N371" t="str">
            <v>SANTIAGO M.</v>
          </cell>
          <cell r="AW371" t="str">
            <v/>
          </cell>
          <cell r="BA371" t="str">
            <v>ROSADO</v>
          </cell>
        </row>
        <row r="372">
          <cell r="C372" t="str">
            <v>marzo</v>
          </cell>
          <cell r="D372" t="str">
            <v>D26-4163</v>
          </cell>
          <cell r="G372" t="str">
            <v>SANDALIA CRUZADA EN X</v>
          </cell>
          <cell r="I372" t="str">
            <v>DAMA</v>
          </cell>
          <cell r="J372" t="str">
            <v/>
          </cell>
          <cell r="M372" t="str">
            <v>ROLAND</v>
          </cell>
          <cell r="N372" t="str">
            <v>GABRIELA D.</v>
          </cell>
          <cell r="AW372" t="str">
            <v/>
          </cell>
          <cell r="BA372" t="str">
            <v>ROLAND</v>
          </cell>
        </row>
        <row r="373">
          <cell r="C373" t="str">
            <v>marzo</v>
          </cell>
          <cell r="D373" t="str">
            <v>D26-4164</v>
          </cell>
          <cell r="G373" t="str">
            <v>SANDALIA PUNTA ABIERTA</v>
          </cell>
          <cell r="I373" t="str">
            <v>DAMA</v>
          </cell>
          <cell r="J373" t="str">
            <v/>
          </cell>
          <cell r="M373" t="str">
            <v>ROLAND</v>
          </cell>
          <cell r="N373" t="str">
            <v>GABRIELA D.</v>
          </cell>
          <cell r="AW373" t="str">
            <v/>
          </cell>
          <cell r="BA373" t="str">
            <v>ROLAND</v>
          </cell>
        </row>
        <row r="374">
          <cell r="C374" t="str">
            <v>marzo</v>
          </cell>
          <cell r="D374" t="str">
            <v>D26-4165</v>
          </cell>
          <cell r="G374" t="str">
            <v>DESTALONADA 0</v>
          </cell>
          <cell r="I374" t="str">
            <v>DAMA</v>
          </cell>
          <cell r="J374" t="str">
            <v/>
          </cell>
          <cell r="M374" t="str">
            <v>ROLAND</v>
          </cell>
          <cell r="N374" t="str">
            <v>GABRIELA D.</v>
          </cell>
          <cell r="AW374" t="str">
            <v/>
          </cell>
          <cell r="BA374" t="str">
            <v>ROLAND</v>
          </cell>
        </row>
        <row r="375">
          <cell r="C375" t="str">
            <v>marzo</v>
          </cell>
          <cell r="D375" t="str">
            <v>D26-4166</v>
          </cell>
          <cell r="G375" t="str">
            <v>DESTALONADA 0</v>
          </cell>
          <cell r="I375" t="str">
            <v>DAMA</v>
          </cell>
          <cell r="J375" t="str">
            <v/>
          </cell>
          <cell r="M375" t="str">
            <v>ROLAND</v>
          </cell>
          <cell r="N375" t="str">
            <v>GABRIELA D.</v>
          </cell>
          <cell r="AW375" t="str">
            <v/>
          </cell>
          <cell r="BA375" t="str">
            <v>ROLAND</v>
          </cell>
        </row>
        <row r="376">
          <cell r="C376" t="str">
            <v>marzo</v>
          </cell>
          <cell r="D376" t="str">
            <v>D26-4167</v>
          </cell>
          <cell r="G376" t="str">
            <v>DESTALONADA 0</v>
          </cell>
          <cell r="I376" t="str">
            <v>DAMA</v>
          </cell>
          <cell r="J376" t="str">
            <v/>
          </cell>
          <cell r="M376" t="str">
            <v>ROLAND</v>
          </cell>
          <cell r="N376" t="str">
            <v>GABRIELA D.</v>
          </cell>
          <cell r="AW376" t="str">
            <v/>
          </cell>
          <cell r="BA376" t="str">
            <v>ROLAND</v>
          </cell>
        </row>
        <row r="377">
          <cell r="C377" t="str">
            <v>marzo</v>
          </cell>
          <cell r="D377" t="str">
            <v>D26-4168</v>
          </cell>
          <cell r="G377" t="str">
            <v>DESTALONADA 0</v>
          </cell>
          <cell r="I377" t="str">
            <v>DAMA</v>
          </cell>
          <cell r="J377" t="str">
            <v/>
          </cell>
          <cell r="M377" t="str">
            <v>ROLAND</v>
          </cell>
          <cell r="N377" t="str">
            <v>GABRIELA D.</v>
          </cell>
          <cell r="AW377" t="str">
            <v/>
          </cell>
          <cell r="BA377" t="str">
            <v>ROLAND</v>
          </cell>
        </row>
        <row r="378">
          <cell r="C378" t="str">
            <v>abril</v>
          </cell>
          <cell r="D378" t="str">
            <v>D26-4169</v>
          </cell>
          <cell r="G378" t="str">
            <v>SANDALIA TRES PIEZAS</v>
          </cell>
          <cell r="I378" t="str">
            <v>DAMA</v>
          </cell>
          <cell r="J378" t="str">
            <v/>
          </cell>
          <cell r="M378" t="str">
            <v>ROLAND</v>
          </cell>
          <cell r="N378" t="str">
            <v>GABRIELA D.</v>
          </cell>
          <cell r="AW378" t="str">
            <v/>
          </cell>
          <cell r="BA378" t="str">
            <v/>
          </cell>
        </row>
        <row r="379">
          <cell r="C379" t="str">
            <v>marzo</v>
          </cell>
          <cell r="D379" t="str">
            <v>H26-3542</v>
          </cell>
          <cell r="G379" t="str">
            <v>TALÓN 0</v>
          </cell>
          <cell r="I379" t="str">
            <v>CABALLERO</v>
          </cell>
          <cell r="J379" t="str">
            <v/>
          </cell>
          <cell r="M379" t="str">
            <v>ROLAND</v>
          </cell>
          <cell r="N379" t="str">
            <v>GABRIELA D.</v>
          </cell>
          <cell r="AW379" t="str">
            <v/>
          </cell>
          <cell r="BA379" t="str">
            <v>ROLAND</v>
          </cell>
        </row>
        <row r="380">
          <cell r="C380" t="str">
            <v>marzo</v>
          </cell>
          <cell r="D380" t="str">
            <v>H26-3547</v>
          </cell>
          <cell r="G380" t="str">
            <v>SUECA MEDALLÓN</v>
          </cell>
          <cell r="I380" t="str">
            <v>CABALLERO</v>
          </cell>
          <cell r="J380" t="str">
            <v/>
          </cell>
          <cell r="M380" t="str">
            <v>ROLAND</v>
          </cell>
          <cell r="N380" t="str">
            <v>SANTIAGO M.</v>
          </cell>
          <cell r="AW380" t="str">
            <v/>
          </cell>
          <cell r="BA380" t="str">
            <v>ROLAND</v>
          </cell>
        </row>
        <row r="381">
          <cell r="C381" t="str">
            <v>marzo</v>
          </cell>
          <cell r="D381" t="str">
            <v>H26-3548</v>
          </cell>
          <cell r="G381" t="str">
            <v>DESTALONADA DESPIECE COSTADO</v>
          </cell>
          <cell r="I381" t="str">
            <v>CABALLERO</v>
          </cell>
          <cell r="J381" t="str">
            <v/>
          </cell>
          <cell r="M381" t="str">
            <v>ROLAND</v>
          </cell>
          <cell r="N381" t="str">
            <v>SANTIAGO M.</v>
          </cell>
          <cell r="AW381" t="str">
            <v/>
          </cell>
          <cell r="BA381" t="str">
            <v>ROLAND</v>
          </cell>
        </row>
        <row r="382">
          <cell r="C382" t="str">
            <v>marzo</v>
          </cell>
          <cell r="D382" t="str">
            <v>N26-4045</v>
          </cell>
          <cell r="G382" t="str">
            <v>TALÓN 0</v>
          </cell>
          <cell r="I382" t="str">
            <v>PREESCOLAR NIÑO</v>
          </cell>
          <cell r="J382" t="str">
            <v/>
          </cell>
          <cell r="M382" t="str">
            <v>ROSADO</v>
          </cell>
          <cell r="N382" t="str">
            <v>SANTIAGO M.</v>
          </cell>
          <cell r="AW382" t="str">
            <v/>
          </cell>
          <cell r="BA382" t="str">
            <v>ROSADO</v>
          </cell>
        </row>
        <row r="383">
          <cell r="C383" t="str">
            <v>marzo</v>
          </cell>
          <cell r="D383" t="str">
            <v>N26-4046</v>
          </cell>
          <cell r="G383" t="str">
            <v>TALÓN 0</v>
          </cell>
          <cell r="I383" t="str">
            <v>PREESCOLAR NIÑO</v>
          </cell>
          <cell r="J383" t="str">
            <v/>
          </cell>
          <cell r="M383" t="str">
            <v>ROSADO</v>
          </cell>
          <cell r="N383" t="str">
            <v>SANTIAGO M.</v>
          </cell>
          <cell r="AW383" t="str">
            <v/>
          </cell>
          <cell r="BA383" t="str">
            <v>ROSADO</v>
          </cell>
        </row>
        <row r="384">
          <cell r="C384" t="str">
            <v>marzo</v>
          </cell>
          <cell r="D384" t="str">
            <v>N26-4047</v>
          </cell>
          <cell r="G384" t="str">
            <v>TALÓN 0</v>
          </cell>
          <cell r="I384" t="str">
            <v>PREESCOLAR NIÑO</v>
          </cell>
          <cell r="J384" t="str">
            <v/>
          </cell>
          <cell r="M384" t="str">
            <v>ROSADO</v>
          </cell>
          <cell r="N384" t="str">
            <v>SANTIAGO M.</v>
          </cell>
          <cell r="AW384" t="str">
            <v/>
          </cell>
          <cell r="BA384" t="str">
            <v>ROSADO</v>
          </cell>
        </row>
        <row r="385">
          <cell r="C385" t="str">
            <v>marzo</v>
          </cell>
          <cell r="D385" t="str">
            <v>N26-4048</v>
          </cell>
          <cell r="G385" t="str">
            <v>TALÓN 0</v>
          </cell>
          <cell r="I385" t="str">
            <v>PREESCOLAR NIÑO</v>
          </cell>
          <cell r="J385" t="str">
            <v/>
          </cell>
          <cell r="M385" t="str">
            <v>ROSADO</v>
          </cell>
          <cell r="N385" t="str">
            <v>SANTIAGO M.</v>
          </cell>
          <cell r="AW385" t="str">
            <v/>
          </cell>
          <cell r="BA385" t="str">
            <v>ROSADO</v>
          </cell>
        </row>
        <row r="386">
          <cell r="C386" t="str">
            <v>marzo</v>
          </cell>
          <cell r="D386" t="str">
            <v>N26-4049</v>
          </cell>
          <cell r="G386" t="str">
            <v>TALÓN 0</v>
          </cell>
          <cell r="I386" t="str">
            <v>PREESCOLAR NIÑO</v>
          </cell>
          <cell r="J386" t="str">
            <v/>
          </cell>
          <cell r="M386" t="str">
            <v>ROSADO</v>
          </cell>
          <cell r="N386" t="str">
            <v>SANTIAGO M.</v>
          </cell>
          <cell r="AW386" t="str">
            <v/>
          </cell>
          <cell r="BA386" t="str">
            <v>ROSADO</v>
          </cell>
        </row>
        <row r="387">
          <cell r="C387" t="str">
            <v>marzo</v>
          </cell>
          <cell r="D387" t="str">
            <v>SPD-124</v>
          </cell>
          <cell r="G387" t="str">
            <v>DESTALONADA 0</v>
          </cell>
          <cell r="I387" t="str">
            <v>ESCOLAR NIÑO</v>
          </cell>
          <cell r="J387" t="str">
            <v>MARVEL</v>
          </cell>
          <cell r="M387" t="str">
            <v>ROSADO</v>
          </cell>
          <cell r="N387" t="str">
            <v>SANTIAGO M.</v>
          </cell>
          <cell r="AW387" t="str">
            <v/>
          </cell>
          <cell r="BA387" t="str">
            <v>ROSADO</v>
          </cell>
        </row>
        <row r="388">
          <cell r="C388" t="str">
            <v>marzo</v>
          </cell>
          <cell r="D388" t="str">
            <v>SPD-125</v>
          </cell>
          <cell r="G388" t="str">
            <v>SUECA 0</v>
          </cell>
          <cell r="I388" t="str">
            <v>ESCOLAR NIÑO</v>
          </cell>
          <cell r="J388" t="str">
            <v>MARVEL</v>
          </cell>
          <cell r="M388" t="str">
            <v>ROSADO</v>
          </cell>
          <cell r="N388" t="str">
            <v>SANTIAGO M.</v>
          </cell>
          <cell r="AW388" t="str">
            <v/>
          </cell>
          <cell r="BA388" t="str">
            <v>ROSADO</v>
          </cell>
        </row>
        <row r="389">
          <cell r="C389" t="str">
            <v>marzo</v>
          </cell>
          <cell r="D389" t="str">
            <v>TOY-010</v>
          </cell>
          <cell r="G389" t="str">
            <v>DESTALONADA 0</v>
          </cell>
          <cell r="I389" t="str">
            <v>ESCOLAR NIÑO</v>
          </cell>
          <cell r="J389" t="str">
            <v>DISNEY</v>
          </cell>
          <cell r="M389" t="str">
            <v>ROSADO</v>
          </cell>
          <cell r="N389" t="str">
            <v>SANTIAGO M.</v>
          </cell>
          <cell r="AW389" t="str">
            <v/>
          </cell>
          <cell r="BA389" t="str">
            <v>ROSADO</v>
          </cell>
        </row>
        <row r="390">
          <cell r="C390" t="str">
            <v>marzo</v>
          </cell>
          <cell r="D390" t="str">
            <v>TOY-011</v>
          </cell>
          <cell r="G390" t="str">
            <v>DESTALONADA 0</v>
          </cell>
          <cell r="I390" t="str">
            <v>ESCOLAR NIÑO</v>
          </cell>
          <cell r="J390" t="str">
            <v>DISNEY</v>
          </cell>
          <cell r="M390" t="str">
            <v>ROSADO</v>
          </cell>
          <cell r="N390" t="str">
            <v>SANTIAGO M.</v>
          </cell>
          <cell r="AW390" t="str">
            <v/>
          </cell>
          <cell r="BA390" t="str">
            <v>ROSADO</v>
          </cell>
        </row>
        <row r="391">
          <cell r="C391" t="str">
            <v>marzo</v>
          </cell>
          <cell r="D391" t="str">
            <v>SPY-018</v>
          </cell>
          <cell r="G391" t="str">
            <v>BOTA 0</v>
          </cell>
          <cell r="I391" t="str">
            <v>PREESCOLAR NIÑO</v>
          </cell>
          <cell r="J391" t="str">
            <v>MARVEL</v>
          </cell>
          <cell r="M391" t="str">
            <v>ROSADO</v>
          </cell>
          <cell r="N391" t="str">
            <v>SANTIAGO M.</v>
          </cell>
          <cell r="AW391" t="str">
            <v/>
          </cell>
          <cell r="BA391" t="str">
            <v>ROSADO</v>
          </cell>
        </row>
        <row r="392">
          <cell r="C392" t="str">
            <v>marzo</v>
          </cell>
          <cell r="D392" t="str">
            <v>SPY-019</v>
          </cell>
          <cell r="G392" t="str">
            <v>TALÓN 0</v>
          </cell>
          <cell r="I392" t="str">
            <v>PREESCOLAR NIÑO</v>
          </cell>
          <cell r="J392" t="str">
            <v>MARVEL</v>
          </cell>
          <cell r="M392" t="str">
            <v>ROSADO</v>
          </cell>
          <cell r="N392" t="str">
            <v>SANTIAGO M.</v>
          </cell>
          <cell r="AW392" t="str">
            <v/>
          </cell>
          <cell r="BA392" t="str">
            <v>ROSADO</v>
          </cell>
        </row>
        <row r="393">
          <cell r="C393" t="str">
            <v>marzo</v>
          </cell>
          <cell r="D393" t="str">
            <v>MIN-158</v>
          </cell>
          <cell r="G393" t="str">
            <v>TALÓN 0</v>
          </cell>
          <cell r="I393" t="str">
            <v>PREESCOLAR NIÑA</v>
          </cell>
          <cell r="J393" t="str">
            <v>DISNEY</v>
          </cell>
          <cell r="M393" t="str">
            <v>ROSADO</v>
          </cell>
          <cell r="N393" t="str">
            <v>GABRIELA D.</v>
          </cell>
          <cell r="AW393" t="str">
            <v/>
          </cell>
          <cell r="BA393" t="str">
            <v>ROSADO</v>
          </cell>
        </row>
        <row r="394">
          <cell r="C394" t="str">
            <v>marzo</v>
          </cell>
          <cell r="D394" t="str">
            <v>LIL-050</v>
          </cell>
          <cell r="G394" t="str">
            <v>TALÓN 0</v>
          </cell>
          <cell r="I394" t="str">
            <v>PREESCOLAR NIÑA</v>
          </cell>
          <cell r="J394" t="str">
            <v>DISNEY</v>
          </cell>
          <cell r="M394" t="str">
            <v>ROSADO</v>
          </cell>
          <cell r="N394" t="str">
            <v>GABRIELA D.</v>
          </cell>
          <cell r="AW394" t="str">
            <v/>
          </cell>
          <cell r="BA394" t="str">
            <v>ROSADO</v>
          </cell>
        </row>
        <row r="395">
          <cell r="C395" t="str">
            <v>marzo</v>
          </cell>
          <cell r="D395" t="str">
            <v>LIL-051</v>
          </cell>
          <cell r="G395" t="str">
            <v>BOTA 0</v>
          </cell>
          <cell r="I395" t="str">
            <v>PREESCOLAR NIÑA</v>
          </cell>
          <cell r="J395" t="str">
            <v>DISNEY</v>
          </cell>
          <cell r="M395" t="str">
            <v>ROSADO</v>
          </cell>
          <cell r="N395" t="str">
            <v>GABRIELA D.</v>
          </cell>
          <cell r="AW395" t="str">
            <v/>
          </cell>
          <cell r="BA395" t="str">
            <v>ROSADO</v>
          </cell>
        </row>
        <row r="396">
          <cell r="C396" t="str">
            <v>marzo</v>
          </cell>
          <cell r="D396" t="str">
            <v>D26-4170</v>
          </cell>
          <cell r="G396" t="str">
            <v>SUECA 0</v>
          </cell>
          <cell r="I396" t="str">
            <v>DAMA</v>
          </cell>
          <cell r="J396" t="str">
            <v/>
          </cell>
          <cell r="M396" t="str">
            <v>RM</v>
          </cell>
          <cell r="N396" t="str">
            <v>GABRIELA D.</v>
          </cell>
          <cell r="AW396" t="str">
            <v/>
          </cell>
          <cell r="BA396" t="str">
            <v>RM</v>
          </cell>
        </row>
        <row r="397">
          <cell r="C397" t="str">
            <v>marzo</v>
          </cell>
          <cell r="D397" t="str">
            <v>D26-4171</v>
          </cell>
          <cell r="G397" t="str">
            <v>DESTALONADA 0</v>
          </cell>
          <cell r="I397" t="str">
            <v>DAMA</v>
          </cell>
          <cell r="J397" t="str">
            <v/>
          </cell>
          <cell r="M397" t="str">
            <v>RM</v>
          </cell>
          <cell r="N397" t="str">
            <v>GABRIELA D.</v>
          </cell>
          <cell r="AW397" t="str">
            <v/>
          </cell>
          <cell r="BA397" t="str">
            <v>RM</v>
          </cell>
        </row>
        <row r="398">
          <cell r="C398" t="str">
            <v>marzo</v>
          </cell>
          <cell r="D398" t="str">
            <v>D26-4172</v>
          </cell>
          <cell r="G398" t="str">
            <v>SUECA 0</v>
          </cell>
          <cell r="I398" t="str">
            <v>DAMA</v>
          </cell>
          <cell r="J398" t="str">
            <v/>
          </cell>
          <cell r="M398" t="str">
            <v>RM</v>
          </cell>
          <cell r="N398" t="str">
            <v>GABRIELA D.</v>
          </cell>
          <cell r="AW398" t="str">
            <v/>
          </cell>
          <cell r="BA398" t="str">
            <v>RM</v>
          </cell>
        </row>
        <row r="399">
          <cell r="C399" t="str">
            <v>marzo</v>
          </cell>
          <cell r="D399" t="str">
            <v>N26-4050</v>
          </cell>
          <cell r="G399" t="str">
            <v>TALÓN 0</v>
          </cell>
          <cell r="I399" t="str">
            <v>PREESCOLAR NIÑO</v>
          </cell>
          <cell r="J399" t="str">
            <v/>
          </cell>
          <cell r="M399" t="str">
            <v>DE PRATI</v>
          </cell>
          <cell r="N399" t="str">
            <v>SANTIAGO M.</v>
          </cell>
          <cell r="AW399" t="str">
            <v/>
          </cell>
          <cell r="BA399" t="str">
            <v/>
          </cell>
        </row>
        <row r="400">
          <cell r="C400" t="str">
            <v>marzo</v>
          </cell>
          <cell r="D400" t="str">
            <v>N26-4051</v>
          </cell>
          <cell r="G400" t="str">
            <v>TALÓN 0</v>
          </cell>
          <cell r="I400" t="str">
            <v>PREESCOLAR NIÑO</v>
          </cell>
          <cell r="J400" t="str">
            <v/>
          </cell>
          <cell r="M400" t="str">
            <v>DE PRATI</v>
          </cell>
          <cell r="N400" t="str">
            <v>SANTIAGO M.</v>
          </cell>
          <cell r="AW400" t="str">
            <v/>
          </cell>
          <cell r="BA400" t="str">
            <v/>
          </cell>
        </row>
        <row r="401">
          <cell r="C401" t="str">
            <v>marzo</v>
          </cell>
          <cell r="D401" t="str">
            <v>N26-4052</v>
          </cell>
          <cell r="G401" t="str">
            <v>TALÓN 0</v>
          </cell>
          <cell r="I401" t="str">
            <v>PREESCOLAR NIÑO</v>
          </cell>
          <cell r="J401" t="str">
            <v/>
          </cell>
          <cell r="M401" t="str">
            <v>DE PRATI</v>
          </cell>
          <cell r="N401" t="str">
            <v>SANTIAGO M.</v>
          </cell>
          <cell r="AW401" t="str">
            <v/>
          </cell>
          <cell r="BA401" t="str">
            <v/>
          </cell>
        </row>
        <row r="402">
          <cell r="C402" t="str">
            <v>marzo</v>
          </cell>
          <cell r="D402" t="str">
            <v>N26-4053</v>
          </cell>
          <cell r="G402" t="str">
            <v>TALÓN 0</v>
          </cell>
          <cell r="I402" t="str">
            <v>PREESCOLAR NIÑO</v>
          </cell>
          <cell r="J402" t="str">
            <v/>
          </cell>
          <cell r="M402" t="str">
            <v>DE PRATI</v>
          </cell>
          <cell r="N402" t="str">
            <v>SANTIAGO M.</v>
          </cell>
          <cell r="AW402" t="str">
            <v/>
          </cell>
          <cell r="BA402" t="str">
            <v/>
          </cell>
        </row>
        <row r="403">
          <cell r="C403" t="str">
            <v>marzo</v>
          </cell>
          <cell r="D403" t="str">
            <v>N26-4054</v>
          </cell>
          <cell r="G403" t="str">
            <v>DESTALONADA 0</v>
          </cell>
          <cell r="I403" t="str">
            <v>ESCOLAR NIÑO</v>
          </cell>
          <cell r="J403" t="str">
            <v/>
          </cell>
          <cell r="M403" t="str">
            <v>DE PRATI</v>
          </cell>
          <cell r="N403" t="str">
            <v>SANTIAGO M.</v>
          </cell>
          <cell r="AW403" t="str">
            <v/>
          </cell>
          <cell r="BA403" t="str">
            <v/>
          </cell>
        </row>
        <row r="404">
          <cell r="C404" t="str">
            <v>marzo</v>
          </cell>
          <cell r="D404" t="str">
            <v>G26-5097</v>
          </cell>
          <cell r="G404" t="str">
            <v>DESTALONADA 0</v>
          </cell>
          <cell r="I404" t="str">
            <v>ESCOLAR NIÑA</v>
          </cell>
          <cell r="J404" t="str">
            <v/>
          </cell>
          <cell r="M404" t="str">
            <v>DE PRATI</v>
          </cell>
          <cell r="N404" t="str">
            <v>GABRIELA D.</v>
          </cell>
          <cell r="AW404" t="str">
            <v/>
          </cell>
          <cell r="BA404" t="str">
            <v/>
          </cell>
        </row>
        <row r="405">
          <cell r="C405" t="str">
            <v>marzo</v>
          </cell>
          <cell r="D405" t="str">
            <v>G26-5098</v>
          </cell>
          <cell r="G405" t="str">
            <v>SUECA 0</v>
          </cell>
          <cell r="I405" t="str">
            <v>ESCOLAR NIÑA</v>
          </cell>
          <cell r="J405" t="str">
            <v/>
          </cell>
          <cell r="M405" t="str">
            <v>DE PRATI</v>
          </cell>
          <cell r="N405" t="str">
            <v>GABRIELA D.</v>
          </cell>
          <cell r="AW405" t="str">
            <v/>
          </cell>
          <cell r="BA405" t="str">
            <v/>
          </cell>
        </row>
        <row r="406">
          <cell r="C406" t="str">
            <v>marzo</v>
          </cell>
          <cell r="D406" t="str">
            <v>D26-4173</v>
          </cell>
          <cell r="G406" t="str">
            <v>DESTALONADA 0</v>
          </cell>
          <cell r="I406" t="str">
            <v>DAMA</v>
          </cell>
          <cell r="J406" t="str">
            <v/>
          </cell>
          <cell r="M406" t="str">
            <v>DE PRATI</v>
          </cell>
          <cell r="N406" t="str">
            <v>GABRIELA D.</v>
          </cell>
          <cell r="AW406" t="str">
            <v/>
          </cell>
          <cell r="BA406" t="str">
            <v/>
          </cell>
        </row>
        <row r="407">
          <cell r="C407" t="str">
            <v>marzo</v>
          </cell>
          <cell r="D407" t="str">
            <v>D26-4174</v>
          </cell>
          <cell r="G407" t="str">
            <v>SUECA 0</v>
          </cell>
          <cell r="I407" t="str">
            <v>DAMA</v>
          </cell>
          <cell r="J407" t="str">
            <v/>
          </cell>
          <cell r="M407" t="str">
            <v>DE PRATI</v>
          </cell>
          <cell r="N407" t="str">
            <v>GABRIELA D.</v>
          </cell>
          <cell r="AW407" t="str">
            <v/>
          </cell>
          <cell r="BA407" t="str">
            <v/>
          </cell>
        </row>
        <row r="408">
          <cell r="C408" t="str">
            <v>marzo</v>
          </cell>
          <cell r="D408" t="str">
            <v>D26-4175</v>
          </cell>
          <cell r="G408" t="str">
            <v>SUECA 0</v>
          </cell>
          <cell r="I408" t="str">
            <v>DAMA</v>
          </cell>
          <cell r="J408" t="str">
            <v/>
          </cell>
          <cell r="M408" t="str">
            <v>DE PRATI</v>
          </cell>
          <cell r="N408" t="str">
            <v>GABRIELA D.</v>
          </cell>
          <cell r="AW408" t="str">
            <v/>
          </cell>
          <cell r="BA408" t="str">
            <v/>
          </cell>
        </row>
        <row r="409">
          <cell r="C409" t="str">
            <v>marzo</v>
          </cell>
          <cell r="D409" t="str">
            <v>D26-4176</v>
          </cell>
          <cell r="G409" t="str">
            <v>DESTALONADA 0</v>
          </cell>
          <cell r="I409" t="str">
            <v>DAMA</v>
          </cell>
          <cell r="J409" t="str">
            <v/>
          </cell>
          <cell r="M409" t="str">
            <v>DE PRATI</v>
          </cell>
          <cell r="N409" t="str">
            <v>SANTIAGO M.</v>
          </cell>
          <cell r="AW409" t="str">
            <v/>
          </cell>
          <cell r="BA409" t="str">
            <v/>
          </cell>
        </row>
        <row r="410">
          <cell r="C410" t="str">
            <v>marzo</v>
          </cell>
          <cell r="D410" t="str">
            <v>D26-4177</v>
          </cell>
          <cell r="G410" t="str">
            <v>SUECA 0</v>
          </cell>
          <cell r="I410" t="str">
            <v>DAMA</v>
          </cell>
          <cell r="J410" t="str">
            <v/>
          </cell>
          <cell r="M410" t="str">
            <v>DE PRATI</v>
          </cell>
          <cell r="N410" t="str">
            <v>SANTIAGO M.</v>
          </cell>
          <cell r="AW410" t="str">
            <v/>
          </cell>
          <cell r="BA410" t="str">
            <v/>
          </cell>
        </row>
        <row r="411">
          <cell r="C411" t="str">
            <v>marzo</v>
          </cell>
          <cell r="D411" t="str">
            <v>D26-4178</v>
          </cell>
          <cell r="G411" t="str">
            <v>SUECA 0</v>
          </cell>
          <cell r="I411" t="str">
            <v>DAMA</v>
          </cell>
          <cell r="J411" t="str">
            <v/>
          </cell>
          <cell r="M411" t="str">
            <v>DE PRATI</v>
          </cell>
          <cell r="N411" t="str">
            <v>SANTIAGO M.</v>
          </cell>
          <cell r="AW411" t="str">
            <v/>
          </cell>
          <cell r="BA411" t="str">
            <v/>
          </cell>
        </row>
        <row r="412">
          <cell r="C412" t="str">
            <v>marzo</v>
          </cell>
          <cell r="D412" t="str">
            <v>D26-4179</v>
          </cell>
          <cell r="G412" t="str">
            <v>DESTALONADA 0</v>
          </cell>
          <cell r="I412" t="str">
            <v>DAMA</v>
          </cell>
          <cell r="J412" t="str">
            <v/>
          </cell>
          <cell r="M412" t="str">
            <v>DE PRATI</v>
          </cell>
          <cell r="N412" t="str">
            <v>SANTIAGO M.</v>
          </cell>
          <cell r="AW412" t="str">
            <v/>
          </cell>
          <cell r="BA412" t="str">
            <v/>
          </cell>
        </row>
        <row r="413">
          <cell r="C413" t="str">
            <v>marzo</v>
          </cell>
          <cell r="D413" t="str">
            <v>G26-5099</v>
          </cell>
          <cell r="G413" t="str">
            <v/>
          </cell>
          <cell r="I413" t="str">
            <v>ESCOLAR NIÑA</v>
          </cell>
          <cell r="J413" t="str">
            <v/>
          </cell>
          <cell r="M413" t="str">
            <v>ROSADO</v>
          </cell>
          <cell r="N413" t="str">
            <v>GABRIELA D.</v>
          </cell>
          <cell r="AW413" t="str">
            <v/>
          </cell>
          <cell r="BA413" t="str">
            <v>ROSADO</v>
          </cell>
        </row>
        <row r="414">
          <cell r="C414" t="str">
            <v>marzo</v>
          </cell>
          <cell r="D414" t="str">
            <v>G26-5100</v>
          </cell>
          <cell r="G414" t="str">
            <v>SUECA 0</v>
          </cell>
          <cell r="I414" t="str">
            <v>ESCOLAR NIÑO</v>
          </cell>
          <cell r="J414" t="str">
            <v/>
          </cell>
          <cell r="M414" t="str">
            <v>ROSADO</v>
          </cell>
          <cell r="N414" t="str">
            <v>GABRIELA D.</v>
          </cell>
          <cell r="AW414" t="str">
            <v/>
          </cell>
          <cell r="BA414" t="str">
            <v>ROSADO</v>
          </cell>
        </row>
        <row r="415">
          <cell r="C415" t="str">
            <v>marzo</v>
          </cell>
          <cell r="D415" t="str">
            <v>G26-5101</v>
          </cell>
          <cell r="G415" t="str">
            <v>SUECA 0</v>
          </cell>
          <cell r="I415" t="str">
            <v>ESCOLAR NIÑA</v>
          </cell>
          <cell r="J415" t="str">
            <v/>
          </cell>
          <cell r="M415" t="str">
            <v>ROSADO</v>
          </cell>
          <cell r="N415" t="str">
            <v>GABRIELA D.</v>
          </cell>
          <cell r="AW415" t="str">
            <v/>
          </cell>
          <cell r="BA415" t="str">
            <v>ROSADO</v>
          </cell>
        </row>
        <row r="416">
          <cell r="C416" t="str">
            <v>marzo</v>
          </cell>
          <cell r="D416" t="str">
            <v>G26-5102</v>
          </cell>
          <cell r="G416" t="str">
            <v>DESTALONADA 0</v>
          </cell>
          <cell r="I416" t="str">
            <v>ESCOLAR NIÑA</v>
          </cell>
          <cell r="J416" t="str">
            <v/>
          </cell>
          <cell r="M416" t="str">
            <v>ROSADO</v>
          </cell>
          <cell r="N416" t="str">
            <v>GABRIELA D.</v>
          </cell>
          <cell r="AW416" t="str">
            <v/>
          </cell>
          <cell r="BA416" t="str">
            <v>ROSADO</v>
          </cell>
        </row>
        <row r="417">
          <cell r="C417" t="str">
            <v>marzo</v>
          </cell>
          <cell r="D417" t="str">
            <v>G26-5103</v>
          </cell>
          <cell r="G417" t="str">
            <v>BABUCHA 0</v>
          </cell>
          <cell r="I417" t="str">
            <v>ESCOLAR NIÑA</v>
          </cell>
          <cell r="J417" t="str">
            <v/>
          </cell>
          <cell r="M417" t="str">
            <v>ROSADO</v>
          </cell>
          <cell r="N417" t="str">
            <v>GABRIELA D.</v>
          </cell>
          <cell r="AW417" t="str">
            <v/>
          </cell>
          <cell r="BA417" t="str">
            <v>ROSADO</v>
          </cell>
        </row>
        <row r="418">
          <cell r="C418" t="str">
            <v>marzo</v>
          </cell>
          <cell r="D418" t="str">
            <v>G26-5104</v>
          </cell>
          <cell r="G418" t="str">
            <v>DESTALONADA 0</v>
          </cell>
          <cell r="I418" t="str">
            <v>ESCOLAR NIÑA</v>
          </cell>
          <cell r="J418" t="str">
            <v/>
          </cell>
          <cell r="M418" t="str">
            <v>ROSADO</v>
          </cell>
          <cell r="N418" t="str">
            <v>GABRIELA D.</v>
          </cell>
          <cell r="AW418" t="str">
            <v/>
          </cell>
          <cell r="BA418" t="str">
            <v>ROSADO</v>
          </cell>
        </row>
        <row r="419">
          <cell r="C419" t="str">
            <v>marzo</v>
          </cell>
          <cell r="D419" t="str">
            <v>G26-5105</v>
          </cell>
          <cell r="G419" t="str">
            <v>TALÓN 0</v>
          </cell>
          <cell r="I419" t="str">
            <v>PREESCOLAR NIÑA</v>
          </cell>
          <cell r="J419" t="str">
            <v/>
          </cell>
          <cell r="M419" t="str">
            <v>ROSADO</v>
          </cell>
          <cell r="N419" t="str">
            <v>SANTIAGO M.</v>
          </cell>
          <cell r="AW419" t="str">
            <v/>
          </cell>
          <cell r="BA419" t="str">
            <v>ROSADO</v>
          </cell>
        </row>
        <row r="420">
          <cell r="C420" t="str">
            <v>marzo</v>
          </cell>
          <cell r="D420" t="str">
            <v>G26-5106</v>
          </cell>
          <cell r="G420" t="str">
            <v>TALÓN 0</v>
          </cell>
          <cell r="I420" t="str">
            <v>PREESCOLAR NIÑA</v>
          </cell>
          <cell r="J420" t="str">
            <v/>
          </cell>
          <cell r="M420" t="str">
            <v>ROSADO</v>
          </cell>
          <cell r="N420" t="str">
            <v>SANTIAGO M.</v>
          </cell>
          <cell r="AW420" t="str">
            <v/>
          </cell>
          <cell r="BA420" t="str">
            <v>ROSADO</v>
          </cell>
        </row>
        <row r="421">
          <cell r="C421" t="str">
            <v>marzo</v>
          </cell>
          <cell r="D421" t="str">
            <v>G26-5107</v>
          </cell>
          <cell r="G421" t="str">
            <v>TALÓN 0</v>
          </cell>
          <cell r="I421" t="str">
            <v>PREESCOLAR NIÑA</v>
          </cell>
          <cell r="J421" t="str">
            <v/>
          </cell>
          <cell r="M421" t="str">
            <v>ROSADO</v>
          </cell>
          <cell r="N421" t="str">
            <v>GABRIELA D.</v>
          </cell>
          <cell r="AW421" t="str">
            <v/>
          </cell>
          <cell r="BA421" t="str">
            <v>ROSADO</v>
          </cell>
        </row>
        <row r="422">
          <cell r="C422" t="str">
            <v>marzo</v>
          </cell>
          <cell r="D422" t="str">
            <v>G26-5108</v>
          </cell>
          <cell r="G422" t="str">
            <v>TALÓN 0</v>
          </cell>
          <cell r="I422" t="str">
            <v>PREESCOLAR NIÑA</v>
          </cell>
          <cell r="J422" t="str">
            <v/>
          </cell>
          <cell r="M422" t="str">
            <v>ROSADO</v>
          </cell>
          <cell r="N422" t="str">
            <v>SANTIAGO M.</v>
          </cell>
          <cell r="AW422" t="str">
            <v/>
          </cell>
          <cell r="BA422" t="str">
            <v>ROSADO</v>
          </cell>
        </row>
        <row r="423">
          <cell r="C423" t="str">
            <v>marzo</v>
          </cell>
          <cell r="D423" t="str">
            <v>G26-5109</v>
          </cell>
          <cell r="G423" t="str">
            <v>TALÓN 0</v>
          </cell>
          <cell r="I423" t="str">
            <v>PREESCOLAR NIÑA</v>
          </cell>
          <cell r="J423" t="str">
            <v/>
          </cell>
          <cell r="M423" t="str">
            <v>ROSADO</v>
          </cell>
          <cell r="N423" t="str">
            <v>GABRIELA D.</v>
          </cell>
          <cell r="AW423" t="str">
            <v/>
          </cell>
          <cell r="BA423" t="str">
            <v>ROSADO</v>
          </cell>
        </row>
        <row r="424">
          <cell r="C424" t="str">
            <v>marzo</v>
          </cell>
          <cell r="D424" t="str">
            <v>G26-5110</v>
          </cell>
          <cell r="G424" t="str">
            <v>TALÓN 0</v>
          </cell>
          <cell r="I424" t="str">
            <v>PREESCOLAR NIÑA</v>
          </cell>
          <cell r="J424" t="str">
            <v/>
          </cell>
          <cell r="M424" t="str">
            <v>ROSADO</v>
          </cell>
          <cell r="N424" t="str">
            <v>GABRIELA D.</v>
          </cell>
          <cell r="AW424" t="str">
            <v/>
          </cell>
          <cell r="BA424" t="str">
            <v>ROSADO</v>
          </cell>
        </row>
        <row r="425">
          <cell r="C425" t="str">
            <v>marzo</v>
          </cell>
          <cell r="D425" t="str">
            <v>G26-5111</v>
          </cell>
          <cell r="G425" t="str">
            <v>TALÓN 0</v>
          </cell>
          <cell r="I425" t="str">
            <v>PREESCOLAR NIÑA</v>
          </cell>
          <cell r="J425" t="str">
            <v/>
          </cell>
          <cell r="M425" t="str">
            <v>ROSADO</v>
          </cell>
          <cell r="N425" t="str">
            <v>GABRIELA D.</v>
          </cell>
          <cell r="AW425" t="str">
            <v/>
          </cell>
          <cell r="BA425" t="str">
            <v>ROSADO</v>
          </cell>
        </row>
        <row r="426">
          <cell r="C426" t="str">
            <v>marzo</v>
          </cell>
          <cell r="D426" t="str">
            <v>G26-5112</v>
          </cell>
          <cell r="G426" t="str">
            <v>BOTA 0</v>
          </cell>
          <cell r="I426" t="str">
            <v>PREESCOLAR NIÑA</v>
          </cell>
          <cell r="J426" t="str">
            <v/>
          </cell>
          <cell r="M426" t="str">
            <v>ROSADO</v>
          </cell>
          <cell r="N426" t="str">
            <v>SANTIAGO M.</v>
          </cell>
          <cell r="AW426" t="str">
            <v/>
          </cell>
          <cell r="BA426" t="str">
            <v>ROSADO</v>
          </cell>
        </row>
        <row r="427">
          <cell r="C427" t="str">
            <v>marzo</v>
          </cell>
          <cell r="D427" t="str">
            <v>H26-3549</v>
          </cell>
          <cell r="G427" t="str">
            <v>DESTALONADA 0</v>
          </cell>
          <cell r="I427" t="str">
            <v>CABALLERO</v>
          </cell>
          <cell r="J427" t="str">
            <v/>
          </cell>
          <cell r="M427" t="str">
            <v>RM</v>
          </cell>
          <cell r="N427" t="str">
            <v>SANTIAGO M.</v>
          </cell>
          <cell r="AW427" t="str">
            <v/>
          </cell>
          <cell r="BA427" t="str">
            <v>RM</v>
          </cell>
        </row>
        <row r="428">
          <cell r="C428" t="str">
            <v>marzo</v>
          </cell>
          <cell r="D428" t="str">
            <v>H26-3550</v>
          </cell>
          <cell r="G428" t="str">
            <v>SUECA 0</v>
          </cell>
          <cell r="I428" t="str">
            <v>CABALLERO</v>
          </cell>
          <cell r="J428" t="str">
            <v/>
          </cell>
          <cell r="M428" t="str">
            <v>RM</v>
          </cell>
          <cell r="N428" t="str">
            <v>SANTIAGO M.</v>
          </cell>
          <cell r="AW428" t="str">
            <v/>
          </cell>
          <cell r="BA428" t="str">
            <v>RM</v>
          </cell>
        </row>
        <row r="429">
          <cell r="C429" t="str">
            <v>marzo</v>
          </cell>
          <cell r="D429" t="str">
            <v>H26-3551</v>
          </cell>
          <cell r="G429" t="str">
            <v>DESTALONADA 0</v>
          </cell>
          <cell r="I429" t="str">
            <v>CABALLERO</v>
          </cell>
          <cell r="J429" t="str">
            <v/>
          </cell>
          <cell r="M429" t="str">
            <v>RM</v>
          </cell>
          <cell r="N429" t="str">
            <v>SANTIAGO M.</v>
          </cell>
          <cell r="AW429" t="str">
            <v/>
          </cell>
          <cell r="BA429" t="str">
            <v>RM</v>
          </cell>
        </row>
        <row r="430">
          <cell r="C430" t="str">
            <v>abril</v>
          </cell>
          <cell r="D430" t="str">
            <v>TOY-012</v>
          </cell>
          <cell r="G430" t="str">
            <v>TALÓN 0</v>
          </cell>
          <cell r="I430" t="str">
            <v>PREESCOLAR NIÑA</v>
          </cell>
          <cell r="J430" t="str">
            <v>DISNEY</v>
          </cell>
          <cell r="M430" t="str">
            <v>RM</v>
          </cell>
          <cell r="N430" t="str">
            <v>SANTIAGO M.</v>
          </cell>
          <cell r="AW430" t="str">
            <v/>
          </cell>
          <cell r="BA430" t="str">
            <v>RM</v>
          </cell>
        </row>
        <row r="431">
          <cell r="C431" t="str">
            <v>abril</v>
          </cell>
          <cell r="D431" t="str">
            <v>H26-3552</v>
          </cell>
          <cell r="G431" t="str">
            <v>DESTALONADA 0</v>
          </cell>
          <cell r="I431" t="str">
            <v>CABALLERO</v>
          </cell>
          <cell r="J431" t="str">
            <v/>
          </cell>
          <cell r="M431" t="str">
            <v>ROSADO</v>
          </cell>
          <cell r="N431" t="str">
            <v>SANTIAGO M.</v>
          </cell>
          <cell r="AW431" t="str">
            <v/>
          </cell>
          <cell r="BA431" t="str">
            <v>ROSADO</v>
          </cell>
        </row>
        <row r="432">
          <cell r="C432" t="str">
            <v>abril</v>
          </cell>
          <cell r="D432" t="str">
            <v>H26-3553</v>
          </cell>
          <cell r="G432" t="str">
            <v>SUECA 0</v>
          </cell>
          <cell r="I432" t="str">
            <v>CABALLERO</v>
          </cell>
          <cell r="J432" t="str">
            <v/>
          </cell>
          <cell r="M432" t="str">
            <v>ROSADO</v>
          </cell>
          <cell r="N432" t="str">
            <v>SANTIAGO M.</v>
          </cell>
          <cell r="AW432" t="str">
            <v/>
          </cell>
          <cell r="BA432" t="str">
            <v>ROSADO</v>
          </cell>
        </row>
        <row r="433">
          <cell r="C433" t="str">
            <v>abril</v>
          </cell>
          <cell r="D433" t="str">
            <v>H26-3554</v>
          </cell>
          <cell r="G433" t="str">
            <v>DESTALONADA 0</v>
          </cell>
          <cell r="I433" t="str">
            <v>CABALLERO</v>
          </cell>
          <cell r="J433" t="str">
            <v/>
          </cell>
          <cell r="M433" t="str">
            <v>ROSADO</v>
          </cell>
          <cell r="N433" t="str">
            <v>SANTIAGO M.</v>
          </cell>
          <cell r="AW433" t="str">
            <v/>
          </cell>
          <cell r="BA433" t="str">
            <v>ROSADO</v>
          </cell>
        </row>
        <row r="434">
          <cell r="C434" t="str">
            <v>abril</v>
          </cell>
          <cell r="D434" t="str">
            <v>H26-3555</v>
          </cell>
          <cell r="G434" t="str">
            <v>DESTALONADA 0</v>
          </cell>
          <cell r="I434" t="str">
            <v>CABALLERO</v>
          </cell>
          <cell r="J434" t="str">
            <v/>
          </cell>
          <cell r="M434" t="str">
            <v>ROSADO</v>
          </cell>
          <cell r="N434" t="str">
            <v>SANTIAGO M.</v>
          </cell>
          <cell r="AW434" t="str">
            <v/>
          </cell>
          <cell r="BA434" t="str">
            <v>ROSADO</v>
          </cell>
        </row>
        <row r="435">
          <cell r="C435" t="str">
            <v>abril</v>
          </cell>
          <cell r="D435" t="str">
            <v>H26-3556</v>
          </cell>
          <cell r="G435" t="str">
            <v>SUECA 0</v>
          </cell>
          <cell r="I435" t="str">
            <v>CABALLERO</v>
          </cell>
          <cell r="J435" t="str">
            <v/>
          </cell>
          <cell r="M435" t="str">
            <v>ROSADO</v>
          </cell>
          <cell r="N435" t="str">
            <v>SANTIAGO M.</v>
          </cell>
          <cell r="AW435" t="str">
            <v/>
          </cell>
          <cell r="BA435" t="str">
            <v>ROSADO</v>
          </cell>
        </row>
        <row r="436">
          <cell r="C436" t="str">
            <v>abril</v>
          </cell>
          <cell r="D436" t="str">
            <v>H26-3557</v>
          </cell>
          <cell r="G436" t="str">
            <v>SANDALIA PUNTA ABIERTA</v>
          </cell>
          <cell r="I436" t="str">
            <v>CABALLERO</v>
          </cell>
          <cell r="J436" t="str">
            <v/>
          </cell>
          <cell r="M436" t="str">
            <v>ROSADO</v>
          </cell>
          <cell r="N436" t="str">
            <v>SANTIAGO M.</v>
          </cell>
          <cell r="AW436" t="str">
            <v/>
          </cell>
          <cell r="BA436" t="str">
            <v>ROSADO</v>
          </cell>
        </row>
        <row r="437">
          <cell r="C437" t="str">
            <v>abril</v>
          </cell>
          <cell r="D437" t="str">
            <v>H26-3558</v>
          </cell>
          <cell r="G437" t="str">
            <v>SANDALIA PUNTA ABIERTA</v>
          </cell>
          <cell r="I437" t="str">
            <v>CABALLERO</v>
          </cell>
          <cell r="J437" t="str">
            <v/>
          </cell>
          <cell r="M437" t="str">
            <v>ROSADO</v>
          </cell>
          <cell r="N437" t="str">
            <v>SANTIAGO M.</v>
          </cell>
          <cell r="AW437" t="str">
            <v/>
          </cell>
          <cell r="BA437" t="str">
            <v>ROSADO</v>
          </cell>
        </row>
        <row r="438">
          <cell r="C438" t="str">
            <v>abril</v>
          </cell>
          <cell r="D438" t="str">
            <v>H26-3559</v>
          </cell>
          <cell r="G438" t="str">
            <v>TALÓN 0</v>
          </cell>
          <cell r="I438" t="str">
            <v>CABALLERO</v>
          </cell>
          <cell r="J438" t="str">
            <v/>
          </cell>
          <cell r="M438" t="str">
            <v>ROSADO</v>
          </cell>
          <cell r="N438" t="str">
            <v>SANTIAGO M.</v>
          </cell>
          <cell r="AW438" t="str">
            <v/>
          </cell>
          <cell r="BA438" t="str">
            <v>ROSADO</v>
          </cell>
        </row>
        <row r="439">
          <cell r="C439" t="str">
            <v>abril</v>
          </cell>
          <cell r="D439" t="str">
            <v>H26-3560</v>
          </cell>
          <cell r="G439" t="str">
            <v>SUECA 0</v>
          </cell>
          <cell r="I439" t="str">
            <v>CABALLERO</v>
          </cell>
          <cell r="J439" t="str">
            <v/>
          </cell>
          <cell r="M439" t="str">
            <v>ROSADO</v>
          </cell>
          <cell r="N439" t="str">
            <v>SANTIAGO M.</v>
          </cell>
          <cell r="AW439" t="str">
            <v/>
          </cell>
          <cell r="BA439" t="str">
            <v>ROSADO</v>
          </cell>
        </row>
        <row r="440">
          <cell r="C440" t="str">
            <v>abril</v>
          </cell>
          <cell r="D440" t="str">
            <v>H26-3562</v>
          </cell>
          <cell r="G440" t="str">
            <v>SUECA CON FILO</v>
          </cell>
          <cell r="I440" t="str">
            <v>CABALLERO</v>
          </cell>
          <cell r="J440" t="str">
            <v/>
          </cell>
          <cell r="M440" t="str">
            <v>ROSADO</v>
          </cell>
          <cell r="N440" t="str">
            <v>SANTIAGO M.</v>
          </cell>
          <cell r="AW440" t="str">
            <v/>
          </cell>
          <cell r="BA440" t="str">
            <v>ROSADO</v>
          </cell>
        </row>
        <row r="441">
          <cell r="C441" t="str">
            <v>abril</v>
          </cell>
          <cell r="D441" t="str">
            <v>H26-3561</v>
          </cell>
          <cell r="G441" t="str">
            <v>DESTALONADA 0</v>
          </cell>
          <cell r="I441" t="str">
            <v>CABALLERO</v>
          </cell>
          <cell r="J441" t="str">
            <v/>
          </cell>
          <cell r="M441" t="str">
            <v>ROSADO</v>
          </cell>
          <cell r="N441" t="str">
            <v>SANTIAGO M.</v>
          </cell>
          <cell r="AW441" t="str">
            <v/>
          </cell>
          <cell r="BA441" t="str">
            <v>ROSADO</v>
          </cell>
        </row>
        <row r="442">
          <cell r="C442" t="str">
            <v>abril</v>
          </cell>
          <cell r="D442" t="str">
            <v>H26-3563</v>
          </cell>
          <cell r="G442" t="str">
            <v>SUECA CON MEDALLÓN</v>
          </cell>
          <cell r="I442" t="str">
            <v>CABALLERO</v>
          </cell>
          <cell r="J442" t="str">
            <v/>
          </cell>
          <cell r="M442" t="str">
            <v>ROSADO</v>
          </cell>
          <cell r="N442" t="str">
            <v>SANTIAGO M.</v>
          </cell>
          <cell r="AW442" t="str">
            <v/>
          </cell>
          <cell r="BA442" t="str">
            <v>ROSADO</v>
          </cell>
        </row>
        <row r="443">
          <cell r="C443" t="str">
            <v>abril</v>
          </cell>
          <cell r="D443" t="str">
            <v>SPIYA-058</v>
          </cell>
          <cell r="G443" t="str">
            <v>DESTALONADA 0</v>
          </cell>
          <cell r="I443" t="str">
            <v>CABALLERO</v>
          </cell>
          <cell r="J443" t="str">
            <v>MARVEL</v>
          </cell>
          <cell r="M443" t="str">
            <v>ROSADO</v>
          </cell>
          <cell r="N443" t="str">
            <v>SANTIAGO M.</v>
          </cell>
          <cell r="AW443" t="str">
            <v/>
          </cell>
          <cell r="BA443" t="str">
            <v>ROSADO</v>
          </cell>
        </row>
        <row r="444">
          <cell r="C444" t="str">
            <v>abril</v>
          </cell>
          <cell r="D444" t="str">
            <v>SPIYA-059</v>
          </cell>
          <cell r="G444" t="str">
            <v>SUECA 0</v>
          </cell>
          <cell r="I444" t="str">
            <v>CABALLERO</v>
          </cell>
          <cell r="J444" t="str">
            <v>MARVEL</v>
          </cell>
          <cell r="M444" t="str">
            <v>ROSADO</v>
          </cell>
          <cell r="N444" t="str">
            <v>SANTIAGO M.</v>
          </cell>
          <cell r="AW444" t="str">
            <v/>
          </cell>
          <cell r="BA444" t="str">
            <v>ROSADO</v>
          </cell>
        </row>
        <row r="445">
          <cell r="C445" t="str">
            <v>abril</v>
          </cell>
          <cell r="D445" t="str">
            <v>SPIYA-060</v>
          </cell>
          <cell r="G445" t="str">
            <v>DESTALONADA 0</v>
          </cell>
          <cell r="I445" t="str">
            <v>CABALLERO</v>
          </cell>
          <cell r="J445" t="str">
            <v>MARVEL</v>
          </cell>
          <cell r="M445" t="str">
            <v>ROSADO</v>
          </cell>
          <cell r="N445" t="str">
            <v>SANTIAGO M.</v>
          </cell>
          <cell r="AW445" t="str">
            <v/>
          </cell>
          <cell r="BA445" t="str">
            <v>ROSADO</v>
          </cell>
        </row>
        <row r="446">
          <cell r="C446" t="str">
            <v>abril</v>
          </cell>
          <cell r="D446" t="str">
            <v>DEAYA-030</v>
          </cell>
          <cell r="G446" t="str">
            <v>SUECA 0</v>
          </cell>
          <cell r="I446" t="str">
            <v>CABALLERO</v>
          </cell>
          <cell r="J446" t="str">
            <v>MARVEL</v>
          </cell>
          <cell r="M446" t="str">
            <v>ROSADO</v>
          </cell>
          <cell r="N446" t="str">
            <v>SANTIAGO M.</v>
          </cell>
          <cell r="AW446" t="str">
            <v/>
          </cell>
          <cell r="BA446" t="str">
            <v>ROSADO</v>
          </cell>
        </row>
        <row r="447">
          <cell r="C447" t="str">
            <v>abril</v>
          </cell>
          <cell r="D447" t="str">
            <v>DEAYA-031</v>
          </cell>
          <cell r="G447" t="str">
            <v>DESTALONADA 0</v>
          </cell>
          <cell r="I447" t="str">
            <v>CABALLERO</v>
          </cell>
          <cell r="J447" t="str">
            <v>MARVEL</v>
          </cell>
          <cell r="M447" t="str">
            <v>ROSADO</v>
          </cell>
          <cell r="N447" t="str">
            <v>SANTIAGO M.</v>
          </cell>
          <cell r="AW447" t="str">
            <v/>
          </cell>
          <cell r="BA447" t="str">
            <v>ROSADO</v>
          </cell>
        </row>
        <row r="448">
          <cell r="C448" t="str">
            <v>abril</v>
          </cell>
          <cell r="D448" t="str">
            <v>MCOYA-064</v>
          </cell>
          <cell r="G448" t="str">
            <v>SUECA 0</v>
          </cell>
          <cell r="I448" t="str">
            <v>CABALLERO</v>
          </cell>
          <cell r="J448" t="str">
            <v>MARVEL</v>
          </cell>
          <cell r="M448" t="str">
            <v>ROSADO</v>
          </cell>
          <cell r="N448" t="str">
            <v>SANTIAGO M.</v>
          </cell>
          <cell r="AW448" t="str">
            <v/>
          </cell>
          <cell r="BA448" t="str">
            <v>ROSADO</v>
          </cell>
        </row>
        <row r="449">
          <cell r="C449" t="str">
            <v>abril</v>
          </cell>
          <cell r="D449" t="str">
            <v>D26-4180</v>
          </cell>
          <cell r="G449" t="str">
            <v>SANDALIA CRUZADA</v>
          </cell>
          <cell r="I449" t="str">
            <v>DAMA</v>
          </cell>
          <cell r="J449" t="str">
            <v/>
          </cell>
          <cell r="M449" t="str">
            <v>ROSADO</v>
          </cell>
          <cell r="N449" t="str">
            <v>GABRIELA D.</v>
          </cell>
          <cell r="AW449" t="str">
            <v/>
          </cell>
          <cell r="BA449" t="str">
            <v>ROSADO</v>
          </cell>
        </row>
        <row r="450">
          <cell r="C450" t="str">
            <v>abril</v>
          </cell>
          <cell r="D450" t="str">
            <v>D26-4181</v>
          </cell>
          <cell r="G450" t="str">
            <v>SANDALIA PUNTA ABIERTA CAPELLADA ANGOSTA</v>
          </cell>
          <cell r="I450" t="str">
            <v>DAMA</v>
          </cell>
          <cell r="J450" t="str">
            <v/>
          </cell>
          <cell r="M450" t="str">
            <v>ROSADO</v>
          </cell>
          <cell r="N450" t="str">
            <v>GABRIELA D.</v>
          </cell>
          <cell r="AW450" t="str">
            <v/>
          </cell>
          <cell r="BA450" t="str">
            <v>ROSADO</v>
          </cell>
        </row>
        <row r="451">
          <cell r="C451" t="str">
            <v>abril</v>
          </cell>
          <cell r="D451" t="str">
            <v>D26-4182</v>
          </cell>
          <cell r="G451" t="str">
            <v>SANDALIA CRUZADA</v>
          </cell>
          <cell r="I451" t="str">
            <v>DAMA</v>
          </cell>
          <cell r="J451" t="str">
            <v/>
          </cell>
          <cell r="M451" t="str">
            <v>ROSADO</v>
          </cell>
          <cell r="N451" t="str">
            <v>GABRIELA D.</v>
          </cell>
          <cell r="AW451" t="str">
            <v/>
          </cell>
          <cell r="BA451" t="str">
            <v>ROSADO</v>
          </cell>
        </row>
        <row r="452">
          <cell r="C452" t="str">
            <v>abril</v>
          </cell>
          <cell r="D452" t="str">
            <v>D26-4183</v>
          </cell>
          <cell r="G452" t="str">
            <v>SANDALIA CRUZADA</v>
          </cell>
          <cell r="I452" t="str">
            <v>DAMA</v>
          </cell>
          <cell r="J452" t="str">
            <v/>
          </cell>
          <cell r="M452" t="str">
            <v>ROSADO</v>
          </cell>
          <cell r="N452" t="str">
            <v>GABRIELA D.</v>
          </cell>
          <cell r="AW452" t="str">
            <v/>
          </cell>
          <cell r="BA452" t="str">
            <v>ROSADO</v>
          </cell>
        </row>
        <row r="453">
          <cell r="C453" t="str">
            <v>abril</v>
          </cell>
          <cell r="D453" t="str">
            <v>D26-4184</v>
          </cell>
          <cell r="G453" t="str">
            <v>SANDALIA PUNTA ABIERTA CAPELLADA ANGOSTA</v>
          </cell>
          <cell r="I453" t="str">
            <v>DAMA</v>
          </cell>
          <cell r="J453" t="str">
            <v/>
          </cell>
          <cell r="M453" t="str">
            <v>ROSADO</v>
          </cell>
          <cell r="N453" t="str">
            <v>GABRIELA D.</v>
          </cell>
          <cell r="AW453" t="str">
            <v/>
          </cell>
          <cell r="BA453" t="str">
            <v>ROSADO</v>
          </cell>
        </row>
        <row r="454">
          <cell r="C454" t="str">
            <v>abril</v>
          </cell>
          <cell r="D454" t="str">
            <v>D26-4185</v>
          </cell>
          <cell r="G454" t="str">
            <v>SANDALIA PUNTA ABIERTA</v>
          </cell>
          <cell r="I454" t="str">
            <v>DAMA</v>
          </cell>
          <cell r="J454" t="str">
            <v/>
          </cell>
          <cell r="M454" t="str">
            <v>ROSADO</v>
          </cell>
          <cell r="N454" t="str">
            <v>GABRIELA D.</v>
          </cell>
          <cell r="AW454" t="str">
            <v/>
          </cell>
          <cell r="BA454" t="str">
            <v>ROSADO</v>
          </cell>
        </row>
        <row r="455">
          <cell r="C455" t="str">
            <v>abril</v>
          </cell>
          <cell r="D455" t="str">
            <v>D26-4186</v>
          </cell>
          <cell r="G455" t="str">
            <v>SANDALIA PUNTA ABIERTA</v>
          </cell>
          <cell r="I455" t="str">
            <v>DAMA</v>
          </cell>
          <cell r="J455" t="str">
            <v/>
          </cell>
          <cell r="M455" t="str">
            <v>ROSADO</v>
          </cell>
          <cell r="N455" t="str">
            <v>GABRIELA D.</v>
          </cell>
          <cell r="AW455" t="str">
            <v/>
          </cell>
          <cell r="BA455" t="str">
            <v>ROSADO</v>
          </cell>
        </row>
        <row r="456">
          <cell r="C456" t="str">
            <v>abril</v>
          </cell>
          <cell r="D456" t="str">
            <v>H26-3566</v>
          </cell>
          <cell r="G456" t="str">
            <v>DESTALONADA 0</v>
          </cell>
          <cell r="I456" t="str">
            <v>CABALLERO</v>
          </cell>
          <cell r="J456" t="str">
            <v/>
          </cell>
          <cell r="M456" t="str">
            <v>RM</v>
          </cell>
          <cell r="N456" t="str">
            <v>SANTIAGO M.</v>
          </cell>
          <cell r="AW456" t="str">
            <v/>
          </cell>
          <cell r="BA456" t="str">
            <v>RM</v>
          </cell>
        </row>
        <row r="457">
          <cell r="C457" t="str">
            <v>abril</v>
          </cell>
          <cell r="D457" t="str">
            <v>H26-3565</v>
          </cell>
          <cell r="G457" t="str">
            <v>DESTALONADA 0</v>
          </cell>
          <cell r="I457" t="str">
            <v>CABALLERO</v>
          </cell>
          <cell r="J457" t="str">
            <v/>
          </cell>
          <cell r="M457" t="str">
            <v>RM</v>
          </cell>
          <cell r="N457" t="str">
            <v>SANTIAGO M.</v>
          </cell>
          <cell r="AW457" t="str">
            <v/>
          </cell>
          <cell r="BA457" t="str">
            <v>RM</v>
          </cell>
        </row>
        <row r="458">
          <cell r="C458" t="str">
            <v>abril</v>
          </cell>
          <cell r="D458" t="str">
            <v>H26-3564</v>
          </cell>
          <cell r="G458" t="str">
            <v>SUECA CON FILO ANGOSTO</v>
          </cell>
          <cell r="I458" t="str">
            <v>CABALLERO</v>
          </cell>
          <cell r="J458" t="str">
            <v/>
          </cell>
          <cell r="M458" t="str">
            <v>ETAFASHION</v>
          </cell>
          <cell r="N458" t="str">
            <v>SANTIAGO M.</v>
          </cell>
          <cell r="AW458" t="str">
            <v/>
          </cell>
          <cell r="BA458" t="str">
            <v>ETAFASHION</v>
          </cell>
        </row>
        <row r="459">
          <cell r="C459" t="str">
            <v>abril</v>
          </cell>
          <cell r="D459" t="str">
            <v>H26-3567</v>
          </cell>
          <cell r="G459" t="str">
            <v>DESTALONADA 0</v>
          </cell>
          <cell r="I459" t="str">
            <v>CABALLERO</v>
          </cell>
          <cell r="J459" t="str">
            <v/>
          </cell>
          <cell r="M459" t="str">
            <v>ROLAND</v>
          </cell>
          <cell r="N459" t="str">
            <v>SANTIAGO M.</v>
          </cell>
          <cell r="AW459" t="str">
            <v/>
          </cell>
          <cell r="BA459" t="str">
            <v>ROLAND</v>
          </cell>
        </row>
        <row r="460">
          <cell r="C460" t="str">
            <v>abril</v>
          </cell>
          <cell r="D460" t="str">
            <v>TOY-013</v>
          </cell>
          <cell r="G460" t="str">
            <v>DESTALONADA 0</v>
          </cell>
          <cell r="I460" t="str">
            <v>ESCOLAR NIÑO</v>
          </cell>
          <cell r="J460" t="str">
            <v>DISNEY</v>
          </cell>
          <cell r="M460" t="str">
            <v>ROLAND</v>
          </cell>
          <cell r="N460" t="str">
            <v>SANTIAGO M.</v>
          </cell>
          <cell r="AW460" t="str">
            <v/>
          </cell>
          <cell r="BA460" t="str">
            <v>ROLAND</v>
          </cell>
        </row>
        <row r="461">
          <cell r="C461" t="str">
            <v>abril</v>
          </cell>
          <cell r="D461" t="str">
            <v>TOY-014</v>
          </cell>
          <cell r="G461" t="str">
            <v>DESTALONADA 0</v>
          </cell>
          <cell r="I461" t="str">
            <v>ESCOLAR NIÑO</v>
          </cell>
          <cell r="J461" t="str">
            <v>DISNEY</v>
          </cell>
          <cell r="M461" t="str">
            <v>ROLAND</v>
          </cell>
          <cell r="N461" t="str">
            <v>SANTIAGO M.</v>
          </cell>
          <cell r="AW461" t="str">
            <v/>
          </cell>
          <cell r="BA461" t="str">
            <v>ROLAND</v>
          </cell>
        </row>
        <row r="462">
          <cell r="C462" t="str">
            <v>abril</v>
          </cell>
          <cell r="D462" t="str">
            <v>TOY-015</v>
          </cell>
          <cell r="G462" t="str">
            <v>DESTALONADA 0</v>
          </cell>
          <cell r="I462" t="str">
            <v>ESCOLAR NIÑO</v>
          </cell>
          <cell r="J462" t="str">
            <v>DISNEY</v>
          </cell>
          <cell r="M462" t="str">
            <v>ROLAND</v>
          </cell>
          <cell r="N462" t="str">
            <v>GABRIELA D.</v>
          </cell>
          <cell r="AW462" t="str">
            <v/>
          </cell>
          <cell r="BA462" t="str">
            <v>ROLAND</v>
          </cell>
        </row>
        <row r="463">
          <cell r="C463" t="str">
            <v>abril</v>
          </cell>
          <cell r="D463" t="str">
            <v>H26-3568</v>
          </cell>
          <cell r="G463" t="str">
            <v>DESTALONADA 0</v>
          </cell>
          <cell r="I463" t="str">
            <v>CABALLERO</v>
          </cell>
          <cell r="J463" t="str">
            <v/>
          </cell>
          <cell r="M463" t="str">
            <v>ROLAND</v>
          </cell>
          <cell r="N463" t="str">
            <v>GABRIELA D.</v>
          </cell>
          <cell r="AW463" t="str">
            <v/>
          </cell>
          <cell r="BA463" t="str">
            <v>ROLAND</v>
          </cell>
        </row>
        <row r="464">
          <cell r="C464" t="str">
            <v>abril</v>
          </cell>
          <cell r="D464" t="str">
            <v>TOY-016</v>
          </cell>
          <cell r="G464" t="str">
            <v>SUECA 0</v>
          </cell>
          <cell r="I464" t="str">
            <v>ESCOLAR NIÑO</v>
          </cell>
          <cell r="J464" t="str">
            <v>DISNEY</v>
          </cell>
          <cell r="M464" t="str">
            <v>RM</v>
          </cell>
          <cell r="N464" t="str">
            <v>SANTIAGO M.</v>
          </cell>
          <cell r="AW464" t="str">
            <v/>
          </cell>
          <cell r="BA464" t="str">
            <v>RM</v>
          </cell>
        </row>
        <row r="465">
          <cell r="C465" t="str">
            <v>abril</v>
          </cell>
          <cell r="D465" t="str">
            <v>TOY-017</v>
          </cell>
          <cell r="G465" t="str">
            <v>SUECA 0</v>
          </cell>
          <cell r="I465" t="str">
            <v>ESCOLAR NIÑO</v>
          </cell>
          <cell r="J465" t="str">
            <v>DISNEY</v>
          </cell>
          <cell r="M465" t="str">
            <v>RM</v>
          </cell>
          <cell r="N465" t="str">
            <v>GABRIELA D.</v>
          </cell>
          <cell r="AW465" t="str">
            <v/>
          </cell>
          <cell r="BA465" t="str">
            <v>RM</v>
          </cell>
        </row>
        <row r="466">
          <cell r="C466" t="str">
            <v>abril</v>
          </cell>
          <cell r="D466" t="str">
            <v>TOY-018</v>
          </cell>
          <cell r="G466" t="str">
            <v>TALÓN 0</v>
          </cell>
          <cell r="I466" t="str">
            <v>PREESCOLAR NIÑA</v>
          </cell>
          <cell r="J466" t="str">
            <v>DISNEY</v>
          </cell>
          <cell r="M466" t="str">
            <v>RM</v>
          </cell>
          <cell r="N466" t="str">
            <v>GABRIELA D.</v>
          </cell>
          <cell r="AW466" t="str">
            <v/>
          </cell>
          <cell r="BA466" t="str">
            <v>RM</v>
          </cell>
        </row>
        <row r="467">
          <cell r="C467" t="str">
            <v>abril</v>
          </cell>
          <cell r="D467" t="str">
            <v>TOY-019</v>
          </cell>
          <cell r="G467" t="str">
            <v>SUECA 0</v>
          </cell>
          <cell r="I467" t="str">
            <v>ESCOLAR NIÑO</v>
          </cell>
          <cell r="J467" t="str">
            <v>DISNEY</v>
          </cell>
          <cell r="M467" t="str">
            <v>RM</v>
          </cell>
          <cell r="N467" t="str">
            <v>SANTIAGO M.</v>
          </cell>
          <cell r="AW467" t="str">
            <v/>
          </cell>
          <cell r="BA467" t="str">
            <v>RM</v>
          </cell>
        </row>
        <row r="468">
          <cell r="C468" t="str">
            <v>abril</v>
          </cell>
          <cell r="D468" t="str">
            <v>TOY-020</v>
          </cell>
          <cell r="G468" t="str">
            <v>SUECA 0</v>
          </cell>
          <cell r="I468" t="str">
            <v>ESCOLAR NIÑO</v>
          </cell>
          <cell r="J468" t="str">
            <v>DISNEY</v>
          </cell>
          <cell r="M468" t="str">
            <v>RM</v>
          </cell>
          <cell r="N468" t="str">
            <v>SANTIAGO M.</v>
          </cell>
          <cell r="AW468" t="str">
            <v/>
          </cell>
          <cell r="BA468" t="str">
            <v>RM</v>
          </cell>
        </row>
        <row r="469">
          <cell r="C469" t="str">
            <v>abril</v>
          </cell>
          <cell r="D469" t="str">
            <v>TOY-021</v>
          </cell>
          <cell r="G469" t="str">
            <v>SUECA 0</v>
          </cell>
          <cell r="I469" t="str">
            <v>ESCOLAR NIÑO</v>
          </cell>
          <cell r="J469" t="str">
            <v>DISNEY</v>
          </cell>
          <cell r="M469" t="str">
            <v>RM</v>
          </cell>
          <cell r="N469" t="str">
            <v>GABRIELA D.</v>
          </cell>
          <cell r="AW469" t="str">
            <v/>
          </cell>
          <cell r="BA469" t="str">
            <v>RM</v>
          </cell>
        </row>
        <row r="470">
          <cell r="C470" t="str">
            <v>abril</v>
          </cell>
          <cell r="D470" t="str">
            <v>D26-4187</v>
          </cell>
          <cell r="G470" t="str">
            <v>SUECA 0</v>
          </cell>
          <cell r="I470" t="str">
            <v>DAMA</v>
          </cell>
          <cell r="J470" t="str">
            <v/>
          </cell>
          <cell r="M470" t="str">
            <v>ROLAND</v>
          </cell>
          <cell r="N470" t="str">
            <v>GABRIELA D.</v>
          </cell>
          <cell r="AW470" t="str">
            <v/>
          </cell>
          <cell r="BA470" t="str">
            <v>ROLAND</v>
          </cell>
        </row>
        <row r="471">
          <cell r="C471" t="str">
            <v>abril</v>
          </cell>
          <cell r="D471" t="str">
            <v>H26-3569</v>
          </cell>
          <cell r="G471" t="str">
            <v>DESTALONADA 0</v>
          </cell>
          <cell r="I471" t="str">
            <v>CABALLERO</v>
          </cell>
          <cell r="J471" t="str">
            <v/>
          </cell>
          <cell r="M471" t="str">
            <v>ROLAND</v>
          </cell>
          <cell r="N471" t="str">
            <v>SANTIAGO M.</v>
          </cell>
          <cell r="AW471" t="str">
            <v/>
          </cell>
          <cell r="BA471" t="str">
            <v/>
          </cell>
        </row>
        <row r="472">
          <cell r="C472" t="str">
            <v>abril</v>
          </cell>
          <cell r="D472" t="str">
            <v>H26-3570</v>
          </cell>
          <cell r="G472" t="str">
            <v>DESTALONADA 0</v>
          </cell>
          <cell r="I472" t="str">
            <v>CABALLERO</v>
          </cell>
          <cell r="J472" t="str">
            <v/>
          </cell>
          <cell r="M472" t="str">
            <v>ROLAND</v>
          </cell>
          <cell r="N472" t="str">
            <v>SANTIAGO M.</v>
          </cell>
          <cell r="AW472" t="str">
            <v/>
          </cell>
          <cell r="BA472" t="str">
            <v/>
          </cell>
        </row>
        <row r="473">
          <cell r="C473" t="str">
            <v>abril</v>
          </cell>
          <cell r="D473" t="str">
            <v>H26-3571</v>
          </cell>
          <cell r="G473" t="str">
            <v>DESTALONADA 0</v>
          </cell>
          <cell r="I473" t="str">
            <v>CABALLERO</v>
          </cell>
          <cell r="J473" t="str">
            <v/>
          </cell>
          <cell r="M473" t="str">
            <v>ROLAND</v>
          </cell>
          <cell r="N473" t="str">
            <v>SANTIAGO M.</v>
          </cell>
          <cell r="AW473" t="str">
            <v/>
          </cell>
          <cell r="BA473" t="str">
            <v/>
          </cell>
        </row>
        <row r="474">
          <cell r="C474" t="str">
            <v>abril</v>
          </cell>
          <cell r="D474" t="str">
            <v>H26-3572</v>
          </cell>
          <cell r="G474" t="str">
            <v>DESTALONADA 0</v>
          </cell>
          <cell r="I474" t="str">
            <v>CABALLERO</v>
          </cell>
          <cell r="J474" t="str">
            <v/>
          </cell>
          <cell r="M474" t="str">
            <v>ROLAND</v>
          </cell>
          <cell r="N474" t="str">
            <v>SANTIAGO M.</v>
          </cell>
          <cell r="AW474" t="str">
            <v/>
          </cell>
          <cell r="BA474" t="str">
            <v/>
          </cell>
        </row>
        <row r="475">
          <cell r="C475" t="str">
            <v>abril</v>
          </cell>
          <cell r="D475" t="str">
            <v>H26-3573</v>
          </cell>
          <cell r="G475" t="str">
            <v>SUECA 0</v>
          </cell>
          <cell r="I475" t="str">
            <v>CABALLERO</v>
          </cell>
          <cell r="J475" t="str">
            <v/>
          </cell>
          <cell r="M475" t="str">
            <v>ROLAND</v>
          </cell>
          <cell r="N475" t="str">
            <v>SANTIAGO M.</v>
          </cell>
          <cell r="AW475" t="str">
            <v/>
          </cell>
          <cell r="BA475" t="str">
            <v/>
          </cell>
        </row>
        <row r="476">
          <cell r="C476" t="str">
            <v>abril</v>
          </cell>
          <cell r="D476" t="str">
            <v>H26-3574</v>
          </cell>
          <cell r="G476" t="str">
            <v>SUECA 0</v>
          </cell>
          <cell r="I476" t="str">
            <v>CABALLERO</v>
          </cell>
          <cell r="J476" t="str">
            <v/>
          </cell>
          <cell r="M476" t="str">
            <v>ROLAND</v>
          </cell>
          <cell r="N476" t="str">
            <v>SANTIAGO M.</v>
          </cell>
          <cell r="AW476" t="str">
            <v/>
          </cell>
          <cell r="BA476" t="str">
            <v/>
          </cell>
        </row>
        <row r="477">
          <cell r="C477" t="str">
            <v>abril</v>
          </cell>
          <cell r="D477" t="str">
            <v>H26-3575</v>
          </cell>
          <cell r="G477" t="str">
            <v>SUECA 0</v>
          </cell>
          <cell r="I477" t="str">
            <v>CABALLERO</v>
          </cell>
          <cell r="J477" t="str">
            <v/>
          </cell>
          <cell r="M477" t="str">
            <v>ROLAND</v>
          </cell>
          <cell r="N477" t="str">
            <v>SANTIAGO M.</v>
          </cell>
          <cell r="AW477" t="str">
            <v/>
          </cell>
          <cell r="BA477" t="str">
            <v/>
          </cell>
        </row>
        <row r="478">
          <cell r="C478" t="str">
            <v>abril</v>
          </cell>
          <cell r="D478" t="str">
            <v>H26-3576</v>
          </cell>
          <cell r="G478" t="str">
            <v>DESTALONADA 0</v>
          </cell>
          <cell r="I478" t="str">
            <v>CABALLERO</v>
          </cell>
          <cell r="J478" t="str">
            <v/>
          </cell>
          <cell r="M478" t="str">
            <v>ROLAND</v>
          </cell>
          <cell r="N478" t="str">
            <v>SANTIAGO M.</v>
          </cell>
          <cell r="AW478" t="str">
            <v/>
          </cell>
          <cell r="BA478" t="str">
            <v/>
          </cell>
        </row>
        <row r="479">
          <cell r="C479" t="str">
            <v>abril</v>
          </cell>
          <cell r="D479" t="str">
            <v>PRI-091</v>
          </cell>
          <cell r="G479" t="str">
            <v>SUECA 0</v>
          </cell>
          <cell r="I479" t="str">
            <v>ESCOLAR NIÑA</v>
          </cell>
          <cell r="J479" t="str">
            <v>DISNEY</v>
          </cell>
          <cell r="M479" t="str">
            <v>ROLAND</v>
          </cell>
          <cell r="N479" t="str">
            <v>GABRIELA D.</v>
          </cell>
          <cell r="AW479" t="str">
            <v/>
          </cell>
          <cell r="BA479" t="str">
            <v/>
          </cell>
        </row>
        <row r="480">
          <cell r="C480" t="str">
            <v>abril</v>
          </cell>
          <cell r="D480" t="str">
            <v>D26-4188</v>
          </cell>
          <cell r="G480" t="str">
            <v>DESTALONADA 0</v>
          </cell>
          <cell r="I480" t="str">
            <v>DAMA</v>
          </cell>
          <cell r="J480" t="str">
            <v/>
          </cell>
          <cell r="M480" t="str">
            <v>ROLAND</v>
          </cell>
          <cell r="N480" t="str">
            <v>GABRIELA D.</v>
          </cell>
          <cell r="AW480" t="str">
            <v/>
          </cell>
          <cell r="BA480" t="str">
            <v/>
          </cell>
        </row>
        <row r="481">
          <cell r="C481" t="str">
            <v>abril</v>
          </cell>
          <cell r="D481" t="str">
            <v>D26-4189</v>
          </cell>
          <cell r="G481" t="str">
            <v>DESTALONADA 0</v>
          </cell>
          <cell r="I481" t="str">
            <v>DAMA</v>
          </cell>
          <cell r="J481" t="str">
            <v/>
          </cell>
          <cell r="M481" t="str">
            <v>ROLAND</v>
          </cell>
          <cell r="N481" t="str">
            <v>GABRIELA D.</v>
          </cell>
          <cell r="AW481" t="str">
            <v/>
          </cell>
          <cell r="BA481" t="str">
            <v/>
          </cell>
        </row>
        <row r="482">
          <cell r="C482" t="str">
            <v>abril</v>
          </cell>
          <cell r="D482" t="str">
            <v>D26-4190</v>
          </cell>
          <cell r="G482" t="str">
            <v>DESTALONADA 0</v>
          </cell>
          <cell r="I482" t="str">
            <v>DAMA</v>
          </cell>
          <cell r="J482" t="str">
            <v/>
          </cell>
          <cell r="M482" t="str">
            <v>ROLAND</v>
          </cell>
          <cell r="N482" t="str">
            <v>GABRIELA D.</v>
          </cell>
          <cell r="AW482" t="str">
            <v/>
          </cell>
          <cell r="BA482" t="str">
            <v/>
          </cell>
        </row>
        <row r="483">
          <cell r="C483" t="str">
            <v>abril</v>
          </cell>
          <cell r="D483" t="str">
            <v>D26-4191</v>
          </cell>
          <cell r="G483" t="str">
            <v>DESTALONADA 0</v>
          </cell>
          <cell r="I483" t="str">
            <v>DAMA</v>
          </cell>
          <cell r="J483" t="str">
            <v/>
          </cell>
          <cell r="M483" t="str">
            <v>ROLAND</v>
          </cell>
          <cell r="N483" t="str">
            <v>GABRIELA D.</v>
          </cell>
          <cell r="AW483" t="str">
            <v/>
          </cell>
          <cell r="BA483" t="str">
            <v/>
          </cell>
        </row>
        <row r="484">
          <cell r="C484" t="str">
            <v>abril</v>
          </cell>
          <cell r="D484" t="str">
            <v>LIL-052</v>
          </cell>
          <cell r="G484" t="str">
            <v>DESTALONADA 0</v>
          </cell>
          <cell r="I484" t="str">
            <v>ESCOLAR NIÑA</v>
          </cell>
          <cell r="J484" t="str">
            <v>DISNEY</v>
          </cell>
          <cell r="M484" t="str">
            <v>ROSADO</v>
          </cell>
          <cell r="N484" t="str">
            <v>GABRIELA D.</v>
          </cell>
          <cell r="AW484" t="str">
            <v/>
          </cell>
          <cell r="BA484" t="str">
            <v/>
          </cell>
        </row>
        <row r="485">
          <cell r="C485" t="str">
            <v>abril</v>
          </cell>
          <cell r="D485" t="str">
            <v>LIL-053</v>
          </cell>
          <cell r="G485" t="str">
            <v>SUECA 0</v>
          </cell>
          <cell r="I485" t="str">
            <v>ESCOLAR NIÑA</v>
          </cell>
          <cell r="J485" t="str">
            <v>DISNEY</v>
          </cell>
          <cell r="M485" t="str">
            <v>ROSADO</v>
          </cell>
          <cell r="N485" t="str">
            <v>GABRIELA D.</v>
          </cell>
          <cell r="AW485" t="str">
            <v/>
          </cell>
          <cell r="BA485" t="str">
            <v/>
          </cell>
        </row>
        <row r="486">
          <cell r="C486" t="str">
            <v>abril</v>
          </cell>
          <cell r="D486" t="str">
            <v>TOY-022</v>
          </cell>
          <cell r="G486" t="str">
            <v>SUECA 0</v>
          </cell>
          <cell r="I486" t="str">
            <v>ESCOLAR NIÑA</v>
          </cell>
          <cell r="J486" t="str">
            <v>DISNEY</v>
          </cell>
          <cell r="M486" t="str">
            <v>ROSADO</v>
          </cell>
          <cell r="N486" t="str">
            <v>GABRIELA D.</v>
          </cell>
          <cell r="AW486" t="str">
            <v/>
          </cell>
          <cell r="BA486" t="str">
            <v/>
          </cell>
        </row>
        <row r="487">
          <cell r="C487" t="str">
            <v>abril</v>
          </cell>
          <cell r="D487" t="str">
            <v>H26-3577</v>
          </cell>
          <cell r="G487" t="str">
            <v>DESTALONADA 0</v>
          </cell>
          <cell r="I487" t="str">
            <v>CABALLERO</v>
          </cell>
          <cell r="J487" t="str">
            <v/>
          </cell>
          <cell r="M487" t="str">
            <v>ROLAND</v>
          </cell>
          <cell r="N487" t="str">
            <v>SANTIAGO M.</v>
          </cell>
          <cell r="AW487" t="str">
            <v/>
          </cell>
          <cell r="BA487" t="str">
            <v/>
          </cell>
        </row>
        <row r="488">
          <cell r="C488" t="str">
            <v>abril</v>
          </cell>
          <cell r="D488" t="str">
            <v>H26-3578</v>
          </cell>
          <cell r="G488" t="str">
            <v>SUECA CON MEDALLÓN</v>
          </cell>
          <cell r="I488" t="str">
            <v>CABALLERO</v>
          </cell>
          <cell r="J488" t="str">
            <v/>
          </cell>
          <cell r="M488" t="str">
            <v>ROLAND</v>
          </cell>
          <cell r="N488" t="str">
            <v>SANTIAGO M.</v>
          </cell>
          <cell r="AW488" t="str">
            <v/>
          </cell>
          <cell r="BA488" t="str">
            <v/>
          </cell>
        </row>
        <row r="489">
          <cell r="C489" t="str">
            <v>abril</v>
          </cell>
          <cell r="D489" t="str">
            <v>H26-3579</v>
          </cell>
          <cell r="G489" t="str">
            <v>SUECA CON MEDALLÓN</v>
          </cell>
          <cell r="I489" t="str">
            <v>CABALLERO</v>
          </cell>
          <cell r="J489" t="str">
            <v/>
          </cell>
          <cell r="M489" t="str">
            <v>ROLAND</v>
          </cell>
          <cell r="N489" t="str">
            <v>SANTIAGO M.</v>
          </cell>
          <cell r="AW489" t="str">
            <v/>
          </cell>
          <cell r="BA489" t="str">
            <v/>
          </cell>
        </row>
        <row r="490">
          <cell r="C490" t="str">
            <v>abril</v>
          </cell>
          <cell r="D490" t="str">
            <v>H26-3580</v>
          </cell>
          <cell r="G490" t="str">
            <v>TALÓN 0</v>
          </cell>
          <cell r="I490" t="str">
            <v>CABALLERO</v>
          </cell>
          <cell r="J490" t="str">
            <v/>
          </cell>
          <cell r="M490" t="str">
            <v>ROLAND</v>
          </cell>
          <cell r="N490" t="str">
            <v>SANTIAGO M.</v>
          </cell>
          <cell r="AW490" t="str">
            <v/>
          </cell>
          <cell r="BA490" t="str">
            <v/>
          </cell>
        </row>
        <row r="491">
          <cell r="C491" t="str">
            <v>abril</v>
          </cell>
          <cell r="D491" t="str">
            <v>H26-3581</v>
          </cell>
          <cell r="G491" t="str">
            <v>SUECA 0</v>
          </cell>
          <cell r="I491" t="str">
            <v>CABALLERO</v>
          </cell>
          <cell r="J491" t="str">
            <v/>
          </cell>
          <cell r="M491" t="str">
            <v>ROLAND</v>
          </cell>
          <cell r="N491" t="str">
            <v>SANTIAGO M.</v>
          </cell>
          <cell r="AW491" t="str">
            <v/>
          </cell>
          <cell r="BA491" t="str">
            <v/>
          </cell>
        </row>
        <row r="492">
          <cell r="C492" t="str">
            <v>abril</v>
          </cell>
          <cell r="D492" t="str">
            <v>H26-3582</v>
          </cell>
          <cell r="G492" t="str">
            <v>SUECA 0</v>
          </cell>
          <cell r="I492" t="str">
            <v>CABALLERO</v>
          </cell>
          <cell r="J492" t="str">
            <v/>
          </cell>
          <cell r="M492" t="str">
            <v>ROLAND</v>
          </cell>
          <cell r="N492" t="str">
            <v>SANTIAGO M.</v>
          </cell>
          <cell r="AW492" t="str">
            <v/>
          </cell>
          <cell r="BA492" t="str">
            <v/>
          </cell>
        </row>
        <row r="493">
          <cell r="C493" t="str">
            <v>abril</v>
          </cell>
          <cell r="D493" t="str">
            <v>H26-3583</v>
          </cell>
          <cell r="G493" t="str">
            <v>SUECA CON FILO</v>
          </cell>
          <cell r="I493" t="str">
            <v>CABALLERO</v>
          </cell>
          <cell r="J493" t="str">
            <v/>
          </cell>
          <cell r="M493" t="str">
            <v>ROLAND</v>
          </cell>
          <cell r="N493" t="str">
            <v>SANTIAGO M.</v>
          </cell>
          <cell r="AW493" t="str">
            <v/>
          </cell>
          <cell r="BA493" t="str">
            <v/>
          </cell>
        </row>
        <row r="494">
          <cell r="C494" t="str">
            <v>abril</v>
          </cell>
          <cell r="D494" t="str">
            <v>H26-3584</v>
          </cell>
          <cell r="G494" t="str">
            <v>SUECA CON FILO</v>
          </cell>
          <cell r="I494" t="str">
            <v>CABALLERO</v>
          </cell>
          <cell r="J494" t="str">
            <v/>
          </cell>
          <cell r="M494" t="str">
            <v>ROLAND</v>
          </cell>
          <cell r="N494" t="str">
            <v>SANTIAGO M.</v>
          </cell>
          <cell r="AW494" t="str">
            <v/>
          </cell>
          <cell r="BA494" t="str">
            <v/>
          </cell>
        </row>
        <row r="495">
          <cell r="C495" t="str">
            <v>abril</v>
          </cell>
          <cell r="D495" t="str">
            <v>H26-3585</v>
          </cell>
          <cell r="G495" t="str">
            <v>SUECA 0</v>
          </cell>
          <cell r="I495" t="str">
            <v>CABALLERO</v>
          </cell>
          <cell r="J495" t="str">
            <v/>
          </cell>
          <cell r="M495" t="str">
            <v>SOCKIES</v>
          </cell>
          <cell r="N495" t="str">
            <v>SANTIAGO M.</v>
          </cell>
          <cell r="AW495" t="str">
            <v/>
          </cell>
          <cell r="BA495" t="str">
            <v/>
          </cell>
        </row>
        <row r="496">
          <cell r="C496" t="str">
            <v>abril</v>
          </cell>
          <cell r="D496" t="str">
            <v>H26-3586</v>
          </cell>
          <cell r="G496" t="str">
            <v>SUECA 0</v>
          </cell>
          <cell r="I496" t="str">
            <v>CABALLERO</v>
          </cell>
          <cell r="J496" t="str">
            <v/>
          </cell>
          <cell r="M496" t="str">
            <v>SOCKIES</v>
          </cell>
          <cell r="N496" t="str">
            <v>SANTIAGO M.</v>
          </cell>
          <cell r="AW496" t="str">
            <v/>
          </cell>
          <cell r="BA496" t="str">
            <v/>
          </cell>
        </row>
        <row r="497">
          <cell r="C497" t="str">
            <v>abril</v>
          </cell>
          <cell r="D497" t="str">
            <v>H26-3587</v>
          </cell>
          <cell r="G497" t="str">
            <v>DESTALONADA 0</v>
          </cell>
          <cell r="I497" t="str">
            <v>CABALLERO</v>
          </cell>
          <cell r="J497" t="str">
            <v/>
          </cell>
          <cell r="M497" t="str">
            <v>ROLAND</v>
          </cell>
          <cell r="N497" t="str">
            <v>SANTIAGO M.</v>
          </cell>
          <cell r="AW497" t="str">
            <v/>
          </cell>
          <cell r="BA497" t="str">
            <v/>
          </cell>
        </row>
        <row r="498">
          <cell r="C498" t="str">
            <v>abril</v>
          </cell>
          <cell r="D498" t="str">
            <v>D26-4192</v>
          </cell>
          <cell r="G498" t="str">
            <v>SUECA CON FILO</v>
          </cell>
          <cell r="I498" t="str">
            <v>DAMA</v>
          </cell>
          <cell r="J498" t="str">
            <v/>
          </cell>
          <cell r="M498" t="str">
            <v>SOCKIES</v>
          </cell>
          <cell r="N498" t="str">
            <v>SANTIAGO M.</v>
          </cell>
          <cell r="AW498" t="str">
            <v/>
          </cell>
          <cell r="BA498" t="str">
            <v/>
          </cell>
        </row>
        <row r="499">
          <cell r="C499" t="str">
            <v>abril</v>
          </cell>
          <cell r="D499" t="str">
            <v>D26-4193</v>
          </cell>
          <cell r="G499" t="str">
            <v>SANDALIA CRUZADA EN X</v>
          </cell>
          <cell r="I499" t="str">
            <v>DAMA</v>
          </cell>
          <cell r="J499" t="str">
            <v/>
          </cell>
          <cell r="M499" t="str">
            <v>SOCKIES</v>
          </cell>
          <cell r="N499" t="str">
            <v>SANTIAGO M.</v>
          </cell>
          <cell r="AW499" t="str">
            <v/>
          </cell>
          <cell r="BA499" t="str">
            <v/>
          </cell>
        </row>
        <row r="500">
          <cell r="C500" t="str">
            <v>abril</v>
          </cell>
          <cell r="D500" t="str">
            <v>D26-4194</v>
          </cell>
          <cell r="G500" t="str">
            <v>SUECA DIVIDIDA STROBEL</v>
          </cell>
          <cell r="I500" t="str">
            <v>DAMA</v>
          </cell>
          <cell r="J500" t="str">
            <v/>
          </cell>
          <cell r="M500" t="str">
            <v>SOCKIES</v>
          </cell>
          <cell r="N500" t="str">
            <v>SANTIAGO M.</v>
          </cell>
          <cell r="AW500" t="str">
            <v/>
          </cell>
          <cell r="BA500" t="str">
            <v/>
          </cell>
        </row>
        <row r="501">
          <cell r="C501" t="str">
            <v/>
          </cell>
          <cell r="D501">
            <v>0</v>
          </cell>
          <cell r="G501" t="str">
            <v/>
          </cell>
          <cell r="I501" t="str">
            <v/>
          </cell>
          <cell r="J501" t="str">
            <v/>
          </cell>
          <cell r="M501" t="str">
            <v/>
          </cell>
          <cell r="N501" t="str">
            <v/>
          </cell>
          <cell r="AW501" t="str">
            <v/>
          </cell>
          <cell r="BA501" t="str">
            <v/>
          </cell>
        </row>
        <row r="502">
          <cell r="C502" t="str">
            <v/>
          </cell>
          <cell r="D502">
            <v>0</v>
          </cell>
          <cell r="G502" t="str">
            <v/>
          </cell>
          <cell r="I502" t="str">
            <v/>
          </cell>
          <cell r="J502" t="str">
            <v/>
          </cell>
          <cell r="M502" t="str">
            <v/>
          </cell>
          <cell r="N502" t="str">
            <v/>
          </cell>
          <cell r="AW502" t="str">
            <v/>
          </cell>
          <cell r="BA502" t="str">
            <v/>
          </cell>
        </row>
        <row r="503">
          <cell r="C503" t="str">
            <v/>
          </cell>
          <cell r="D503">
            <v>0</v>
          </cell>
          <cell r="G503" t="str">
            <v/>
          </cell>
          <cell r="I503" t="str">
            <v/>
          </cell>
          <cell r="J503" t="str">
            <v/>
          </cell>
          <cell r="M503" t="str">
            <v/>
          </cell>
          <cell r="N503" t="str">
            <v/>
          </cell>
          <cell r="AW503" t="str">
            <v/>
          </cell>
          <cell r="BA503" t="str">
            <v/>
          </cell>
        </row>
        <row r="504">
          <cell r="C504" t="str">
            <v/>
          </cell>
          <cell r="D504">
            <v>0</v>
          </cell>
          <cell r="G504" t="str">
            <v/>
          </cell>
          <cell r="I504" t="str">
            <v/>
          </cell>
          <cell r="J504" t="str">
            <v/>
          </cell>
          <cell r="M504" t="str">
            <v/>
          </cell>
          <cell r="N504" t="str">
            <v/>
          </cell>
          <cell r="AW504" t="str">
            <v/>
          </cell>
          <cell r="BA504" t="str">
            <v/>
          </cell>
        </row>
        <row r="505">
          <cell r="C505" t="str">
            <v/>
          </cell>
          <cell r="D505">
            <v>0</v>
          </cell>
          <cell r="G505" t="str">
            <v/>
          </cell>
          <cell r="I505" t="str">
            <v/>
          </cell>
          <cell r="J505" t="str">
            <v/>
          </cell>
          <cell r="M505" t="str">
            <v/>
          </cell>
          <cell r="N505" t="str">
            <v/>
          </cell>
          <cell r="AW505" t="str">
            <v/>
          </cell>
          <cell r="BA505" t="str">
            <v/>
          </cell>
        </row>
        <row r="506">
          <cell r="C506" t="str">
            <v/>
          </cell>
          <cell r="D506">
            <v>0</v>
          </cell>
          <cell r="G506" t="str">
            <v/>
          </cell>
          <cell r="I506" t="str">
            <v/>
          </cell>
          <cell r="J506" t="str">
            <v/>
          </cell>
          <cell r="M506" t="str">
            <v/>
          </cell>
          <cell r="N506" t="str">
            <v/>
          </cell>
          <cell r="AW506" t="str">
            <v/>
          </cell>
          <cell r="BA506" t="str">
            <v/>
          </cell>
        </row>
        <row r="507">
          <cell r="C507" t="str">
            <v/>
          </cell>
          <cell r="D507">
            <v>0</v>
          </cell>
          <cell r="G507" t="str">
            <v/>
          </cell>
          <cell r="I507" t="str">
            <v/>
          </cell>
          <cell r="J507" t="str">
            <v/>
          </cell>
          <cell r="M507" t="str">
            <v/>
          </cell>
          <cell r="N507" t="str">
            <v/>
          </cell>
          <cell r="AW507" t="str">
            <v/>
          </cell>
          <cell r="BA507" t="str">
            <v/>
          </cell>
        </row>
        <row r="508">
          <cell r="C508" t="str">
            <v/>
          </cell>
          <cell r="D508">
            <v>0</v>
          </cell>
          <cell r="G508" t="str">
            <v/>
          </cell>
          <cell r="I508" t="str">
            <v/>
          </cell>
          <cell r="J508" t="str">
            <v/>
          </cell>
          <cell r="M508" t="str">
            <v/>
          </cell>
          <cell r="N508" t="str">
            <v/>
          </cell>
          <cell r="AW508" t="str">
            <v/>
          </cell>
          <cell r="BA508" t="str">
            <v/>
          </cell>
        </row>
        <row r="509">
          <cell r="C509">
            <v>0</v>
          </cell>
          <cell r="D509">
            <v>0</v>
          </cell>
          <cell r="G509">
            <v>0</v>
          </cell>
          <cell r="I509">
            <v>0</v>
          </cell>
          <cell r="J509">
            <v>0</v>
          </cell>
          <cell r="M509">
            <v>0</v>
          </cell>
          <cell r="N509">
            <v>0</v>
          </cell>
          <cell r="AW509" t="str">
            <v/>
          </cell>
          <cell r="BA509" t="str">
            <v/>
          </cell>
        </row>
        <row r="510">
          <cell r="C510">
            <v>0</v>
          </cell>
          <cell r="D510">
            <v>0</v>
          </cell>
          <cell r="G510">
            <v>0</v>
          </cell>
          <cell r="I510">
            <v>0</v>
          </cell>
          <cell r="J510">
            <v>0</v>
          </cell>
          <cell r="M510">
            <v>0</v>
          </cell>
          <cell r="N510">
            <v>0</v>
          </cell>
          <cell r="AW510" t="str">
            <v/>
          </cell>
          <cell r="BA510" t="str">
            <v/>
          </cell>
        </row>
        <row r="511">
          <cell r="C511">
            <v>0</v>
          </cell>
          <cell r="D511">
            <v>0</v>
          </cell>
          <cell r="G511">
            <v>0</v>
          </cell>
          <cell r="I511">
            <v>0</v>
          </cell>
          <cell r="J511">
            <v>0</v>
          </cell>
          <cell r="M511">
            <v>0</v>
          </cell>
          <cell r="N511">
            <v>0</v>
          </cell>
          <cell r="AW511" t="str">
            <v/>
          </cell>
          <cell r="BA511" t="str">
            <v/>
          </cell>
        </row>
        <row r="512">
          <cell r="C512">
            <v>0</v>
          </cell>
          <cell r="D512">
            <v>0</v>
          </cell>
          <cell r="G512">
            <v>0</v>
          </cell>
          <cell r="I512">
            <v>0</v>
          </cell>
          <cell r="J512">
            <v>0</v>
          </cell>
          <cell r="M512">
            <v>0</v>
          </cell>
          <cell r="N512">
            <v>0</v>
          </cell>
          <cell r="AW512" t="str">
            <v/>
          </cell>
          <cell r="BA512" t="str">
            <v/>
          </cell>
        </row>
        <row r="513">
          <cell r="C513">
            <v>0</v>
          </cell>
          <cell r="D513">
            <v>0</v>
          </cell>
          <cell r="G513">
            <v>0</v>
          </cell>
          <cell r="I513">
            <v>0</v>
          </cell>
          <cell r="J513">
            <v>0</v>
          </cell>
          <cell r="M513">
            <v>0</v>
          </cell>
          <cell r="N513">
            <v>0</v>
          </cell>
          <cell r="AW513" t="str">
            <v/>
          </cell>
          <cell r="BA513" t="str">
            <v/>
          </cell>
        </row>
        <row r="514">
          <cell r="C514">
            <v>0</v>
          </cell>
          <cell r="D514">
            <v>0</v>
          </cell>
          <cell r="G514">
            <v>0</v>
          </cell>
          <cell r="I514">
            <v>0</v>
          </cell>
          <cell r="J514">
            <v>0</v>
          </cell>
          <cell r="M514">
            <v>0</v>
          </cell>
          <cell r="N514">
            <v>0</v>
          </cell>
          <cell r="AW514" t="str">
            <v/>
          </cell>
          <cell r="BA514" t="str">
            <v/>
          </cell>
        </row>
        <row r="515">
          <cell r="C515">
            <v>0</v>
          </cell>
          <cell r="D515">
            <v>0</v>
          </cell>
          <cell r="G515">
            <v>0</v>
          </cell>
          <cell r="I515">
            <v>0</v>
          </cell>
          <cell r="J515">
            <v>0</v>
          </cell>
          <cell r="M515">
            <v>0</v>
          </cell>
          <cell r="N515">
            <v>0</v>
          </cell>
          <cell r="AW515" t="str">
            <v/>
          </cell>
          <cell r="BA515" t="str">
            <v/>
          </cell>
        </row>
        <row r="516">
          <cell r="C516">
            <v>0</v>
          </cell>
          <cell r="D516">
            <v>0</v>
          </cell>
          <cell r="G516">
            <v>0</v>
          </cell>
          <cell r="I516">
            <v>0</v>
          </cell>
          <cell r="J516">
            <v>0</v>
          </cell>
          <cell r="M516">
            <v>0</v>
          </cell>
          <cell r="N516">
            <v>0</v>
          </cell>
          <cell r="AW516" t="str">
            <v/>
          </cell>
          <cell r="BA516" t="str">
            <v/>
          </cell>
        </row>
        <row r="517">
          <cell r="C517">
            <v>0</v>
          </cell>
          <cell r="D517">
            <v>0</v>
          </cell>
          <cell r="G517">
            <v>0</v>
          </cell>
          <cell r="I517">
            <v>0</v>
          </cell>
          <cell r="J517">
            <v>0</v>
          </cell>
          <cell r="M517">
            <v>0</v>
          </cell>
          <cell r="N517">
            <v>0</v>
          </cell>
          <cell r="AW517" t="str">
            <v/>
          </cell>
          <cell r="BA517" t="str">
            <v/>
          </cell>
        </row>
        <row r="518">
          <cell r="C518">
            <v>0</v>
          </cell>
          <cell r="D518">
            <v>0</v>
          </cell>
          <cell r="G518">
            <v>0</v>
          </cell>
          <cell r="I518">
            <v>0</v>
          </cell>
          <cell r="J518">
            <v>0</v>
          </cell>
          <cell r="M518">
            <v>0</v>
          </cell>
          <cell r="N518">
            <v>0</v>
          </cell>
          <cell r="AW518" t="str">
            <v/>
          </cell>
          <cell r="BA518" t="str">
            <v/>
          </cell>
        </row>
        <row r="519">
          <cell r="C519">
            <v>0</v>
          </cell>
          <cell r="D519">
            <v>0</v>
          </cell>
          <cell r="G519">
            <v>0</v>
          </cell>
          <cell r="I519">
            <v>0</v>
          </cell>
          <cell r="J519">
            <v>0</v>
          </cell>
          <cell r="M519">
            <v>0</v>
          </cell>
          <cell r="N519">
            <v>0</v>
          </cell>
          <cell r="AW519" t="str">
            <v/>
          </cell>
          <cell r="BA519" t="str">
            <v/>
          </cell>
        </row>
        <row r="520">
          <cell r="C520">
            <v>0</v>
          </cell>
          <cell r="D520">
            <v>0</v>
          </cell>
          <cell r="G520">
            <v>0</v>
          </cell>
          <cell r="I520">
            <v>0</v>
          </cell>
          <cell r="J520">
            <v>0</v>
          </cell>
          <cell r="M520">
            <v>0</v>
          </cell>
          <cell r="N520">
            <v>0</v>
          </cell>
          <cell r="AW520" t="str">
            <v/>
          </cell>
          <cell r="BA520" t="str">
            <v/>
          </cell>
        </row>
        <row r="521">
          <cell r="C521">
            <v>0</v>
          </cell>
          <cell r="D521">
            <v>0</v>
          </cell>
          <cell r="G521">
            <v>0</v>
          </cell>
          <cell r="I521">
            <v>0</v>
          </cell>
          <cell r="J521">
            <v>0</v>
          </cell>
          <cell r="M521">
            <v>0</v>
          </cell>
          <cell r="N521">
            <v>0</v>
          </cell>
          <cell r="AW521" t="str">
            <v/>
          </cell>
          <cell r="BA521" t="str">
            <v/>
          </cell>
        </row>
        <row r="522">
          <cell r="C522">
            <v>0</v>
          </cell>
          <cell r="D522">
            <v>0</v>
          </cell>
          <cell r="G522">
            <v>0</v>
          </cell>
          <cell r="I522">
            <v>0</v>
          </cell>
          <cell r="J522">
            <v>0</v>
          </cell>
          <cell r="M522">
            <v>0</v>
          </cell>
          <cell r="N522">
            <v>0</v>
          </cell>
          <cell r="AW522" t="str">
            <v/>
          </cell>
          <cell r="BA522" t="str">
            <v/>
          </cell>
        </row>
        <row r="523">
          <cell r="C523">
            <v>0</v>
          </cell>
          <cell r="D523">
            <v>0</v>
          </cell>
          <cell r="G523">
            <v>0</v>
          </cell>
          <cell r="I523">
            <v>0</v>
          </cell>
          <cell r="J523">
            <v>0</v>
          </cell>
          <cell r="M523">
            <v>0</v>
          </cell>
          <cell r="N523">
            <v>0</v>
          </cell>
          <cell r="AW523" t="str">
            <v/>
          </cell>
          <cell r="BA523" t="str">
            <v/>
          </cell>
        </row>
        <row r="524">
          <cell r="C524">
            <v>0</v>
          </cell>
          <cell r="D524">
            <v>0</v>
          </cell>
          <cell r="G524">
            <v>0</v>
          </cell>
          <cell r="I524">
            <v>0</v>
          </cell>
          <cell r="J524">
            <v>0</v>
          </cell>
          <cell r="M524">
            <v>0</v>
          </cell>
          <cell r="N524">
            <v>0</v>
          </cell>
          <cell r="AW524" t="str">
            <v/>
          </cell>
          <cell r="BA524" t="str">
            <v/>
          </cell>
        </row>
        <row r="525">
          <cell r="C525">
            <v>0</v>
          </cell>
          <cell r="D525">
            <v>0</v>
          </cell>
          <cell r="G525">
            <v>0</v>
          </cell>
          <cell r="I525">
            <v>0</v>
          </cell>
          <cell r="J525">
            <v>0</v>
          </cell>
          <cell r="M525">
            <v>0</v>
          </cell>
          <cell r="N525">
            <v>0</v>
          </cell>
          <cell r="AW525" t="str">
            <v/>
          </cell>
          <cell r="BA525" t="str">
            <v/>
          </cell>
        </row>
        <row r="526">
          <cell r="C526">
            <v>0</v>
          </cell>
          <cell r="D526">
            <v>0</v>
          </cell>
          <cell r="G526">
            <v>0</v>
          </cell>
          <cell r="I526">
            <v>0</v>
          </cell>
          <cell r="J526">
            <v>0</v>
          </cell>
          <cell r="M526">
            <v>0</v>
          </cell>
          <cell r="N526">
            <v>0</v>
          </cell>
          <cell r="AW526" t="str">
            <v/>
          </cell>
          <cell r="BA526" t="str">
            <v/>
          </cell>
        </row>
        <row r="527">
          <cell r="C527">
            <v>0</v>
          </cell>
          <cell r="D527">
            <v>0</v>
          </cell>
          <cell r="G527">
            <v>0</v>
          </cell>
          <cell r="I527">
            <v>0</v>
          </cell>
          <cell r="J527">
            <v>0</v>
          </cell>
          <cell r="M527">
            <v>0</v>
          </cell>
          <cell r="N527">
            <v>0</v>
          </cell>
          <cell r="AW527" t="str">
            <v/>
          </cell>
          <cell r="BA527" t="str">
            <v/>
          </cell>
        </row>
        <row r="528">
          <cell r="C528">
            <v>0</v>
          </cell>
          <cell r="D528">
            <v>0</v>
          </cell>
          <cell r="G528">
            <v>0</v>
          </cell>
          <cell r="I528">
            <v>0</v>
          </cell>
          <cell r="J528">
            <v>0</v>
          </cell>
          <cell r="M528">
            <v>0</v>
          </cell>
          <cell r="N528">
            <v>0</v>
          </cell>
          <cell r="AW528" t="str">
            <v/>
          </cell>
          <cell r="BA528" t="str">
            <v/>
          </cell>
        </row>
        <row r="529">
          <cell r="C529">
            <v>0</v>
          </cell>
          <cell r="D529">
            <v>0</v>
          </cell>
          <cell r="G529">
            <v>0</v>
          </cell>
          <cell r="I529">
            <v>0</v>
          </cell>
          <cell r="J529">
            <v>0</v>
          </cell>
          <cell r="M529">
            <v>0</v>
          </cell>
          <cell r="N529">
            <v>0</v>
          </cell>
          <cell r="AW529" t="str">
            <v/>
          </cell>
          <cell r="BA529" t="str">
            <v/>
          </cell>
        </row>
        <row r="530">
          <cell r="C530">
            <v>0</v>
          </cell>
          <cell r="D530">
            <v>0</v>
          </cell>
          <cell r="G530">
            <v>0</v>
          </cell>
          <cell r="I530">
            <v>0</v>
          </cell>
          <cell r="J530">
            <v>0</v>
          </cell>
          <cell r="M530">
            <v>0</v>
          </cell>
          <cell r="N530">
            <v>0</v>
          </cell>
          <cell r="AW530" t="str">
            <v/>
          </cell>
          <cell r="BA530" t="str">
            <v/>
          </cell>
        </row>
        <row r="531">
          <cell r="C531">
            <v>0</v>
          </cell>
          <cell r="D531">
            <v>0</v>
          </cell>
          <cell r="G531">
            <v>0</v>
          </cell>
          <cell r="I531">
            <v>0</v>
          </cell>
          <cell r="J531">
            <v>0</v>
          </cell>
          <cell r="M531">
            <v>0</v>
          </cell>
          <cell r="N531">
            <v>0</v>
          </cell>
          <cell r="AW531" t="str">
            <v/>
          </cell>
          <cell r="BA531" t="str">
            <v/>
          </cell>
        </row>
        <row r="532">
          <cell r="C532">
            <v>0</v>
          </cell>
          <cell r="D532">
            <v>0</v>
          </cell>
          <cell r="G532">
            <v>0</v>
          </cell>
          <cell r="I532">
            <v>0</v>
          </cell>
          <cell r="J532">
            <v>0</v>
          </cell>
          <cell r="M532">
            <v>0</v>
          </cell>
          <cell r="N532">
            <v>0</v>
          </cell>
          <cell r="AW532" t="str">
            <v/>
          </cell>
          <cell r="BA532" t="str">
            <v/>
          </cell>
        </row>
        <row r="533">
          <cell r="C533">
            <v>0</v>
          </cell>
          <cell r="D533">
            <v>0</v>
          </cell>
          <cell r="G533">
            <v>0</v>
          </cell>
          <cell r="I533">
            <v>0</v>
          </cell>
          <cell r="J533">
            <v>0</v>
          </cell>
          <cell r="M533">
            <v>0</v>
          </cell>
          <cell r="N533">
            <v>0</v>
          </cell>
          <cell r="AW533" t="str">
            <v/>
          </cell>
          <cell r="BA533" t="str">
            <v/>
          </cell>
        </row>
        <row r="534">
          <cell r="C534">
            <v>0</v>
          </cell>
          <cell r="D534">
            <v>0</v>
          </cell>
          <cell r="G534">
            <v>0</v>
          </cell>
          <cell r="I534">
            <v>0</v>
          </cell>
          <cell r="J534">
            <v>0</v>
          </cell>
          <cell r="M534">
            <v>0</v>
          </cell>
          <cell r="N534">
            <v>0</v>
          </cell>
          <cell r="AW534" t="str">
            <v/>
          </cell>
          <cell r="BA534" t="str">
            <v/>
          </cell>
        </row>
        <row r="535">
          <cell r="C535">
            <v>0</v>
          </cell>
          <cell r="D535">
            <v>0</v>
          </cell>
          <cell r="G535">
            <v>0</v>
          </cell>
          <cell r="I535">
            <v>0</v>
          </cell>
          <cell r="J535">
            <v>0</v>
          </cell>
          <cell r="M535">
            <v>0</v>
          </cell>
          <cell r="N535">
            <v>0</v>
          </cell>
          <cell r="AW535" t="str">
            <v/>
          </cell>
          <cell r="BA535" t="str">
            <v/>
          </cell>
        </row>
        <row r="536">
          <cell r="C536">
            <v>0</v>
          </cell>
          <cell r="D536">
            <v>0</v>
          </cell>
          <cell r="G536">
            <v>0</v>
          </cell>
          <cell r="I536">
            <v>0</v>
          </cell>
          <cell r="J536">
            <v>0</v>
          </cell>
          <cell r="M536">
            <v>0</v>
          </cell>
          <cell r="N536">
            <v>0</v>
          </cell>
          <cell r="AW536" t="str">
            <v/>
          </cell>
          <cell r="BA536" t="str">
            <v/>
          </cell>
        </row>
        <row r="537">
          <cell r="C537">
            <v>0</v>
          </cell>
          <cell r="D537">
            <v>0</v>
          </cell>
          <cell r="G537">
            <v>0</v>
          </cell>
          <cell r="I537">
            <v>0</v>
          </cell>
          <cell r="J537">
            <v>0</v>
          </cell>
          <cell r="M537">
            <v>0</v>
          </cell>
          <cell r="N537">
            <v>0</v>
          </cell>
          <cell r="AW537" t="str">
            <v/>
          </cell>
          <cell r="BA537" t="str">
            <v/>
          </cell>
        </row>
        <row r="538">
          <cell r="C538">
            <v>0</v>
          </cell>
          <cell r="D538">
            <v>0</v>
          </cell>
          <cell r="G538">
            <v>0</v>
          </cell>
          <cell r="I538">
            <v>0</v>
          </cell>
          <cell r="J538">
            <v>0</v>
          </cell>
          <cell r="M538">
            <v>0</v>
          </cell>
          <cell r="N538">
            <v>0</v>
          </cell>
          <cell r="AW538" t="str">
            <v/>
          </cell>
          <cell r="BA538" t="str">
            <v/>
          </cell>
        </row>
        <row r="539">
          <cell r="C539">
            <v>0</v>
          </cell>
          <cell r="D539">
            <v>0</v>
          </cell>
          <cell r="G539">
            <v>0</v>
          </cell>
          <cell r="I539">
            <v>0</v>
          </cell>
          <cell r="J539">
            <v>0</v>
          </cell>
          <cell r="M539">
            <v>0</v>
          </cell>
          <cell r="N539">
            <v>0</v>
          </cell>
          <cell r="AW539" t="str">
            <v/>
          </cell>
          <cell r="BA539" t="str">
            <v/>
          </cell>
        </row>
        <row r="540">
          <cell r="C540">
            <v>0</v>
          </cell>
          <cell r="D540">
            <v>0</v>
          </cell>
          <cell r="G540">
            <v>0</v>
          </cell>
          <cell r="I540">
            <v>0</v>
          </cell>
          <cell r="J540">
            <v>0</v>
          </cell>
          <cell r="M540">
            <v>0</v>
          </cell>
          <cell r="N540">
            <v>0</v>
          </cell>
          <cell r="AW540" t="str">
            <v/>
          </cell>
          <cell r="BA540" t="str">
            <v/>
          </cell>
        </row>
        <row r="541">
          <cell r="C541">
            <v>0</v>
          </cell>
          <cell r="D541">
            <v>0</v>
          </cell>
          <cell r="G541">
            <v>0</v>
          </cell>
          <cell r="I541">
            <v>0</v>
          </cell>
          <cell r="J541">
            <v>0</v>
          </cell>
          <cell r="M541">
            <v>0</v>
          </cell>
          <cell r="N541">
            <v>0</v>
          </cell>
          <cell r="AW541" t="str">
            <v/>
          </cell>
          <cell r="BA541" t="str">
            <v/>
          </cell>
        </row>
        <row r="542">
          <cell r="C542">
            <v>0</v>
          </cell>
          <cell r="D542">
            <v>0</v>
          </cell>
          <cell r="G542">
            <v>0</v>
          </cell>
          <cell r="I542">
            <v>0</v>
          </cell>
          <cell r="J542">
            <v>0</v>
          </cell>
          <cell r="M542">
            <v>0</v>
          </cell>
          <cell r="N542">
            <v>0</v>
          </cell>
          <cell r="AW542" t="str">
            <v/>
          </cell>
          <cell r="BA542" t="str">
            <v/>
          </cell>
        </row>
        <row r="543">
          <cell r="C543">
            <v>0</v>
          </cell>
          <cell r="D543">
            <v>0</v>
          </cell>
          <cell r="G543">
            <v>0</v>
          </cell>
          <cell r="I543">
            <v>0</v>
          </cell>
          <cell r="J543">
            <v>0</v>
          </cell>
          <cell r="M543">
            <v>0</v>
          </cell>
          <cell r="N543">
            <v>0</v>
          </cell>
          <cell r="AW543" t="str">
            <v/>
          </cell>
          <cell r="BA543" t="str">
            <v/>
          </cell>
        </row>
        <row r="544">
          <cell r="C544">
            <v>0</v>
          </cell>
          <cell r="D544">
            <v>0</v>
          </cell>
          <cell r="G544">
            <v>0</v>
          </cell>
          <cell r="I544">
            <v>0</v>
          </cell>
          <cell r="J544">
            <v>0</v>
          </cell>
          <cell r="M544">
            <v>0</v>
          </cell>
          <cell r="N544">
            <v>0</v>
          </cell>
          <cell r="AW544" t="str">
            <v/>
          </cell>
          <cell r="BA544" t="str">
            <v/>
          </cell>
        </row>
        <row r="545">
          <cell r="C545">
            <v>0</v>
          </cell>
          <cell r="D545">
            <v>0</v>
          </cell>
          <cell r="G545">
            <v>0</v>
          </cell>
          <cell r="I545">
            <v>0</v>
          </cell>
          <cell r="J545">
            <v>0</v>
          </cell>
          <cell r="M545">
            <v>0</v>
          </cell>
          <cell r="N545">
            <v>0</v>
          </cell>
          <cell r="AW545">
            <v>0</v>
          </cell>
          <cell r="BA545" t="str">
            <v/>
          </cell>
        </row>
        <row r="546">
          <cell r="C546">
            <v>0</v>
          </cell>
          <cell r="D546">
            <v>0</v>
          </cell>
          <cell r="G546">
            <v>0</v>
          </cell>
          <cell r="I546">
            <v>0</v>
          </cell>
          <cell r="J546">
            <v>0</v>
          </cell>
          <cell r="M546">
            <v>0</v>
          </cell>
          <cell r="N546">
            <v>0</v>
          </cell>
          <cell r="AW546" t="str">
            <v/>
          </cell>
          <cell r="BA546" t="str">
            <v/>
          </cell>
        </row>
        <row r="547">
          <cell r="C547">
            <v>0</v>
          </cell>
          <cell r="D547">
            <v>0</v>
          </cell>
          <cell r="G547">
            <v>0</v>
          </cell>
          <cell r="I547">
            <v>0</v>
          </cell>
          <cell r="J547">
            <v>0</v>
          </cell>
          <cell r="M547">
            <v>0</v>
          </cell>
          <cell r="N547">
            <v>0</v>
          </cell>
          <cell r="AW547" t="str">
            <v/>
          </cell>
          <cell r="BA547" t="str">
            <v/>
          </cell>
        </row>
        <row r="548">
          <cell r="C548">
            <v>0</v>
          </cell>
          <cell r="D548">
            <v>0</v>
          </cell>
          <cell r="G548">
            <v>0</v>
          </cell>
          <cell r="I548">
            <v>0</v>
          </cell>
          <cell r="J548">
            <v>0</v>
          </cell>
          <cell r="M548">
            <v>0</v>
          </cell>
          <cell r="N548">
            <v>0</v>
          </cell>
          <cell r="AW548" t="str">
            <v/>
          </cell>
          <cell r="BA548" t="str">
            <v/>
          </cell>
        </row>
        <row r="549">
          <cell r="C549">
            <v>0</v>
          </cell>
          <cell r="D549">
            <v>0</v>
          </cell>
          <cell r="G549">
            <v>0</v>
          </cell>
          <cell r="I549">
            <v>0</v>
          </cell>
          <cell r="J549">
            <v>0</v>
          </cell>
          <cell r="M549">
            <v>0</v>
          </cell>
          <cell r="N549">
            <v>0</v>
          </cell>
          <cell r="AW549" t="str">
            <v/>
          </cell>
          <cell r="BA549" t="str">
            <v/>
          </cell>
        </row>
        <row r="550">
          <cell r="C550">
            <v>0</v>
          </cell>
          <cell r="D550">
            <v>0</v>
          </cell>
          <cell r="G550">
            <v>0</v>
          </cell>
          <cell r="I550">
            <v>0</v>
          </cell>
          <cell r="J550">
            <v>0</v>
          </cell>
          <cell r="M550">
            <v>0</v>
          </cell>
          <cell r="N550">
            <v>0</v>
          </cell>
          <cell r="AW550" t="str">
            <v/>
          </cell>
          <cell r="BA550" t="str">
            <v/>
          </cell>
        </row>
        <row r="551">
          <cell r="C551">
            <v>0</v>
          </cell>
          <cell r="D551">
            <v>0</v>
          </cell>
          <cell r="G551">
            <v>0</v>
          </cell>
          <cell r="I551">
            <v>0</v>
          </cell>
          <cell r="J551">
            <v>0</v>
          </cell>
          <cell r="M551">
            <v>0</v>
          </cell>
          <cell r="N551">
            <v>0</v>
          </cell>
          <cell r="AW551" t="str">
            <v/>
          </cell>
          <cell r="BA551" t="str">
            <v/>
          </cell>
        </row>
        <row r="552">
          <cell r="C552">
            <v>0</v>
          </cell>
          <cell r="D552">
            <v>0</v>
          </cell>
          <cell r="G552">
            <v>0</v>
          </cell>
          <cell r="I552">
            <v>0</v>
          </cell>
          <cell r="J552">
            <v>0</v>
          </cell>
          <cell r="M552">
            <v>0</v>
          </cell>
          <cell r="N552">
            <v>0</v>
          </cell>
          <cell r="AW552" t="str">
            <v/>
          </cell>
          <cell r="BA552" t="str">
            <v/>
          </cell>
        </row>
        <row r="553">
          <cell r="C553">
            <v>0</v>
          </cell>
          <cell r="D553">
            <v>0</v>
          </cell>
          <cell r="G553">
            <v>0</v>
          </cell>
          <cell r="I553">
            <v>0</v>
          </cell>
          <cell r="J553">
            <v>0</v>
          </cell>
          <cell r="M553">
            <v>0</v>
          </cell>
          <cell r="N553">
            <v>0</v>
          </cell>
          <cell r="AW553" t="str">
            <v/>
          </cell>
          <cell r="BA553" t="str">
            <v/>
          </cell>
        </row>
        <row r="554">
          <cell r="C554">
            <v>0</v>
          </cell>
          <cell r="D554">
            <v>0</v>
          </cell>
          <cell r="G554">
            <v>0</v>
          </cell>
          <cell r="I554">
            <v>0</v>
          </cell>
          <cell r="J554">
            <v>0</v>
          </cell>
          <cell r="M554">
            <v>0</v>
          </cell>
          <cell r="N554">
            <v>0</v>
          </cell>
          <cell r="AW554" t="str">
            <v/>
          </cell>
          <cell r="BA554" t="str">
            <v/>
          </cell>
        </row>
        <row r="555">
          <cell r="C555">
            <v>0</v>
          </cell>
          <cell r="D555">
            <v>0</v>
          </cell>
          <cell r="G555">
            <v>0</v>
          </cell>
          <cell r="I555">
            <v>0</v>
          </cell>
          <cell r="J555">
            <v>0</v>
          </cell>
          <cell r="M555">
            <v>0</v>
          </cell>
          <cell r="N555">
            <v>0</v>
          </cell>
          <cell r="AW555" t="str">
            <v/>
          </cell>
          <cell r="BA555" t="str">
            <v/>
          </cell>
        </row>
        <row r="556">
          <cell r="C556">
            <v>0</v>
          </cell>
          <cell r="D556">
            <v>0</v>
          </cell>
          <cell r="G556">
            <v>0</v>
          </cell>
          <cell r="I556">
            <v>0</v>
          </cell>
          <cell r="J556">
            <v>0</v>
          </cell>
          <cell r="M556">
            <v>0</v>
          </cell>
          <cell r="N556">
            <v>0</v>
          </cell>
          <cell r="AW556" t="str">
            <v/>
          </cell>
          <cell r="BA556" t="str">
            <v/>
          </cell>
        </row>
        <row r="557">
          <cell r="C557">
            <v>0</v>
          </cell>
          <cell r="D557">
            <v>0</v>
          </cell>
          <cell r="G557">
            <v>0</v>
          </cell>
          <cell r="I557">
            <v>0</v>
          </cell>
          <cell r="J557">
            <v>0</v>
          </cell>
          <cell r="M557">
            <v>0</v>
          </cell>
          <cell r="N557">
            <v>0</v>
          </cell>
          <cell r="AW557" t="str">
            <v/>
          </cell>
          <cell r="BA557" t="str">
            <v/>
          </cell>
        </row>
        <row r="558">
          <cell r="C558">
            <v>0</v>
          </cell>
          <cell r="D558">
            <v>0</v>
          </cell>
          <cell r="G558">
            <v>0</v>
          </cell>
          <cell r="I558">
            <v>0</v>
          </cell>
          <cell r="J558">
            <v>0</v>
          </cell>
          <cell r="M558">
            <v>0</v>
          </cell>
          <cell r="N558">
            <v>0</v>
          </cell>
          <cell r="AW558" t="str">
            <v/>
          </cell>
          <cell r="BA558" t="str">
            <v/>
          </cell>
        </row>
        <row r="559">
          <cell r="C559">
            <v>0</v>
          </cell>
          <cell r="D559">
            <v>0</v>
          </cell>
          <cell r="G559">
            <v>0</v>
          </cell>
          <cell r="I559">
            <v>0</v>
          </cell>
          <cell r="J559">
            <v>0</v>
          </cell>
          <cell r="M559">
            <v>0</v>
          </cell>
          <cell r="N559">
            <v>0</v>
          </cell>
          <cell r="AW559" t="str">
            <v/>
          </cell>
          <cell r="BA559" t="str">
            <v/>
          </cell>
        </row>
        <row r="560">
          <cell r="C560">
            <v>0</v>
          </cell>
          <cell r="D560">
            <v>0</v>
          </cell>
          <cell r="G560">
            <v>0</v>
          </cell>
          <cell r="I560">
            <v>0</v>
          </cell>
          <cell r="J560">
            <v>0</v>
          </cell>
          <cell r="M560">
            <v>0</v>
          </cell>
          <cell r="N560">
            <v>0</v>
          </cell>
          <cell r="AW560" t="str">
            <v/>
          </cell>
          <cell r="BA560" t="str">
            <v/>
          </cell>
        </row>
        <row r="561">
          <cell r="C561">
            <v>0</v>
          </cell>
          <cell r="D561">
            <v>0</v>
          </cell>
          <cell r="G561">
            <v>0</v>
          </cell>
          <cell r="I561">
            <v>0</v>
          </cell>
          <cell r="J561">
            <v>0</v>
          </cell>
          <cell r="M561">
            <v>0</v>
          </cell>
          <cell r="N561">
            <v>0</v>
          </cell>
          <cell r="AW561" t="str">
            <v/>
          </cell>
          <cell r="BA561" t="str">
            <v/>
          </cell>
        </row>
        <row r="562">
          <cell r="C562">
            <v>0</v>
          </cell>
          <cell r="D562">
            <v>0</v>
          </cell>
          <cell r="G562">
            <v>0</v>
          </cell>
          <cell r="I562">
            <v>0</v>
          </cell>
          <cell r="J562">
            <v>0</v>
          </cell>
          <cell r="M562">
            <v>0</v>
          </cell>
          <cell r="N562">
            <v>0</v>
          </cell>
          <cell r="AW562" t="str">
            <v/>
          </cell>
          <cell r="BA562" t="str">
            <v/>
          </cell>
        </row>
        <row r="563">
          <cell r="C563">
            <v>0</v>
          </cell>
          <cell r="D563">
            <v>0</v>
          </cell>
          <cell r="G563">
            <v>0</v>
          </cell>
          <cell r="I563">
            <v>0</v>
          </cell>
          <cell r="J563">
            <v>0</v>
          </cell>
          <cell r="M563">
            <v>0</v>
          </cell>
          <cell r="N563">
            <v>0</v>
          </cell>
          <cell r="AW563" t="str">
            <v/>
          </cell>
          <cell r="BA563" t="str">
            <v/>
          </cell>
        </row>
        <row r="564">
          <cell r="C564">
            <v>0</v>
          </cell>
          <cell r="D564">
            <v>0</v>
          </cell>
          <cell r="G564">
            <v>0</v>
          </cell>
          <cell r="I564">
            <v>0</v>
          </cell>
          <cell r="J564">
            <v>0</v>
          </cell>
          <cell r="M564">
            <v>0</v>
          </cell>
          <cell r="N564">
            <v>0</v>
          </cell>
          <cell r="AW564" t="str">
            <v/>
          </cell>
          <cell r="BA564" t="str">
            <v/>
          </cell>
        </row>
        <row r="565">
          <cell r="C565">
            <v>0</v>
          </cell>
          <cell r="D565">
            <v>0</v>
          </cell>
          <cell r="G565">
            <v>0</v>
          </cell>
          <cell r="I565">
            <v>0</v>
          </cell>
          <cell r="J565">
            <v>0</v>
          </cell>
          <cell r="M565">
            <v>0</v>
          </cell>
          <cell r="N565">
            <v>0</v>
          </cell>
          <cell r="AW565" t="str">
            <v/>
          </cell>
          <cell r="BA565" t="str">
            <v/>
          </cell>
        </row>
        <row r="566">
          <cell r="C566">
            <v>0</v>
          </cell>
          <cell r="D566">
            <v>0</v>
          </cell>
          <cell r="G566">
            <v>0</v>
          </cell>
          <cell r="I566">
            <v>0</v>
          </cell>
          <cell r="J566">
            <v>0</v>
          </cell>
          <cell r="M566">
            <v>0</v>
          </cell>
          <cell r="N566">
            <v>0</v>
          </cell>
          <cell r="AW566" t="str">
            <v/>
          </cell>
          <cell r="BA566" t="str">
            <v/>
          </cell>
        </row>
        <row r="567">
          <cell r="C567">
            <v>0</v>
          </cell>
          <cell r="D567">
            <v>0</v>
          </cell>
          <cell r="G567">
            <v>0</v>
          </cell>
          <cell r="I567">
            <v>0</v>
          </cell>
          <cell r="J567">
            <v>0</v>
          </cell>
          <cell r="M567">
            <v>0</v>
          </cell>
          <cell r="N567">
            <v>0</v>
          </cell>
          <cell r="AW567" t="str">
            <v/>
          </cell>
          <cell r="BA567" t="str">
            <v/>
          </cell>
        </row>
        <row r="568">
          <cell r="C568">
            <v>0</v>
          </cell>
          <cell r="D568">
            <v>0</v>
          </cell>
          <cell r="G568">
            <v>0</v>
          </cell>
          <cell r="I568">
            <v>0</v>
          </cell>
          <cell r="J568">
            <v>0</v>
          </cell>
          <cell r="M568">
            <v>0</v>
          </cell>
          <cell r="N568">
            <v>0</v>
          </cell>
          <cell r="AW568" t="str">
            <v/>
          </cell>
          <cell r="BA568" t="str">
            <v/>
          </cell>
        </row>
        <row r="569">
          <cell r="C569">
            <v>0</v>
          </cell>
          <cell r="D569">
            <v>0</v>
          </cell>
          <cell r="G569">
            <v>0</v>
          </cell>
          <cell r="I569">
            <v>0</v>
          </cell>
          <cell r="J569">
            <v>0</v>
          </cell>
          <cell r="M569">
            <v>0</v>
          </cell>
          <cell r="N569">
            <v>0</v>
          </cell>
          <cell r="AW569" t="str">
            <v/>
          </cell>
          <cell r="BA569" t="str">
            <v/>
          </cell>
        </row>
        <row r="570">
          <cell r="C570">
            <v>0</v>
          </cell>
          <cell r="D570">
            <v>0</v>
          </cell>
          <cell r="G570">
            <v>0</v>
          </cell>
          <cell r="I570">
            <v>0</v>
          </cell>
          <cell r="J570">
            <v>0</v>
          </cell>
          <cell r="M570">
            <v>0</v>
          </cell>
          <cell r="N570">
            <v>0</v>
          </cell>
          <cell r="AW570" t="str">
            <v/>
          </cell>
          <cell r="BA570" t="str">
            <v/>
          </cell>
        </row>
        <row r="571">
          <cell r="C571">
            <v>0</v>
          </cell>
          <cell r="D571">
            <v>0</v>
          </cell>
          <cell r="G571">
            <v>0</v>
          </cell>
          <cell r="I571">
            <v>0</v>
          </cell>
          <cell r="J571">
            <v>0</v>
          </cell>
          <cell r="M571">
            <v>0</v>
          </cell>
          <cell r="N571">
            <v>0</v>
          </cell>
          <cell r="AW571" t="str">
            <v/>
          </cell>
          <cell r="BA571" t="str">
            <v/>
          </cell>
        </row>
        <row r="572">
          <cell r="C572">
            <v>0</v>
          </cell>
          <cell r="D572">
            <v>0</v>
          </cell>
          <cell r="G572">
            <v>0</v>
          </cell>
          <cell r="I572">
            <v>0</v>
          </cell>
          <cell r="J572">
            <v>0</v>
          </cell>
          <cell r="M572">
            <v>0</v>
          </cell>
          <cell r="N572">
            <v>0</v>
          </cell>
          <cell r="AW572" t="str">
            <v/>
          </cell>
          <cell r="BA572" t="str">
            <v/>
          </cell>
        </row>
        <row r="573">
          <cell r="C573">
            <v>0</v>
          </cell>
          <cell r="D573">
            <v>0</v>
          </cell>
          <cell r="G573">
            <v>0</v>
          </cell>
          <cell r="I573">
            <v>0</v>
          </cell>
          <cell r="J573">
            <v>0</v>
          </cell>
          <cell r="M573">
            <v>0</v>
          </cell>
          <cell r="N573">
            <v>0</v>
          </cell>
          <cell r="AW573" t="str">
            <v/>
          </cell>
          <cell r="BA573" t="str">
            <v/>
          </cell>
        </row>
        <row r="574">
          <cell r="C574">
            <v>0</v>
          </cell>
          <cell r="D574">
            <v>0</v>
          </cell>
          <cell r="G574">
            <v>0</v>
          </cell>
          <cell r="I574">
            <v>0</v>
          </cell>
          <cell r="J574">
            <v>0</v>
          </cell>
          <cell r="M574">
            <v>0</v>
          </cell>
          <cell r="N574">
            <v>0</v>
          </cell>
          <cell r="AW574" t="str">
            <v/>
          </cell>
          <cell r="BA574" t="str">
            <v/>
          </cell>
        </row>
        <row r="575">
          <cell r="C575">
            <v>0</v>
          </cell>
          <cell r="D575">
            <v>0</v>
          </cell>
          <cell r="G575">
            <v>0</v>
          </cell>
          <cell r="I575">
            <v>0</v>
          </cell>
          <cell r="J575">
            <v>0</v>
          </cell>
          <cell r="M575">
            <v>0</v>
          </cell>
          <cell r="N575">
            <v>0</v>
          </cell>
          <cell r="AW575" t="str">
            <v/>
          </cell>
          <cell r="BA575" t="str">
            <v/>
          </cell>
        </row>
        <row r="576">
          <cell r="C576">
            <v>0</v>
          </cell>
          <cell r="D576">
            <v>0</v>
          </cell>
          <cell r="G576">
            <v>0</v>
          </cell>
          <cell r="I576">
            <v>0</v>
          </cell>
          <cell r="J576">
            <v>0</v>
          </cell>
          <cell r="M576">
            <v>0</v>
          </cell>
          <cell r="N576">
            <v>0</v>
          </cell>
          <cell r="AW576" t="str">
            <v/>
          </cell>
          <cell r="BA576" t="str">
            <v/>
          </cell>
        </row>
        <row r="577">
          <cell r="C577">
            <v>0</v>
          </cell>
          <cell r="D577">
            <v>0</v>
          </cell>
          <cell r="G577">
            <v>0</v>
          </cell>
          <cell r="I577">
            <v>0</v>
          </cell>
          <cell r="J577">
            <v>0</v>
          </cell>
          <cell r="M577">
            <v>0</v>
          </cell>
          <cell r="N577">
            <v>0</v>
          </cell>
          <cell r="AW577" t="str">
            <v/>
          </cell>
          <cell r="BA577" t="str">
            <v/>
          </cell>
        </row>
        <row r="578">
          <cell r="C578">
            <v>0</v>
          </cell>
          <cell r="D578">
            <v>0</v>
          </cell>
          <cell r="G578">
            <v>0</v>
          </cell>
          <cell r="I578">
            <v>0</v>
          </cell>
          <cell r="J578">
            <v>0</v>
          </cell>
          <cell r="M578">
            <v>0</v>
          </cell>
          <cell r="N578">
            <v>0</v>
          </cell>
          <cell r="AW578" t="str">
            <v/>
          </cell>
          <cell r="BA578" t="str">
            <v/>
          </cell>
        </row>
        <row r="579">
          <cell r="C579">
            <v>0</v>
          </cell>
          <cell r="D579">
            <v>0</v>
          </cell>
          <cell r="G579">
            <v>0</v>
          </cell>
          <cell r="I579">
            <v>0</v>
          </cell>
          <cell r="J579">
            <v>0</v>
          </cell>
          <cell r="M579">
            <v>0</v>
          </cell>
          <cell r="N579">
            <v>0</v>
          </cell>
          <cell r="AW579" t="str">
            <v/>
          </cell>
          <cell r="BA579" t="str">
            <v/>
          </cell>
        </row>
        <row r="580">
          <cell r="C580">
            <v>0</v>
          </cell>
          <cell r="D580">
            <v>0</v>
          </cell>
          <cell r="G580">
            <v>0</v>
          </cell>
          <cell r="I580">
            <v>0</v>
          </cell>
          <cell r="J580">
            <v>0</v>
          </cell>
          <cell r="M580">
            <v>0</v>
          </cell>
          <cell r="N580">
            <v>0</v>
          </cell>
          <cell r="AW580" t="str">
            <v/>
          </cell>
          <cell r="BA580" t="str">
            <v/>
          </cell>
        </row>
        <row r="581">
          <cell r="C581">
            <v>0</v>
          </cell>
          <cell r="D581">
            <v>0</v>
          </cell>
          <cell r="G581">
            <v>0</v>
          </cell>
          <cell r="I581">
            <v>0</v>
          </cell>
          <cell r="J581">
            <v>0</v>
          </cell>
          <cell r="M581">
            <v>0</v>
          </cell>
          <cell r="N581">
            <v>0</v>
          </cell>
          <cell r="AW581" t="str">
            <v/>
          </cell>
          <cell r="BA581" t="str">
            <v/>
          </cell>
        </row>
        <row r="582">
          <cell r="C582">
            <v>0</v>
          </cell>
          <cell r="D582">
            <v>0</v>
          </cell>
          <cell r="G582">
            <v>0</v>
          </cell>
          <cell r="I582">
            <v>0</v>
          </cell>
          <cell r="J582">
            <v>0</v>
          </cell>
          <cell r="M582">
            <v>0</v>
          </cell>
          <cell r="N582">
            <v>0</v>
          </cell>
          <cell r="AW582" t="str">
            <v/>
          </cell>
          <cell r="BA582" t="str">
            <v/>
          </cell>
        </row>
        <row r="583">
          <cell r="C583">
            <v>0</v>
          </cell>
          <cell r="D583">
            <v>0</v>
          </cell>
          <cell r="G583">
            <v>0</v>
          </cell>
          <cell r="I583">
            <v>0</v>
          </cell>
          <cell r="J583">
            <v>0</v>
          </cell>
          <cell r="M583">
            <v>0</v>
          </cell>
          <cell r="N583">
            <v>0</v>
          </cell>
          <cell r="AW583" t="str">
            <v/>
          </cell>
          <cell r="BA583" t="str">
            <v/>
          </cell>
        </row>
        <row r="584">
          <cell r="C584">
            <v>0</v>
          </cell>
          <cell r="D584">
            <v>0</v>
          </cell>
          <cell r="G584">
            <v>0</v>
          </cell>
          <cell r="I584">
            <v>0</v>
          </cell>
          <cell r="J584">
            <v>0</v>
          </cell>
          <cell r="M584">
            <v>0</v>
          </cell>
          <cell r="N584">
            <v>0</v>
          </cell>
          <cell r="AW584" t="str">
            <v/>
          </cell>
          <cell r="BA584" t="str">
            <v/>
          </cell>
        </row>
        <row r="585">
          <cell r="C585">
            <v>0</v>
          </cell>
          <cell r="D585">
            <v>0</v>
          </cell>
          <cell r="G585">
            <v>0</v>
          </cell>
          <cell r="I585">
            <v>0</v>
          </cell>
          <cell r="J585">
            <v>0</v>
          </cell>
          <cell r="M585">
            <v>0</v>
          </cell>
          <cell r="N585">
            <v>0</v>
          </cell>
          <cell r="AW585" t="str">
            <v/>
          </cell>
          <cell r="BA585" t="str">
            <v/>
          </cell>
        </row>
        <row r="586">
          <cell r="C586">
            <v>0</v>
          </cell>
          <cell r="D586">
            <v>0</v>
          </cell>
          <cell r="G586">
            <v>0</v>
          </cell>
          <cell r="I586">
            <v>0</v>
          </cell>
          <cell r="J586">
            <v>0</v>
          </cell>
          <cell r="M586">
            <v>0</v>
          </cell>
          <cell r="N586">
            <v>0</v>
          </cell>
          <cell r="AW586" t="str">
            <v/>
          </cell>
          <cell r="BA586" t="str">
            <v/>
          </cell>
        </row>
        <row r="587">
          <cell r="C587">
            <v>0</v>
          </cell>
          <cell r="D587">
            <v>0</v>
          </cell>
          <cell r="G587">
            <v>0</v>
          </cell>
          <cell r="I587">
            <v>0</v>
          </cell>
          <cell r="J587">
            <v>0</v>
          </cell>
          <cell r="M587">
            <v>0</v>
          </cell>
          <cell r="N587">
            <v>0</v>
          </cell>
          <cell r="AW587" t="str">
            <v/>
          </cell>
          <cell r="BA587" t="str">
            <v/>
          </cell>
        </row>
        <row r="588">
          <cell r="C588">
            <v>0</v>
          </cell>
          <cell r="D588">
            <v>0</v>
          </cell>
          <cell r="G588">
            <v>0</v>
          </cell>
          <cell r="I588">
            <v>0</v>
          </cell>
          <cell r="J588">
            <v>0</v>
          </cell>
          <cell r="M588">
            <v>0</v>
          </cell>
          <cell r="N588">
            <v>0</v>
          </cell>
          <cell r="AW588" t="str">
            <v/>
          </cell>
          <cell r="BA588" t="str">
            <v/>
          </cell>
        </row>
        <row r="589">
          <cell r="C589">
            <v>0</v>
          </cell>
          <cell r="D589">
            <v>0</v>
          </cell>
          <cell r="G589">
            <v>0</v>
          </cell>
          <cell r="I589">
            <v>0</v>
          </cell>
          <cell r="J589">
            <v>0</v>
          </cell>
          <cell r="M589">
            <v>0</v>
          </cell>
          <cell r="N589">
            <v>0</v>
          </cell>
          <cell r="AW589" t="str">
            <v/>
          </cell>
          <cell r="BA589" t="str">
            <v/>
          </cell>
        </row>
        <row r="590">
          <cell r="C590">
            <v>0</v>
          </cell>
          <cell r="D590">
            <v>0</v>
          </cell>
          <cell r="G590">
            <v>0</v>
          </cell>
          <cell r="I590">
            <v>0</v>
          </cell>
          <cell r="J590">
            <v>0</v>
          </cell>
          <cell r="M590">
            <v>0</v>
          </cell>
          <cell r="N590">
            <v>0</v>
          </cell>
          <cell r="AW590" t="str">
            <v/>
          </cell>
          <cell r="BA590" t="str">
            <v/>
          </cell>
        </row>
        <row r="591">
          <cell r="C591">
            <v>0</v>
          </cell>
          <cell r="D591">
            <v>0</v>
          </cell>
          <cell r="G591">
            <v>0</v>
          </cell>
          <cell r="I591">
            <v>0</v>
          </cell>
          <cell r="J591">
            <v>0</v>
          </cell>
          <cell r="M591">
            <v>0</v>
          </cell>
          <cell r="N591">
            <v>0</v>
          </cell>
          <cell r="AW591" t="str">
            <v/>
          </cell>
          <cell r="BA591" t="str">
            <v/>
          </cell>
        </row>
        <row r="592">
          <cell r="C592">
            <v>0</v>
          </cell>
          <cell r="D592">
            <v>0</v>
          </cell>
          <cell r="G592">
            <v>0</v>
          </cell>
          <cell r="I592">
            <v>0</v>
          </cell>
          <cell r="J592">
            <v>0</v>
          </cell>
          <cell r="M592">
            <v>0</v>
          </cell>
          <cell r="N592">
            <v>0</v>
          </cell>
          <cell r="AW592" t="str">
            <v/>
          </cell>
          <cell r="BA592" t="str">
            <v/>
          </cell>
        </row>
        <row r="593">
          <cell r="C593">
            <v>0</v>
          </cell>
          <cell r="D593">
            <v>0</v>
          </cell>
          <cell r="G593">
            <v>0</v>
          </cell>
          <cell r="I593">
            <v>0</v>
          </cell>
          <cell r="J593">
            <v>0</v>
          </cell>
          <cell r="M593">
            <v>0</v>
          </cell>
          <cell r="N593">
            <v>0</v>
          </cell>
          <cell r="AW593" t="str">
            <v/>
          </cell>
          <cell r="BA593" t="str">
            <v/>
          </cell>
        </row>
        <row r="594">
          <cell r="C594">
            <v>0</v>
          </cell>
          <cell r="D594">
            <v>0</v>
          </cell>
          <cell r="G594">
            <v>0</v>
          </cell>
          <cell r="I594">
            <v>0</v>
          </cell>
          <cell r="J594">
            <v>0</v>
          </cell>
          <cell r="M594">
            <v>0</v>
          </cell>
          <cell r="N594">
            <v>0</v>
          </cell>
          <cell r="AW594" t="str">
            <v/>
          </cell>
          <cell r="BA594" t="str">
            <v/>
          </cell>
        </row>
        <row r="595">
          <cell r="C595">
            <v>0</v>
          </cell>
          <cell r="D595">
            <v>0</v>
          </cell>
          <cell r="G595">
            <v>0</v>
          </cell>
          <cell r="I595">
            <v>0</v>
          </cell>
          <cell r="J595">
            <v>0</v>
          </cell>
          <cell r="M595">
            <v>0</v>
          </cell>
          <cell r="N595">
            <v>0</v>
          </cell>
          <cell r="AW595" t="str">
            <v/>
          </cell>
          <cell r="BA595" t="str">
            <v/>
          </cell>
        </row>
        <row r="596">
          <cell r="C596">
            <v>0</v>
          </cell>
          <cell r="D596">
            <v>0</v>
          </cell>
          <cell r="G596">
            <v>0</v>
          </cell>
          <cell r="I596">
            <v>0</v>
          </cell>
          <cell r="J596">
            <v>0</v>
          </cell>
          <cell r="M596">
            <v>0</v>
          </cell>
          <cell r="N596">
            <v>0</v>
          </cell>
          <cell r="AW596" t="str">
            <v/>
          </cell>
          <cell r="BA596" t="str">
            <v/>
          </cell>
        </row>
        <row r="597">
          <cell r="C597">
            <v>0</v>
          </cell>
          <cell r="D597">
            <v>0</v>
          </cell>
          <cell r="G597">
            <v>0</v>
          </cell>
          <cell r="I597">
            <v>0</v>
          </cell>
          <cell r="J597">
            <v>0</v>
          </cell>
          <cell r="M597">
            <v>0</v>
          </cell>
          <cell r="N597">
            <v>0</v>
          </cell>
          <cell r="AW597" t="str">
            <v/>
          </cell>
          <cell r="BA597" t="str">
            <v/>
          </cell>
        </row>
        <row r="598">
          <cell r="C598">
            <v>0</v>
          </cell>
          <cell r="D598">
            <v>0</v>
          </cell>
          <cell r="G598">
            <v>0</v>
          </cell>
          <cell r="I598">
            <v>0</v>
          </cell>
          <cell r="J598">
            <v>0</v>
          </cell>
          <cell r="M598">
            <v>0</v>
          </cell>
          <cell r="N598">
            <v>0</v>
          </cell>
          <cell r="AW598" t="str">
            <v/>
          </cell>
          <cell r="BA598" t="str">
            <v/>
          </cell>
        </row>
        <row r="599">
          <cell r="C599">
            <v>0</v>
          </cell>
          <cell r="D599">
            <v>0</v>
          </cell>
          <cell r="G599">
            <v>0</v>
          </cell>
          <cell r="I599">
            <v>0</v>
          </cell>
          <cell r="J599">
            <v>0</v>
          </cell>
          <cell r="M599">
            <v>0</v>
          </cell>
          <cell r="N599">
            <v>0</v>
          </cell>
          <cell r="AW599" t="str">
            <v/>
          </cell>
          <cell r="BA599" t="str">
            <v/>
          </cell>
        </row>
        <row r="600">
          <cell r="C600">
            <v>0</v>
          </cell>
          <cell r="D600">
            <v>0</v>
          </cell>
          <cell r="G600">
            <v>0</v>
          </cell>
          <cell r="I600">
            <v>0</v>
          </cell>
          <cell r="J600">
            <v>0</v>
          </cell>
          <cell r="M600">
            <v>0</v>
          </cell>
          <cell r="N600">
            <v>0</v>
          </cell>
          <cell r="AW600" t="str">
            <v/>
          </cell>
          <cell r="BA600" t="str">
            <v/>
          </cell>
        </row>
        <row r="601">
          <cell r="C601">
            <v>0</v>
          </cell>
          <cell r="D601">
            <v>0</v>
          </cell>
          <cell r="G601">
            <v>0</v>
          </cell>
          <cell r="I601">
            <v>0</v>
          </cell>
          <cell r="J601">
            <v>0</v>
          </cell>
          <cell r="M601">
            <v>0</v>
          </cell>
          <cell r="N601">
            <v>0</v>
          </cell>
          <cell r="AW601" t="str">
            <v/>
          </cell>
          <cell r="BA601" t="str">
            <v/>
          </cell>
        </row>
        <row r="602">
          <cell r="C602">
            <v>0</v>
          </cell>
          <cell r="D602">
            <v>0</v>
          </cell>
          <cell r="G602">
            <v>0</v>
          </cell>
          <cell r="I602">
            <v>0</v>
          </cell>
          <cell r="J602">
            <v>0</v>
          </cell>
          <cell r="M602">
            <v>0</v>
          </cell>
          <cell r="N602">
            <v>0</v>
          </cell>
          <cell r="AW602" t="str">
            <v/>
          </cell>
          <cell r="BA602" t="str">
            <v/>
          </cell>
        </row>
        <row r="603">
          <cell r="C603">
            <v>0</v>
          </cell>
          <cell r="D603">
            <v>0</v>
          </cell>
          <cell r="G603">
            <v>0</v>
          </cell>
          <cell r="I603">
            <v>0</v>
          </cell>
          <cell r="J603">
            <v>0</v>
          </cell>
          <cell r="M603">
            <v>0</v>
          </cell>
          <cell r="N603">
            <v>0</v>
          </cell>
          <cell r="AW603" t="str">
            <v/>
          </cell>
          <cell r="BA603" t="str">
            <v/>
          </cell>
        </row>
        <row r="604">
          <cell r="C604">
            <v>0</v>
          </cell>
          <cell r="D604">
            <v>0</v>
          </cell>
          <cell r="G604">
            <v>0</v>
          </cell>
          <cell r="I604">
            <v>0</v>
          </cell>
          <cell r="J604">
            <v>0</v>
          </cell>
          <cell r="M604">
            <v>0</v>
          </cell>
          <cell r="N604">
            <v>0</v>
          </cell>
          <cell r="AW604" t="str">
            <v/>
          </cell>
          <cell r="BA604" t="str">
            <v/>
          </cell>
        </row>
        <row r="605">
          <cell r="C605">
            <v>0</v>
          </cell>
          <cell r="D605">
            <v>0</v>
          </cell>
          <cell r="G605">
            <v>0</v>
          </cell>
          <cell r="I605">
            <v>0</v>
          </cell>
          <cell r="J605">
            <v>0</v>
          </cell>
          <cell r="M605">
            <v>0</v>
          </cell>
          <cell r="N605">
            <v>0</v>
          </cell>
          <cell r="AW605" t="str">
            <v/>
          </cell>
          <cell r="BA605" t="str">
            <v/>
          </cell>
        </row>
        <row r="606">
          <cell r="C606">
            <v>0</v>
          </cell>
          <cell r="D606">
            <v>0</v>
          </cell>
          <cell r="G606">
            <v>0</v>
          </cell>
          <cell r="I606">
            <v>0</v>
          </cell>
          <cell r="J606">
            <v>0</v>
          </cell>
          <cell r="M606">
            <v>0</v>
          </cell>
          <cell r="N606">
            <v>0</v>
          </cell>
          <cell r="AW606" t="str">
            <v/>
          </cell>
          <cell r="BA606" t="str">
            <v/>
          </cell>
        </row>
        <row r="607">
          <cell r="C607">
            <v>0</v>
          </cell>
          <cell r="D607">
            <v>0</v>
          </cell>
          <cell r="G607">
            <v>0</v>
          </cell>
          <cell r="I607">
            <v>0</v>
          </cell>
          <cell r="J607">
            <v>0</v>
          </cell>
          <cell r="M607">
            <v>0</v>
          </cell>
          <cell r="N607">
            <v>0</v>
          </cell>
          <cell r="AW607" t="str">
            <v/>
          </cell>
          <cell r="BA607" t="str">
            <v/>
          </cell>
        </row>
        <row r="608">
          <cell r="C608">
            <v>0</v>
          </cell>
          <cell r="D608">
            <v>0</v>
          </cell>
          <cell r="G608">
            <v>0</v>
          </cell>
          <cell r="I608">
            <v>0</v>
          </cell>
          <cell r="J608">
            <v>0</v>
          </cell>
          <cell r="M608">
            <v>0</v>
          </cell>
          <cell r="N608">
            <v>0</v>
          </cell>
          <cell r="AW608" t="str">
            <v/>
          </cell>
          <cell r="BA608" t="str">
            <v/>
          </cell>
        </row>
        <row r="609">
          <cell r="C609">
            <v>0</v>
          </cell>
          <cell r="D609">
            <v>0</v>
          </cell>
          <cell r="G609">
            <v>0</v>
          </cell>
          <cell r="I609">
            <v>0</v>
          </cell>
          <cell r="J609">
            <v>0</v>
          </cell>
          <cell r="M609">
            <v>0</v>
          </cell>
          <cell r="N609">
            <v>0</v>
          </cell>
          <cell r="AW609" t="str">
            <v/>
          </cell>
          <cell r="BA609" t="str">
            <v/>
          </cell>
        </row>
        <row r="610">
          <cell r="C610">
            <v>0</v>
          </cell>
          <cell r="D610">
            <v>0</v>
          </cell>
          <cell r="G610">
            <v>0</v>
          </cell>
          <cell r="I610">
            <v>0</v>
          </cell>
          <cell r="J610">
            <v>0</v>
          </cell>
          <cell r="M610">
            <v>0</v>
          </cell>
          <cell r="N610">
            <v>0</v>
          </cell>
          <cell r="AW610" t="str">
            <v/>
          </cell>
          <cell r="BA610" t="str">
            <v/>
          </cell>
        </row>
        <row r="611">
          <cell r="C611">
            <v>0</v>
          </cell>
          <cell r="D611">
            <v>0</v>
          </cell>
          <cell r="G611">
            <v>0</v>
          </cell>
          <cell r="I611">
            <v>0</v>
          </cell>
          <cell r="J611">
            <v>0</v>
          </cell>
          <cell r="M611">
            <v>0</v>
          </cell>
          <cell r="N611">
            <v>0</v>
          </cell>
          <cell r="AW611" t="str">
            <v/>
          </cell>
          <cell r="BA611" t="str">
            <v/>
          </cell>
        </row>
        <row r="612">
          <cell r="C612">
            <v>0</v>
          </cell>
          <cell r="D612">
            <v>0</v>
          </cell>
          <cell r="G612">
            <v>0</v>
          </cell>
          <cell r="I612">
            <v>0</v>
          </cell>
          <cell r="J612">
            <v>0</v>
          </cell>
          <cell r="M612">
            <v>0</v>
          </cell>
          <cell r="N612">
            <v>0</v>
          </cell>
          <cell r="AW612" t="str">
            <v/>
          </cell>
          <cell r="BA612" t="str">
            <v/>
          </cell>
        </row>
        <row r="613">
          <cell r="C613">
            <v>0</v>
          </cell>
          <cell r="D613">
            <v>0</v>
          </cell>
          <cell r="G613">
            <v>0</v>
          </cell>
          <cell r="I613">
            <v>0</v>
          </cell>
          <cell r="J613">
            <v>0</v>
          </cell>
          <cell r="M613">
            <v>0</v>
          </cell>
          <cell r="N613">
            <v>0</v>
          </cell>
          <cell r="AW613" t="str">
            <v/>
          </cell>
          <cell r="BA613" t="str">
            <v/>
          </cell>
        </row>
        <row r="614">
          <cell r="C614">
            <v>0</v>
          </cell>
          <cell r="D614">
            <v>0</v>
          </cell>
          <cell r="G614">
            <v>0</v>
          </cell>
          <cell r="I614">
            <v>0</v>
          </cell>
          <cell r="J614">
            <v>0</v>
          </cell>
          <cell r="M614">
            <v>0</v>
          </cell>
          <cell r="N614">
            <v>0</v>
          </cell>
          <cell r="AW614" t="str">
            <v/>
          </cell>
          <cell r="BA614" t="str">
            <v/>
          </cell>
        </row>
        <row r="615">
          <cell r="C615">
            <v>0</v>
          </cell>
          <cell r="D615">
            <v>0</v>
          </cell>
          <cell r="G615">
            <v>0</v>
          </cell>
          <cell r="I615">
            <v>0</v>
          </cell>
          <cell r="J615">
            <v>0</v>
          </cell>
          <cell r="M615">
            <v>0</v>
          </cell>
          <cell r="N615">
            <v>0</v>
          </cell>
          <cell r="AW615" t="str">
            <v/>
          </cell>
          <cell r="BA615" t="str">
            <v/>
          </cell>
        </row>
        <row r="616">
          <cell r="C616">
            <v>0</v>
          </cell>
          <cell r="D616">
            <v>0</v>
          </cell>
          <cell r="G616">
            <v>0</v>
          </cell>
          <cell r="I616">
            <v>0</v>
          </cell>
          <cell r="J616">
            <v>0</v>
          </cell>
          <cell r="M616">
            <v>0</v>
          </cell>
          <cell r="N616">
            <v>0</v>
          </cell>
          <cell r="AW616" t="str">
            <v/>
          </cell>
          <cell r="BA616" t="str">
            <v/>
          </cell>
        </row>
        <row r="617">
          <cell r="C617">
            <v>0</v>
          </cell>
          <cell r="D617">
            <v>0</v>
          </cell>
          <cell r="G617">
            <v>0</v>
          </cell>
          <cell r="I617">
            <v>0</v>
          </cell>
          <cell r="J617">
            <v>0</v>
          </cell>
          <cell r="M617">
            <v>0</v>
          </cell>
          <cell r="N617">
            <v>0</v>
          </cell>
          <cell r="AW617" t="str">
            <v/>
          </cell>
          <cell r="BA617" t="str">
            <v/>
          </cell>
        </row>
        <row r="618">
          <cell r="C618">
            <v>0</v>
          </cell>
          <cell r="D618">
            <v>0</v>
          </cell>
          <cell r="G618">
            <v>0</v>
          </cell>
          <cell r="I618">
            <v>0</v>
          </cell>
          <cell r="J618">
            <v>0</v>
          </cell>
          <cell r="M618">
            <v>0</v>
          </cell>
          <cell r="N618">
            <v>0</v>
          </cell>
          <cell r="AW618" t="str">
            <v/>
          </cell>
          <cell r="BA618" t="str">
            <v/>
          </cell>
        </row>
        <row r="619">
          <cell r="C619">
            <v>0</v>
          </cell>
          <cell r="D619">
            <v>0</v>
          </cell>
          <cell r="G619">
            <v>0</v>
          </cell>
          <cell r="I619">
            <v>0</v>
          </cell>
          <cell r="J619">
            <v>0</v>
          </cell>
          <cell r="M619">
            <v>0</v>
          </cell>
          <cell r="N619">
            <v>0</v>
          </cell>
          <cell r="AW619" t="str">
            <v/>
          </cell>
          <cell r="BA619" t="str">
            <v/>
          </cell>
        </row>
        <row r="620">
          <cell r="C620">
            <v>0</v>
          </cell>
          <cell r="D620">
            <v>0</v>
          </cell>
          <cell r="G620">
            <v>0</v>
          </cell>
          <cell r="I620">
            <v>0</v>
          </cell>
          <cell r="J620">
            <v>0</v>
          </cell>
          <cell r="M620">
            <v>0</v>
          </cell>
          <cell r="N620">
            <v>0</v>
          </cell>
          <cell r="AW620" t="str">
            <v/>
          </cell>
          <cell r="BA620" t="str">
            <v/>
          </cell>
        </row>
        <row r="621">
          <cell r="C621">
            <v>0</v>
          </cell>
          <cell r="D621">
            <v>0</v>
          </cell>
          <cell r="G621">
            <v>0</v>
          </cell>
          <cell r="I621">
            <v>0</v>
          </cell>
          <cell r="J621">
            <v>0</v>
          </cell>
          <cell r="M621">
            <v>0</v>
          </cell>
          <cell r="N621">
            <v>0</v>
          </cell>
          <cell r="AW621" t="str">
            <v/>
          </cell>
          <cell r="BA621" t="str">
            <v/>
          </cell>
        </row>
        <row r="622">
          <cell r="C622">
            <v>0</v>
          </cell>
          <cell r="D622">
            <v>0</v>
          </cell>
          <cell r="G622">
            <v>0</v>
          </cell>
          <cell r="I622">
            <v>0</v>
          </cell>
          <cell r="J622">
            <v>0</v>
          </cell>
          <cell r="M622">
            <v>0</v>
          </cell>
          <cell r="N622">
            <v>0</v>
          </cell>
          <cell r="AW622" t="str">
            <v/>
          </cell>
          <cell r="BA622" t="str">
            <v/>
          </cell>
        </row>
        <row r="623">
          <cell r="C623">
            <v>0</v>
          </cell>
          <cell r="D623">
            <v>0</v>
          </cell>
          <cell r="G623">
            <v>0</v>
          </cell>
          <cell r="I623">
            <v>0</v>
          </cell>
          <cell r="J623">
            <v>0</v>
          </cell>
          <cell r="M623">
            <v>0</v>
          </cell>
          <cell r="N623">
            <v>0</v>
          </cell>
          <cell r="AW623" t="str">
            <v/>
          </cell>
          <cell r="BA623" t="str">
            <v/>
          </cell>
        </row>
        <row r="624">
          <cell r="C624">
            <v>0</v>
          </cell>
          <cell r="D624">
            <v>0</v>
          </cell>
          <cell r="G624">
            <v>0</v>
          </cell>
          <cell r="I624">
            <v>0</v>
          </cell>
          <cell r="J624">
            <v>0</v>
          </cell>
          <cell r="M624">
            <v>0</v>
          </cell>
          <cell r="N624">
            <v>0</v>
          </cell>
          <cell r="AW624" t="str">
            <v/>
          </cell>
          <cell r="BA624" t="str">
            <v/>
          </cell>
        </row>
        <row r="625">
          <cell r="C625">
            <v>0</v>
          </cell>
          <cell r="D625">
            <v>0</v>
          </cell>
          <cell r="G625">
            <v>0</v>
          </cell>
          <cell r="I625">
            <v>0</v>
          </cell>
          <cell r="J625">
            <v>0</v>
          </cell>
          <cell r="M625">
            <v>0</v>
          </cell>
          <cell r="N625">
            <v>0</v>
          </cell>
          <cell r="AW625" t="str">
            <v/>
          </cell>
          <cell r="BA625" t="str">
            <v/>
          </cell>
        </row>
        <row r="626">
          <cell r="C626">
            <v>0</v>
          </cell>
          <cell r="D626">
            <v>0</v>
          </cell>
          <cell r="G626">
            <v>0</v>
          </cell>
          <cell r="I626">
            <v>0</v>
          </cell>
          <cell r="J626">
            <v>0</v>
          </cell>
          <cell r="M626">
            <v>0</v>
          </cell>
          <cell r="N626">
            <v>0</v>
          </cell>
          <cell r="AW626" t="str">
            <v/>
          </cell>
          <cell r="BA626" t="str">
            <v/>
          </cell>
        </row>
        <row r="627">
          <cell r="C627">
            <v>0</v>
          </cell>
          <cell r="D627">
            <v>0</v>
          </cell>
          <cell r="G627">
            <v>0</v>
          </cell>
          <cell r="I627">
            <v>0</v>
          </cell>
          <cell r="J627">
            <v>0</v>
          </cell>
          <cell r="M627">
            <v>0</v>
          </cell>
          <cell r="N627">
            <v>0</v>
          </cell>
          <cell r="AW627" t="str">
            <v/>
          </cell>
          <cell r="BA627" t="str">
            <v/>
          </cell>
        </row>
        <row r="628">
          <cell r="C628">
            <v>0</v>
          </cell>
          <cell r="D628">
            <v>0</v>
          </cell>
          <cell r="G628">
            <v>0</v>
          </cell>
          <cell r="I628">
            <v>0</v>
          </cell>
          <cell r="J628">
            <v>0</v>
          </cell>
          <cell r="M628">
            <v>0</v>
          </cell>
          <cell r="N628">
            <v>0</v>
          </cell>
          <cell r="AW628" t="str">
            <v/>
          </cell>
          <cell r="BA628" t="str">
            <v/>
          </cell>
        </row>
        <row r="629">
          <cell r="C629">
            <v>0</v>
          </cell>
          <cell r="D629">
            <v>0</v>
          </cell>
          <cell r="G629">
            <v>0</v>
          </cell>
          <cell r="I629">
            <v>0</v>
          </cell>
          <cell r="J629">
            <v>0</v>
          </cell>
          <cell r="M629">
            <v>0</v>
          </cell>
          <cell r="N629">
            <v>0</v>
          </cell>
          <cell r="AW629" t="str">
            <v/>
          </cell>
          <cell r="BA629" t="str">
            <v/>
          </cell>
        </row>
        <row r="630">
          <cell r="C630">
            <v>0</v>
          </cell>
          <cell r="D630">
            <v>0</v>
          </cell>
          <cell r="G630">
            <v>0</v>
          </cell>
          <cell r="I630">
            <v>0</v>
          </cell>
          <cell r="J630">
            <v>0</v>
          </cell>
          <cell r="M630">
            <v>0</v>
          </cell>
          <cell r="N630">
            <v>0</v>
          </cell>
          <cell r="AW630" t="str">
            <v/>
          </cell>
          <cell r="BA630" t="str">
            <v/>
          </cell>
        </row>
        <row r="631">
          <cell r="C631">
            <v>0</v>
          </cell>
          <cell r="D631">
            <v>0</v>
          </cell>
          <cell r="G631">
            <v>0</v>
          </cell>
          <cell r="I631">
            <v>0</v>
          </cell>
          <cell r="J631">
            <v>0</v>
          </cell>
          <cell r="M631">
            <v>0</v>
          </cell>
          <cell r="N631">
            <v>0</v>
          </cell>
          <cell r="AW631" t="str">
            <v/>
          </cell>
          <cell r="BA631" t="str">
            <v/>
          </cell>
        </row>
        <row r="632">
          <cell r="C632">
            <v>0</v>
          </cell>
          <cell r="D632">
            <v>0</v>
          </cell>
          <cell r="G632">
            <v>0</v>
          </cell>
          <cell r="I632">
            <v>0</v>
          </cell>
          <cell r="J632">
            <v>0</v>
          </cell>
          <cell r="M632">
            <v>0</v>
          </cell>
          <cell r="N632">
            <v>0</v>
          </cell>
          <cell r="AW632" t="str">
            <v/>
          </cell>
          <cell r="BA632" t="str">
            <v/>
          </cell>
        </row>
        <row r="633">
          <cell r="C633">
            <v>0</v>
          </cell>
          <cell r="D633">
            <v>0</v>
          </cell>
          <cell r="G633">
            <v>0</v>
          </cell>
          <cell r="I633">
            <v>0</v>
          </cell>
          <cell r="J633">
            <v>0</v>
          </cell>
          <cell r="M633">
            <v>0</v>
          </cell>
          <cell r="N633">
            <v>0</v>
          </cell>
          <cell r="AW633" t="str">
            <v/>
          </cell>
          <cell r="BA633" t="str">
            <v/>
          </cell>
        </row>
        <row r="634">
          <cell r="C634">
            <v>0</v>
          </cell>
          <cell r="D634">
            <v>0</v>
          </cell>
          <cell r="G634">
            <v>0</v>
          </cell>
          <cell r="I634">
            <v>0</v>
          </cell>
          <cell r="J634">
            <v>0</v>
          </cell>
          <cell r="M634">
            <v>0</v>
          </cell>
          <cell r="N634">
            <v>0</v>
          </cell>
          <cell r="AW634" t="str">
            <v/>
          </cell>
          <cell r="BA634" t="str">
            <v/>
          </cell>
        </row>
        <row r="635">
          <cell r="C635">
            <v>0</v>
          </cell>
          <cell r="D635">
            <v>0</v>
          </cell>
          <cell r="G635">
            <v>0</v>
          </cell>
          <cell r="I635">
            <v>0</v>
          </cell>
          <cell r="J635">
            <v>0</v>
          </cell>
          <cell r="M635">
            <v>0</v>
          </cell>
          <cell r="N635">
            <v>0</v>
          </cell>
          <cell r="AW635" t="str">
            <v/>
          </cell>
          <cell r="BA635" t="str">
            <v/>
          </cell>
        </row>
        <row r="636">
          <cell r="C636">
            <v>0</v>
          </cell>
          <cell r="D636">
            <v>0</v>
          </cell>
          <cell r="G636">
            <v>0</v>
          </cell>
          <cell r="I636">
            <v>0</v>
          </cell>
          <cell r="J636">
            <v>0</v>
          </cell>
          <cell r="M636">
            <v>0</v>
          </cell>
          <cell r="N636">
            <v>0</v>
          </cell>
          <cell r="AW636" t="str">
            <v/>
          </cell>
          <cell r="BA636" t="str">
            <v/>
          </cell>
        </row>
        <row r="637">
          <cell r="C637">
            <v>0</v>
          </cell>
          <cell r="D637">
            <v>0</v>
          </cell>
          <cell r="G637">
            <v>0</v>
          </cell>
          <cell r="I637">
            <v>0</v>
          </cell>
          <cell r="J637">
            <v>0</v>
          </cell>
          <cell r="M637">
            <v>0</v>
          </cell>
          <cell r="N637">
            <v>0</v>
          </cell>
          <cell r="AW637" t="str">
            <v/>
          </cell>
          <cell r="BA637" t="str">
            <v/>
          </cell>
        </row>
        <row r="638">
          <cell r="C638">
            <v>0</v>
          </cell>
          <cell r="D638">
            <v>0</v>
          </cell>
          <cell r="G638">
            <v>0</v>
          </cell>
          <cell r="I638">
            <v>0</v>
          </cell>
          <cell r="J638">
            <v>0</v>
          </cell>
          <cell r="M638">
            <v>0</v>
          </cell>
          <cell r="N638">
            <v>0</v>
          </cell>
          <cell r="AW638" t="str">
            <v/>
          </cell>
          <cell r="BA638" t="str">
            <v/>
          </cell>
        </row>
        <row r="639">
          <cell r="C639">
            <v>0</v>
          </cell>
          <cell r="D639">
            <v>0</v>
          </cell>
          <cell r="G639">
            <v>0</v>
          </cell>
          <cell r="I639">
            <v>0</v>
          </cell>
          <cell r="J639">
            <v>0</v>
          </cell>
          <cell r="M639">
            <v>0</v>
          </cell>
          <cell r="N639">
            <v>0</v>
          </cell>
          <cell r="AW639" t="str">
            <v/>
          </cell>
          <cell r="BA639" t="str">
            <v/>
          </cell>
        </row>
        <row r="640">
          <cell r="C640">
            <v>0</v>
          </cell>
          <cell r="D640">
            <v>0</v>
          </cell>
          <cell r="G640">
            <v>0</v>
          </cell>
          <cell r="I640">
            <v>0</v>
          </cell>
          <cell r="J640">
            <v>0</v>
          </cell>
          <cell r="M640">
            <v>0</v>
          </cell>
          <cell r="N640">
            <v>0</v>
          </cell>
          <cell r="AW640" t="str">
            <v/>
          </cell>
          <cell r="BA640" t="str">
            <v/>
          </cell>
        </row>
        <row r="641">
          <cell r="C641">
            <v>0</v>
          </cell>
          <cell r="D641">
            <v>0</v>
          </cell>
          <cell r="G641">
            <v>0</v>
          </cell>
          <cell r="I641">
            <v>0</v>
          </cell>
          <cell r="J641">
            <v>0</v>
          </cell>
          <cell r="M641">
            <v>0</v>
          </cell>
          <cell r="N641">
            <v>0</v>
          </cell>
          <cell r="AW641" t="str">
            <v/>
          </cell>
          <cell r="BA641" t="str">
            <v/>
          </cell>
        </row>
        <row r="642">
          <cell r="C642">
            <v>0</v>
          </cell>
          <cell r="D642">
            <v>0</v>
          </cell>
          <cell r="G642">
            <v>0</v>
          </cell>
          <cell r="I642">
            <v>0</v>
          </cell>
          <cell r="J642">
            <v>0</v>
          </cell>
          <cell r="M642">
            <v>0</v>
          </cell>
          <cell r="N642">
            <v>0</v>
          </cell>
          <cell r="AW642" t="str">
            <v/>
          </cell>
          <cell r="BA642" t="str">
            <v/>
          </cell>
        </row>
        <row r="643">
          <cell r="C643">
            <v>0</v>
          </cell>
          <cell r="D643">
            <v>0</v>
          </cell>
          <cell r="G643">
            <v>0</v>
          </cell>
          <cell r="I643">
            <v>0</v>
          </cell>
          <cell r="J643">
            <v>0</v>
          </cell>
          <cell r="M643">
            <v>0</v>
          </cell>
          <cell r="N643">
            <v>0</v>
          </cell>
          <cell r="AW643" t="str">
            <v/>
          </cell>
          <cell r="BA643" t="str">
            <v/>
          </cell>
        </row>
        <row r="644">
          <cell r="C644">
            <v>0</v>
          </cell>
          <cell r="D644">
            <v>0</v>
          </cell>
          <cell r="G644">
            <v>0</v>
          </cell>
          <cell r="I644">
            <v>0</v>
          </cell>
          <cell r="J644">
            <v>0</v>
          </cell>
          <cell r="M644">
            <v>0</v>
          </cell>
          <cell r="N644">
            <v>0</v>
          </cell>
          <cell r="AW644" t="str">
            <v/>
          </cell>
          <cell r="BA644" t="str">
            <v/>
          </cell>
        </row>
        <row r="645">
          <cell r="C645">
            <v>0</v>
          </cell>
          <cell r="D645">
            <v>0</v>
          </cell>
          <cell r="G645">
            <v>0</v>
          </cell>
          <cell r="I645">
            <v>0</v>
          </cell>
          <cell r="J645">
            <v>0</v>
          </cell>
          <cell r="M645">
            <v>0</v>
          </cell>
          <cell r="N645">
            <v>0</v>
          </cell>
          <cell r="AW645" t="str">
            <v/>
          </cell>
          <cell r="BA645" t="str">
            <v/>
          </cell>
        </row>
        <row r="646">
          <cell r="C646">
            <v>0</v>
          </cell>
          <cell r="D646">
            <v>0</v>
          </cell>
          <cell r="G646">
            <v>0</v>
          </cell>
          <cell r="I646">
            <v>0</v>
          </cell>
          <cell r="J646">
            <v>0</v>
          </cell>
          <cell r="M646">
            <v>0</v>
          </cell>
          <cell r="N646">
            <v>0</v>
          </cell>
          <cell r="AW646" t="str">
            <v/>
          </cell>
          <cell r="BA646" t="str">
            <v/>
          </cell>
        </row>
        <row r="647">
          <cell r="C647">
            <v>0</v>
          </cell>
          <cell r="D647">
            <v>0</v>
          </cell>
          <cell r="G647">
            <v>0</v>
          </cell>
          <cell r="I647">
            <v>0</v>
          </cell>
          <cell r="J647">
            <v>0</v>
          </cell>
          <cell r="M647">
            <v>0</v>
          </cell>
          <cell r="N647">
            <v>0</v>
          </cell>
          <cell r="AW647" t="str">
            <v/>
          </cell>
          <cell r="BA647" t="str">
            <v/>
          </cell>
        </row>
        <row r="648">
          <cell r="C648">
            <v>0</v>
          </cell>
          <cell r="D648">
            <v>0</v>
          </cell>
          <cell r="G648">
            <v>0</v>
          </cell>
          <cell r="I648">
            <v>0</v>
          </cell>
          <cell r="J648">
            <v>0</v>
          </cell>
          <cell r="M648">
            <v>0</v>
          </cell>
          <cell r="N648">
            <v>0</v>
          </cell>
          <cell r="AW648" t="str">
            <v/>
          </cell>
          <cell r="BA648" t="str">
            <v/>
          </cell>
        </row>
        <row r="649">
          <cell r="C649">
            <v>0</v>
          </cell>
          <cell r="D649">
            <v>0</v>
          </cell>
          <cell r="G649">
            <v>0</v>
          </cell>
          <cell r="I649">
            <v>0</v>
          </cell>
          <cell r="J649">
            <v>0</v>
          </cell>
          <cell r="M649">
            <v>0</v>
          </cell>
          <cell r="N649">
            <v>0</v>
          </cell>
          <cell r="AW649" t="str">
            <v/>
          </cell>
          <cell r="BA649" t="str">
            <v/>
          </cell>
        </row>
        <row r="650">
          <cell r="C650">
            <v>0</v>
          </cell>
          <cell r="D650">
            <v>0</v>
          </cell>
          <cell r="G650">
            <v>0</v>
          </cell>
          <cell r="I650">
            <v>0</v>
          </cell>
          <cell r="J650">
            <v>0</v>
          </cell>
          <cell r="M650">
            <v>0</v>
          </cell>
          <cell r="N650">
            <v>0</v>
          </cell>
          <cell r="AW650" t="str">
            <v/>
          </cell>
          <cell r="BA650" t="str">
            <v/>
          </cell>
        </row>
        <row r="651">
          <cell r="C651">
            <v>0</v>
          </cell>
          <cell r="D651">
            <v>0</v>
          </cell>
          <cell r="G651">
            <v>0</v>
          </cell>
          <cell r="I651">
            <v>0</v>
          </cell>
          <cell r="J651">
            <v>0</v>
          </cell>
          <cell r="M651">
            <v>0</v>
          </cell>
          <cell r="N651">
            <v>0</v>
          </cell>
          <cell r="AW651" t="str">
            <v/>
          </cell>
          <cell r="BA651" t="str">
            <v/>
          </cell>
        </row>
        <row r="652">
          <cell r="C652">
            <v>0</v>
          </cell>
          <cell r="D652">
            <v>0</v>
          </cell>
          <cell r="G652">
            <v>0</v>
          </cell>
          <cell r="I652">
            <v>0</v>
          </cell>
          <cell r="J652">
            <v>0</v>
          </cell>
          <cell r="M652">
            <v>0</v>
          </cell>
          <cell r="N652">
            <v>0</v>
          </cell>
          <cell r="AW652" t="str">
            <v/>
          </cell>
          <cell r="BA652" t="str">
            <v/>
          </cell>
        </row>
        <row r="653">
          <cell r="C653">
            <v>0</v>
          </cell>
          <cell r="D653">
            <v>0</v>
          </cell>
          <cell r="G653">
            <v>0</v>
          </cell>
          <cell r="I653">
            <v>0</v>
          </cell>
          <cell r="J653">
            <v>0</v>
          </cell>
          <cell r="M653">
            <v>0</v>
          </cell>
          <cell r="N653">
            <v>0</v>
          </cell>
          <cell r="AW653" t="str">
            <v/>
          </cell>
          <cell r="BA653" t="str">
            <v/>
          </cell>
        </row>
        <row r="654">
          <cell r="C654">
            <v>0</v>
          </cell>
          <cell r="D654">
            <v>0</v>
          </cell>
          <cell r="G654">
            <v>0</v>
          </cell>
          <cell r="I654">
            <v>0</v>
          </cell>
          <cell r="J654">
            <v>0</v>
          </cell>
          <cell r="M654">
            <v>0</v>
          </cell>
          <cell r="N654">
            <v>0</v>
          </cell>
          <cell r="AW654" t="str">
            <v/>
          </cell>
          <cell r="BA654" t="str">
            <v/>
          </cell>
        </row>
        <row r="655">
          <cell r="C655">
            <v>0</v>
          </cell>
          <cell r="D655">
            <v>0</v>
          </cell>
          <cell r="G655">
            <v>0</v>
          </cell>
          <cell r="I655">
            <v>0</v>
          </cell>
          <cell r="J655">
            <v>0</v>
          </cell>
          <cell r="M655">
            <v>0</v>
          </cell>
          <cell r="N655">
            <v>0</v>
          </cell>
          <cell r="AW655" t="str">
            <v/>
          </cell>
          <cell r="BA655" t="str">
            <v/>
          </cell>
        </row>
        <row r="656">
          <cell r="C656">
            <v>0</v>
          </cell>
          <cell r="D656">
            <v>0</v>
          </cell>
          <cell r="G656">
            <v>0</v>
          </cell>
          <cell r="I656">
            <v>0</v>
          </cell>
          <cell r="J656">
            <v>0</v>
          </cell>
          <cell r="M656">
            <v>0</v>
          </cell>
          <cell r="N656">
            <v>0</v>
          </cell>
          <cell r="AW656" t="str">
            <v/>
          </cell>
          <cell r="BA656" t="str">
            <v/>
          </cell>
        </row>
        <row r="657">
          <cell r="C657">
            <v>0</v>
          </cell>
          <cell r="D657">
            <v>0</v>
          </cell>
          <cell r="G657">
            <v>0</v>
          </cell>
          <cell r="I657">
            <v>0</v>
          </cell>
          <cell r="J657">
            <v>0</v>
          </cell>
          <cell r="M657">
            <v>0</v>
          </cell>
          <cell r="N657">
            <v>0</v>
          </cell>
          <cell r="AW657" t="str">
            <v/>
          </cell>
          <cell r="BA657" t="str">
            <v/>
          </cell>
        </row>
        <row r="658">
          <cell r="C658">
            <v>0</v>
          </cell>
          <cell r="D658">
            <v>0</v>
          </cell>
          <cell r="G658">
            <v>0</v>
          </cell>
          <cell r="I658">
            <v>0</v>
          </cell>
          <cell r="J658">
            <v>0</v>
          </cell>
          <cell r="M658">
            <v>0</v>
          </cell>
          <cell r="N658">
            <v>0</v>
          </cell>
          <cell r="AW658" t="str">
            <v/>
          </cell>
          <cell r="BA658" t="str">
            <v/>
          </cell>
        </row>
        <row r="659">
          <cell r="C659">
            <v>0</v>
          </cell>
          <cell r="D659">
            <v>0</v>
          </cell>
          <cell r="G659">
            <v>0</v>
          </cell>
          <cell r="I659">
            <v>0</v>
          </cell>
          <cell r="J659">
            <v>0</v>
          </cell>
          <cell r="M659">
            <v>0</v>
          </cell>
          <cell r="N659">
            <v>0</v>
          </cell>
          <cell r="AW659" t="str">
            <v/>
          </cell>
          <cell r="BA659" t="str">
            <v/>
          </cell>
        </row>
        <row r="660">
          <cell r="C660">
            <v>0</v>
          </cell>
          <cell r="D660">
            <v>0</v>
          </cell>
          <cell r="G660">
            <v>0</v>
          </cell>
          <cell r="I660">
            <v>0</v>
          </cell>
          <cell r="J660">
            <v>0</v>
          </cell>
          <cell r="M660">
            <v>0</v>
          </cell>
          <cell r="N660">
            <v>0</v>
          </cell>
          <cell r="AW660" t="str">
            <v/>
          </cell>
          <cell r="BA660" t="str">
            <v/>
          </cell>
        </row>
        <row r="661">
          <cell r="C661">
            <v>0</v>
          </cell>
          <cell r="D661">
            <v>0</v>
          </cell>
          <cell r="G661">
            <v>0</v>
          </cell>
          <cell r="I661">
            <v>0</v>
          </cell>
          <cell r="J661">
            <v>0</v>
          </cell>
          <cell r="M661">
            <v>0</v>
          </cell>
          <cell r="N661">
            <v>0</v>
          </cell>
          <cell r="AW661" t="str">
            <v/>
          </cell>
          <cell r="BA661" t="str">
            <v/>
          </cell>
        </row>
        <row r="662">
          <cell r="C662">
            <v>0</v>
          </cell>
          <cell r="D662">
            <v>0</v>
          </cell>
          <cell r="G662">
            <v>0</v>
          </cell>
          <cell r="I662">
            <v>0</v>
          </cell>
          <cell r="J662">
            <v>0</v>
          </cell>
          <cell r="M662">
            <v>0</v>
          </cell>
          <cell r="N662">
            <v>0</v>
          </cell>
          <cell r="AW662" t="str">
            <v/>
          </cell>
          <cell r="BA662" t="str">
            <v/>
          </cell>
        </row>
        <row r="663">
          <cell r="C663">
            <v>0</v>
          </cell>
          <cell r="D663">
            <v>0</v>
          </cell>
          <cell r="G663">
            <v>0</v>
          </cell>
          <cell r="I663">
            <v>0</v>
          </cell>
          <cell r="J663">
            <v>0</v>
          </cell>
          <cell r="M663">
            <v>0</v>
          </cell>
          <cell r="N663">
            <v>0</v>
          </cell>
          <cell r="AW663" t="str">
            <v/>
          </cell>
          <cell r="BA663" t="str">
            <v/>
          </cell>
        </row>
        <row r="664">
          <cell r="C664">
            <v>0</v>
          </cell>
          <cell r="D664">
            <v>0</v>
          </cell>
          <cell r="G664">
            <v>0</v>
          </cell>
          <cell r="I664">
            <v>0</v>
          </cell>
          <cell r="J664">
            <v>0</v>
          </cell>
          <cell r="M664">
            <v>0</v>
          </cell>
          <cell r="N664">
            <v>0</v>
          </cell>
          <cell r="AW664" t="str">
            <v/>
          </cell>
          <cell r="BA664" t="str">
            <v/>
          </cell>
        </row>
        <row r="665">
          <cell r="C665">
            <v>0</v>
          </cell>
          <cell r="D665">
            <v>0</v>
          </cell>
          <cell r="G665">
            <v>0</v>
          </cell>
          <cell r="I665">
            <v>0</v>
          </cell>
          <cell r="J665">
            <v>0</v>
          </cell>
          <cell r="M665">
            <v>0</v>
          </cell>
          <cell r="N665">
            <v>0</v>
          </cell>
          <cell r="AW665" t="str">
            <v/>
          </cell>
          <cell r="BA665" t="str">
            <v/>
          </cell>
        </row>
        <row r="666">
          <cell r="C666">
            <v>0</v>
          </cell>
          <cell r="D666">
            <v>0</v>
          </cell>
          <cell r="G666">
            <v>0</v>
          </cell>
          <cell r="I666">
            <v>0</v>
          </cell>
          <cell r="J666">
            <v>0</v>
          </cell>
          <cell r="M666">
            <v>0</v>
          </cell>
          <cell r="N666">
            <v>0</v>
          </cell>
          <cell r="AW666" t="str">
            <v/>
          </cell>
          <cell r="BA666" t="str">
            <v/>
          </cell>
        </row>
        <row r="667">
          <cell r="C667">
            <v>0</v>
          </cell>
          <cell r="D667">
            <v>0</v>
          </cell>
          <cell r="G667">
            <v>0</v>
          </cell>
          <cell r="I667">
            <v>0</v>
          </cell>
          <cell r="J667">
            <v>0</v>
          </cell>
          <cell r="M667">
            <v>0</v>
          </cell>
          <cell r="N667">
            <v>0</v>
          </cell>
          <cell r="AW667" t="str">
            <v/>
          </cell>
          <cell r="BA667" t="str">
            <v/>
          </cell>
        </row>
        <row r="668">
          <cell r="C668">
            <v>0</v>
          </cell>
          <cell r="D668">
            <v>0</v>
          </cell>
          <cell r="G668">
            <v>0</v>
          </cell>
          <cell r="I668">
            <v>0</v>
          </cell>
          <cell r="J668">
            <v>0</v>
          </cell>
          <cell r="M668">
            <v>0</v>
          </cell>
          <cell r="N668">
            <v>0</v>
          </cell>
          <cell r="AW668" t="str">
            <v/>
          </cell>
          <cell r="BA668" t="str">
            <v/>
          </cell>
        </row>
        <row r="669">
          <cell r="C669">
            <v>0</v>
          </cell>
          <cell r="D669">
            <v>0</v>
          </cell>
          <cell r="G669">
            <v>0</v>
          </cell>
          <cell r="I669">
            <v>0</v>
          </cell>
          <cell r="J669">
            <v>0</v>
          </cell>
          <cell r="M669">
            <v>0</v>
          </cell>
          <cell r="N669">
            <v>0</v>
          </cell>
          <cell r="AW669" t="str">
            <v/>
          </cell>
          <cell r="BA669" t="str">
            <v/>
          </cell>
        </row>
        <row r="670">
          <cell r="C670">
            <v>0</v>
          </cell>
          <cell r="D670">
            <v>0</v>
          </cell>
          <cell r="G670">
            <v>0</v>
          </cell>
          <cell r="I670">
            <v>0</v>
          </cell>
          <cell r="J670">
            <v>0</v>
          </cell>
          <cell r="M670">
            <v>0</v>
          </cell>
          <cell r="N670">
            <v>0</v>
          </cell>
          <cell r="AW670" t="str">
            <v/>
          </cell>
          <cell r="BA670" t="str">
            <v/>
          </cell>
        </row>
        <row r="671">
          <cell r="C671">
            <v>0</v>
          </cell>
          <cell r="D671">
            <v>0</v>
          </cell>
          <cell r="G671">
            <v>0</v>
          </cell>
          <cell r="I671">
            <v>0</v>
          </cell>
          <cell r="J671">
            <v>0</v>
          </cell>
          <cell r="M671">
            <v>0</v>
          </cell>
          <cell r="N671">
            <v>0</v>
          </cell>
          <cell r="AW671" t="str">
            <v/>
          </cell>
          <cell r="BA671" t="str">
            <v/>
          </cell>
        </row>
        <row r="672">
          <cell r="C672">
            <v>0</v>
          </cell>
          <cell r="D672">
            <v>0</v>
          </cell>
          <cell r="G672">
            <v>0</v>
          </cell>
          <cell r="I672">
            <v>0</v>
          </cell>
          <cell r="J672">
            <v>0</v>
          </cell>
          <cell r="M672">
            <v>0</v>
          </cell>
          <cell r="N672">
            <v>0</v>
          </cell>
          <cell r="AW672" t="str">
            <v/>
          </cell>
          <cell r="BA672" t="str">
            <v/>
          </cell>
        </row>
        <row r="673">
          <cell r="C673">
            <v>0</v>
          </cell>
          <cell r="D673">
            <v>0</v>
          </cell>
          <cell r="G673">
            <v>0</v>
          </cell>
          <cell r="I673">
            <v>0</v>
          </cell>
          <cell r="J673">
            <v>0</v>
          </cell>
          <cell r="M673">
            <v>0</v>
          </cell>
          <cell r="N673">
            <v>0</v>
          </cell>
          <cell r="AW673" t="str">
            <v/>
          </cell>
          <cell r="BA673" t="str">
            <v/>
          </cell>
        </row>
        <row r="674">
          <cell r="C674">
            <v>0</v>
          </cell>
          <cell r="D674">
            <v>0</v>
          </cell>
          <cell r="G674">
            <v>0</v>
          </cell>
          <cell r="I674">
            <v>0</v>
          </cell>
          <cell r="J674">
            <v>0</v>
          </cell>
          <cell r="M674">
            <v>0</v>
          </cell>
          <cell r="N674">
            <v>0</v>
          </cell>
          <cell r="AW674" t="str">
            <v/>
          </cell>
          <cell r="BA674" t="str">
            <v/>
          </cell>
        </row>
        <row r="675">
          <cell r="C675">
            <v>0</v>
          </cell>
          <cell r="D675">
            <v>0</v>
          </cell>
          <cell r="G675">
            <v>0</v>
          </cell>
          <cell r="I675">
            <v>0</v>
          </cell>
          <cell r="J675">
            <v>0</v>
          </cell>
          <cell r="M675">
            <v>0</v>
          </cell>
          <cell r="N675">
            <v>0</v>
          </cell>
          <cell r="AW675" t="str">
            <v/>
          </cell>
          <cell r="BA675" t="str">
            <v/>
          </cell>
        </row>
        <row r="676">
          <cell r="C676">
            <v>0</v>
          </cell>
          <cell r="D676">
            <v>0</v>
          </cell>
          <cell r="G676">
            <v>0</v>
          </cell>
          <cell r="I676">
            <v>0</v>
          </cell>
          <cell r="J676">
            <v>0</v>
          </cell>
          <cell r="M676">
            <v>0</v>
          </cell>
          <cell r="N676">
            <v>0</v>
          </cell>
          <cell r="AW676" t="str">
            <v/>
          </cell>
          <cell r="BA676" t="str">
            <v/>
          </cell>
        </row>
        <row r="677">
          <cell r="C677">
            <v>0</v>
          </cell>
          <cell r="D677">
            <v>0</v>
          </cell>
          <cell r="G677">
            <v>0</v>
          </cell>
          <cell r="I677">
            <v>0</v>
          </cell>
          <cell r="J677">
            <v>0</v>
          </cell>
          <cell r="M677">
            <v>0</v>
          </cell>
          <cell r="N677">
            <v>0</v>
          </cell>
          <cell r="AW677" t="str">
            <v/>
          </cell>
          <cell r="BA677" t="str">
            <v/>
          </cell>
        </row>
        <row r="678">
          <cell r="C678">
            <v>0</v>
          </cell>
          <cell r="D678">
            <v>0</v>
          </cell>
          <cell r="G678">
            <v>0</v>
          </cell>
          <cell r="I678">
            <v>0</v>
          </cell>
          <cell r="J678">
            <v>0</v>
          </cell>
          <cell r="M678">
            <v>0</v>
          </cell>
          <cell r="N678">
            <v>0</v>
          </cell>
          <cell r="AW678" t="str">
            <v/>
          </cell>
          <cell r="BA678" t="str">
            <v/>
          </cell>
        </row>
        <row r="679">
          <cell r="C679">
            <v>0</v>
          </cell>
          <cell r="D679">
            <v>0</v>
          </cell>
          <cell r="G679">
            <v>0</v>
          </cell>
          <cell r="I679">
            <v>0</v>
          </cell>
          <cell r="J679">
            <v>0</v>
          </cell>
          <cell r="M679">
            <v>0</v>
          </cell>
          <cell r="N679">
            <v>0</v>
          </cell>
          <cell r="AW679" t="str">
            <v/>
          </cell>
          <cell r="BA679" t="str">
            <v/>
          </cell>
        </row>
        <row r="680">
          <cell r="C680">
            <v>0</v>
          </cell>
          <cell r="D680">
            <v>0</v>
          </cell>
          <cell r="G680">
            <v>0</v>
          </cell>
          <cell r="I680">
            <v>0</v>
          </cell>
          <cell r="J680">
            <v>0</v>
          </cell>
          <cell r="M680">
            <v>0</v>
          </cell>
          <cell r="N680">
            <v>0</v>
          </cell>
          <cell r="AW680" t="str">
            <v/>
          </cell>
          <cell r="BA680" t="str">
            <v/>
          </cell>
        </row>
        <row r="681">
          <cell r="C681">
            <v>0</v>
          </cell>
          <cell r="D681">
            <v>0</v>
          </cell>
          <cell r="G681">
            <v>0</v>
          </cell>
          <cell r="I681">
            <v>0</v>
          </cell>
          <cell r="J681">
            <v>0</v>
          </cell>
          <cell r="M681">
            <v>0</v>
          </cell>
          <cell r="N681">
            <v>0</v>
          </cell>
          <cell r="AW681" t="str">
            <v/>
          </cell>
          <cell r="BA681" t="str">
            <v/>
          </cell>
        </row>
        <row r="682">
          <cell r="C682">
            <v>0</v>
          </cell>
          <cell r="D682">
            <v>0</v>
          </cell>
          <cell r="G682">
            <v>0</v>
          </cell>
          <cell r="I682">
            <v>0</v>
          </cell>
          <cell r="J682">
            <v>0</v>
          </cell>
          <cell r="M682">
            <v>0</v>
          </cell>
          <cell r="N682">
            <v>0</v>
          </cell>
          <cell r="AW682" t="str">
            <v/>
          </cell>
          <cell r="BA682" t="str">
            <v/>
          </cell>
        </row>
        <row r="683">
          <cell r="C683">
            <v>0</v>
          </cell>
          <cell r="D683">
            <v>0</v>
          </cell>
          <cell r="G683">
            <v>0</v>
          </cell>
          <cell r="I683">
            <v>0</v>
          </cell>
          <cell r="J683">
            <v>0</v>
          </cell>
          <cell r="M683">
            <v>0</v>
          </cell>
          <cell r="N683">
            <v>0</v>
          </cell>
          <cell r="AW683" t="str">
            <v/>
          </cell>
          <cell r="BA683" t="str">
            <v/>
          </cell>
        </row>
        <row r="684">
          <cell r="C684">
            <v>0</v>
          </cell>
          <cell r="D684">
            <v>0</v>
          </cell>
          <cell r="G684">
            <v>0</v>
          </cell>
          <cell r="I684">
            <v>0</v>
          </cell>
          <cell r="J684">
            <v>0</v>
          </cell>
          <cell r="M684">
            <v>0</v>
          </cell>
          <cell r="N684">
            <v>0</v>
          </cell>
          <cell r="AW684" t="str">
            <v/>
          </cell>
          <cell r="BA684" t="str">
            <v/>
          </cell>
        </row>
        <row r="685">
          <cell r="C685">
            <v>0</v>
          </cell>
          <cell r="D685">
            <v>0</v>
          </cell>
          <cell r="G685">
            <v>0</v>
          </cell>
          <cell r="I685">
            <v>0</v>
          </cell>
          <cell r="J685">
            <v>0</v>
          </cell>
          <cell r="M685">
            <v>0</v>
          </cell>
          <cell r="N685">
            <v>0</v>
          </cell>
          <cell r="AW685" t="str">
            <v/>
          </cell>
          <cell r="BA685" t="str">
            <v/>
          </cell>
        </row>
        <row r="686">
          <cell r="C686">
            <v>0</v>
          </cell>
          <cell r="D686">
            <v>0</v>
          </cell>
          <cell r="G686">
            <v>0</v>
          </cell>
          <cell r="I686">
            <v>0</v>
          </cell>
          <cell r="J686">
            <v>0</v>
          </cell>
          <cell r="M686">
            <v>0</v>
          </cell>
          <cell r="N686">
            <v>0</v>
          </cell>
          <cell r="AW686" t="str">
            <v/>
          </cell>
          <cell r="BA686" t="str">
            <v/>
          </cell>
        </row>
        <row r="687">
          <cell r="C687">
            <v>0</v>
          </cell>
          <cell r="D687">
            <v>0</v>
          </cell>
          <cell r="G687">
            <v>0</v>
          </cell>
          <cell r="I687">
            <v>0</v>
          </cell>
          <cell r="J687">
            <v>0</v>
          </cell>
          <cell r="M687">
            <v>0</v>
          </cell>
          <cell r="N687">
            <v>0</v>
          </cell>
          <cell r="AW687" t="str">
            <v/>
          </cell>
          <cell r="BA687" t="str">
            <v/>
          </cell>
        </row>
        <row r="688">
          <cell r="C688">
            <v>0</v>
          </cell>
          <cell r="D688">
            <v>0</v>
          </cell>
          <cell r="G688">
            <v>0</v>
          </cell>
          <cell r="I688">
            <v>0</v>
          </cell>
          <cell r="J688">
            <v>0</v>
          </cell>
          <cell r="M688">
            <v>0</v>
          </cell>
          <cell r="N688">
            <v>0</v>
          </cell>
          <cell r="AW688" t="str">
            <v/>
          </cell>
          <cell r="BA688" t="str">
            <v/>
          </cell>
        </row>
        <row r="689">
          <cell r="C689">
            <v>0</v>
          </cell>
          <cell r="D689">
            <v>0</v>
          </cell>
          <cell r="G689">
            <v>0</v>
          </cell>
          <cell r="I689">
            <v>0</v>
          </cell>
          <cell r="J689">
            <v>0</v>
          </cell>
          <cell r="M689">
            <v>0</v>
          </cell>
          <cell r="N689">
            <v>0</v>
          </cell>
          <cell r="AW689" t="str">
            <v/>
          </cell>
          <cell r="BA689" t="str">
            <v/>
          </cell>
        </row>
        <row r="690">
          <cell r="C690">
            <v>0</v>
          </cell>
          <cell r="D690">
            <v>0</v>
          </cell>
          <cell r="G690">
            <v>0</v>
          </cell>
          <cell r="I690">
            <v>0</v>
          </cell>
          <cell r="J690">
            <v>0</v>
          </cell>
          <cell r="M690">
            <v>0</v>
          </cell>
          <cell r="N690">
            <v>0</v>
          </cell>
          <cell r="AW690" t="str">
            <v/>
          </cell>
          <cell r="BA690" t="str">
            <v/>
          </cell>
        </row>
        <row r="691">
          <cell r="C691">
            <v>0</v>
          </cell>
          <cell r="D691">
            <v>0</v>
          </cell>
          <cell r="G691">
            <v>0</v>
          </cell>
          <cell r="I691">
            <v>0</v>
          </cell>
          <cell r="J691">
            <v>0</v>
          </cell>
          <cell r="M691">
            <v>0</v>
          </cell>
          <cell r="N691">
            <v>0</v>
          </cell>
          <cell r="AW691" t="str">
            <v/>
          </cell>
          <cell r="BA691" t="str">
            <v/>
          </cell>
        </row>
        <row r="692">
          <cell r="C692">
            <v>0</v>
          </cell>
          <cell r="D692">
            <v>0</v>
          </cell>
          <cell r="G692">
            <v>0</v>
          </cell>
          <cell r="I692">
            <v>0</v>
          </cell>
          <cell r="J692">
            <v>0</v>
          </cell>
          <cell r="M692">
            <v>0</v>
          </cell>
          <cell r="N692">
            <v>0</v>
          </cell>
          <cell r="AW692" t="str">
            <v/>
          </cell>
          <cell r="BA692" t="str">
            <v/>
          </cell>
        </row>
        <row r="693">
          <cell r="C693">
            <v>0</v>
          </cell>
          <cell r="D693">
            <v>0</v>
          </cell>
          <cell r="G693">
            <v>0</v>
          </cell>
          <cell r="I693">
            <v>0</v>
          </cell>
          <cell r="J693">
            <v>0</v>
          </cell>
          <cell r="M693">
            <v>0</v>
          </cell>
          <cell r="N693">
            <v>0</v>
          </cell>
          <cell r="AW693" t="str">
            <v/>
          </cell>
          <cell r="BA693" t="str">
            <v/>
          </cell>
        </row>
        <row r="694">
          <cell r="C694">
            <v>0</v>
          </cell>
          <cell r="D694">
            <v>0</v>
          </cell>
          <cell r="G694">
            <v>0</v>
          </cell>
          <cell r="I694">
            <v>0</v>
          </cell>
          <cell r="J694">
            <v>0</v>
          </cell>
          <cell r="M694">
            <v>0</v>
          </cell>
          <cell r="N694">
            <v>0</v>
          </cell>
          <cell r="AW694" t="str">
            <v/>
          </cell>
          <cell r="BA694" t="str">
            <v/>
          </cell>
        </row>
        <row r="695">
          <cell r="C695">
            <v>0</v>
          </cell>
          <cell r="D695">
            <v>0</v>
          </cell>
          <cell r="G695">
            <v>0</v>
          </cell>
          <cell r="I695">
            <v>0</v>
          </cell>
          <cell r="J695">
            <v>0</v>
          </cell>
          <cell r="M695">
            <v>0</v>
          </cell>
          <cell r="N695">
            <v>0</v>
          </cell>
          <cell r="AW695" t="str">
            <v/>
          </cell>
          <cell r="BA695" t="str">
            <v/>
          </cell>
        </row>
        <row r="696">
          <cell r="C696">
            <v>0</v>
          </cell>
          <cell r="D696">
            <v>0</v>
          </cell>
          <cell r="G696">
            <v>0</v>
          </cell>
          <cell r="I696">
            <v>0</v>
          </cell>
          <cell r="J696">
            <v>0</v>
          </cell>
          <cell r="M696">
            <v>0</v>
          </cell>
          <cell r="N696">
            <v>0</v>
          </cell>
          <cell r="AW696" t="str">
            <v/>
          </cell>
          <cell r="BA696" t="str">
            <v/>
          </cell>
        </row>
        <row r="697">
          <cell r="C697">
            <v>0</v>
          </cell>
          <cell r="D697">
            <v>0</v>
          </cell>
          <cell r="G697">
            <v>0</v>
          </cell>
          <cell r="I697">
            <v>0</v>
          </cell>
          <cell r="J697">
            <v>0</v>
          </cell>
          <cell r="M697">
            <v>0</v>
          </cell>
          <cell r="N697">
            <v>0</v>
          </cell>
          <cell r="AW697" t="str">
            <v/>
          </cell>
          <cell r="BA697" t="str">
            <v/>
          </cell>
        </row>
        <row r="698">
          <cell r="C698">
            <v>0</v>
          </cell>
          <cell r="D698">
            <v>0</v>
          </cell>
          <cell r="G698">
            <v>0</v>
          </cell>
          <cell r="I698">
            <v>0</v>
          </cell>
          <cell r="J698">
            <v>0</v>
          </cell>
          <cell r="M698">
            <v>0</v>
          </cell>
          <cell r="N698">
            <v>0</v>
          </cell>
          <cell r="AW698" t="str">
            <v/>
          </cell>
          <cell r="BA698" t="str">
            <v/>
          </cell>
        </row>
        <row r="699">
          <cell r="C699">
            <v>0</v>
          </cell>
          <cell r="D699">
            <v>0</v>
          </cell>
          <cell r="G699">
            <v>0</v>
          </cell>
          <cell r="I699">
            <v>0</v>
          </cell>
          <cell r="J699">
            <v>0</v>
          </cell>
          <cell r="M699">
            <v>0</v>
          </cell>
          <cell r="N699">
            <v>0</v>
          </cell>
          <cell r="AW699" t="str">
            <v/>
          </cell>
          <cell r="BA699" t="str">
            <v/>
          </cell>
        </row>
        <row r="700">
          <cell r="C700">
            <v>0</v>
          </cell>
          <cell r="D700">
            <v>0</v>
          </cell>
          <cell r="G700">
            <v>0</v>
          </cell>
          <cell r="I700">
            <v>0</v>
          </cell>
          <cell r="J700">
            <v>0</v>
          </cell>
          <cell r="M700">
            <v>0</v>
          </cell>
          <cell r="N700">
            <v>0</v>
          </cell>
          <cell r="AW700" t="str">
            <v/>
          </cell>
          <cell r="BA700" t="str">
            <v/>
          </cell>
        </row>
        <row r="701">
          <cell r="C701">
            <v>0</v>
          </cell>
          <cell r="D701">
            <v>0</v>
          </cell>
          <cell r="G701">
            <v>0</v>
          </cell>
          <cell r="I701">
            <v>0</v>
          </cell>
          <cell r="J701">
            <v>0</v>
          </cell>
          <cell r="M701">
            <v>0</v>
          </cell>
          <cell r="N701">
            <v>0</v>
          </cell>
          <cell r="AW701" t="str">
            <v/>
          </cell>
          <cell r="BA701" t="str">
            <v/>
          </cell>
        </row>
        <row r="702">
          <cell r="C702">
            <v>0</v>
          </cell>
          <cell r="D702">
            <v>0</v>
          </cell>
          <cell r="G702">
            <v>0</v>
          </cell>
          <cell r="I702">
            <v>0</v>
          </cell>
          <cell r="J702">
            <v>0</v>
          </cell>
          <cell r="M702">
            <v>0</v>
          </cell>
          <cell r="N702">
            <v>0</v>
          </cell>
          <cell r="AW702" t="str">
            <v/>
          </cell>
          <cell r="BA702" t="str">
            <v/>
          </cell>
        </row>
        <row r="703">
          <cell r="C703">
            <v>0</v>
          </cell>
          <cell r="D703">
            <v>0</v>
          </cell>
          <cell r="G703">
            <v>0</v>
          </cell>
          <cell r="I703">
            <v>0</v>
          </cell>
          <cell r="J703">
            <v>0</v>
          </cell>
          <cell r="M703">
            <v>0</v>
          </cell>
          <cell r="N703">
            <v>0</v>
          </cell>
          <cell r="AW703" t="str">
            <v/>
          </cell>
          <cell r="BA703" t="str">
            <v/>
          </cell>
        </row>
        <row r="704">
          <cell r="C704">
            <v>0</v>
          </cell>
          <cell r="D704">
            <v>0</v>
          </cell>
          <cell r="G704">
            <v>0</v>
          </cell>
          <cell r="I704">
            <v>0</v>
          </cell>
          <cell r="J704">
            <v>0</v>
          </cell>
          <cell r="M704">
            <v>0</v>
          </cell>
          <cell r="N704">
            <v>0</v>
          </cell>
          <cell r="AW704" t="str">
            <v/>
          </cell>
          <cell r="BA704" t="str">
            <v/>
          </cell>
        </row>
        <row r="705">
          <cell r="C705">
            <v>0</v>
          </cell>
          <cell r="D705">
            <v>0</v>
          </cell>
          <cell r="G705">
            <v>0</v>
          </cell>
          <cell r="I705">
            <v>0</v>
          </cell>
          <cell r="J705">
            <v>0</v>
          </cell>
          <cell r="M705">
            <v>0</v>
          </cell>
          <cell r="N705">
            <v>0</v>
          </cell>
          <cell r="AW705" t="str">
            <v/>
          </cell>
          <cell r="BA705" t="str">
            <v/>
          </cell>
        </row>
        <row r="706">
          <cell r="C706">
            <v>0</v>
          </cell>
          <cell r="D706">
            <v>0</v>
          </cell>
          <cell r="G706">
            <v>0</v>
          </cell>
          <cell r="I706">
            <v>0</v>
          </cell>
          <cell r="J706">
            <v>0</v>
          </cell>
          <cell r="M706">
            <v>0</v>
          </cell>
          <cell r="N706">
            <v>0</v>
          </cell>
          <cell r="AW706" t="str">
            <v/>
          </cell>
          <cell r="BA706" t="str">
            <v/>
          </cell>
        </row>
        <row r="707">
          <cell r="C707">
            <v>0</v>
          </cell>
          <cell r="D707">
            <v>0</v>
          </cell>
          <cell r="G707">
            <v>0</v>
          </cell>
          <cell r="I707">
            <v>0</v>
          </cell>
          <cell r="J707">
            <v>0</v>
          </cell>
          <cell r="M707">
            <v>0</v>
          </cell>
          <cell r="N707">
            <v>0</v>
          </cell>
          <cell r="AW707" t="str">
            <v/>
          </cell>
          <cell r="BA707" t="str">
            <v/>
          </cell>
        </row>
        <row r="708">
          <cell r="C708">
            <v>0</v>
          </cell>
          <cell r="D708">
            <v>0</v>
          </cell>
          <cell r="G708">
            <v>0</v>
          </cell>
          <cell r="I708">
            <v>0</v>
          </cell>
          <cell r="J708">
            <v>0</v>
          </cell>
          <cell r="M708">
            <v>0</v>
          </cell>
          <cell r="N708">
            <v>0</v>
          </cell>
          <cell r="AW708" t="str">
            <v/>
          </cell>
          <cell r="BA708" t="str">
            <v/>
          </cell>
        </row>
        <row r="709">
          <cell r="C709">
            <v>0</v>
          </cell>
          <cell r="D709">
            <v>0</v>
          </cell>
          <cell r="G709">
            <v>0</v>
          </cell>
          <cell r="I709">
            <v>0</v>
          </cell>
          <cell r="J709">
            <v>0</v>
          </cell>
          <cell r="M709">
            <v>0</v>
          </cell>
          <cell r="N709">
            <v>0</v>
          </cell>
          <cell r="AW709" t="str">
            <v/>
          </cell>
          <cell r="BA709" t="str">
            <v/>
          </cell>
        </row>
        <row r="710">
          <cell r="C710">
            <v>0</v>
          </cell>
          <cell r="D710">
            <v>0</v>
          </cell>
          <cell r="G710">
            <v>0</v>
          </cell>
          <cell r="I710">
            <v>0</v>
          </cell>
          <cell r="J710">
            <v>0</v>
          </cell>
          <cell r="M710">
            <v>0</v>
          </cell>
          <cell r="N710">
            <v>0</v>
          </cell>
          <cell r="AW710" t="str">
            <v/>
          </cell>
          <cell r="BA710" t="str">
            <v/>
          </cell>
        </row>
        <row r="711">
          <cell r="C711">
            <v>0</v>
          </cell>
          <cell r="D711">
            <v>0</v>
          </cell>
          <cell r="G711">
            <v>0</v>
          </cell>
          <cell r="I711">
            <v>0</v>
          </cell>
          <cell r="J711">
            <v>0</v>
          </cell>
          <cell r="M711">
            <v>0</v>
          </cell>
          <cell r="N711">
            <v>0</v>
          </cell>
          <cell r="AW711" t="str">
            <v/>
          </cell>
          <cell r="BA711" t="str">
            <v/>
          </cell>
        </row>
        <row r="712">
          <cell r="C712">
            <v>0</v>
          </cell>
          <cell r="D712">
            <v>0</v>
          </cell>
          <cell r="G712">
            <v>0</v>
          </cell>
          <cell r="I712">
            <v>0</v>
          </cell>
          <cell r="J712">
            <v>0</v>
          </cell>
          <cell r="M712">
            <v>0</v>
          </cell>
          <cell r="N712">
            <v>0</v>
          </cell>
          <cell r="AW712" t="str">
            <v/>
          </cell>
          <cell r="BA712" t="str">
            <v/>
          </cell>
        </row>
        <row r="713">
          <cell r="C713">
            <v>0</v>
          </cell>
          <cell r="D713">
            <v>0</v>
          </cell>
          <cell r="G713">
            <v>0</v>
          </cell>
          <cell r="I713">
            <v>0</v>
          </cell>
          <cell r="J713">
            <v>0</v>
          </cell>
          <cell r="M713">
            <v>0</v>
          </cell>
          <cell r="N713">
            <v>0</v>
          </cell>
          <cell r="AW713" t="str">
            <v/>
          </cell>
          <cell r="BA713" t="str">
            <v/>
          </cell>
        </row>
        <row r="714">
          <cell r="C714">
            <v>0</v>
          </cell>
          <cell r="D714">
            <v>0</v>
          </cell>
          <cell r="G714">
            <v>0</v>
          </cell>
          <cell r="I714">
            <v>0</v>
          </cell>
          <cell r="J714">
            <v>0</v>
          </cell>
          <cell r="M714">
            <v>0</v>
          </cell>
          <cell r="N714">
            <v>0</v>
          </cell>
          <cell r="AW714" t="str">
            <v/>
          </cell>
          <cell r="BA714" t="str">
            <v/>
          </cell>
        </row>
        <row r="715">
          <cell r="C715">
            <v>0</v>
          </cell>
          <cell r="D715">
            <v>0</v>
          </cell>
          <cell r="G715">
            <v>0</v>
          </cell>
          <cell r="I715">
            <v>0</v>
          </cell>
          <cell r="J715">
            <v>0</v>
          </cell>
          <cell r="M715">
            <v>0</v>
          </cell>
          <cell r="N715">
            <v>0</v>
          </cell>
          <cell r="AW715" t="str">
            <v/>
          </cell>
          <cell r="BA715" t="str">
            <v/>
          </cell>
        </row>
        <row r="716">
          <cell r="C716">
            <v>0</v>
          </cell>
          <cell r="D716">
            <v>0</v>
          </cell>
          <cell r="G716">
            <v>0</v>
          </cell>
          <cell r="I716">
            <v>0</v>
          </cell>
          <cell r="J716">
            <v>0</v>
          </cell>
          <cell r="M716">
            <v>0</v>
          </cell>
          <cell r="N716">
            <v>0</v>
          </cell>
          <cell r="AW716" t="str">
            <v/>
          </cell>
          <cell r="BA716" t="str">
            <v/>
          </cell>
        </row>
        <row r="717">
          <cell r="C717">
            <v>0</v>
          </cell>
          <cell r="D717">
            <v>0</v>
          </cell>
          <cell r="G717">
            <v>0</v>
          </cell>
          <cell r="I717">
            <v>0</v>
          </cell>
          <cell r="J717">
            <v>0</v>
          </cell>
          <cell r="M717">
            <v>0</v>
          </cell>
          <cell r="N717">
            <v>0</v>
          </cell>
          <cell r="AW717" t="str">
            <v/>
          </cell>
          <cell r="BA717" t="str">
            <v/>
          </cell>
        </row>
        <row r="718">
          <cell r="C718">
            <v>0</v>
          </cell>
          <cell r="D718">
            <v>0</v>
          </cell>
          <cell r="G718">
            <v>0</v>
          </cell>
          <cell r="I718">
            <v>0</v>
          </cell>
          <cell r="J718">
            <v>0</v>
          </cell>
          <cell r="M718">
            <v>0</v>
          </cell>
          <cell r="N718">
            <v>0</v>
          </cell>
          <cell r="AW718" t="str">
            <v/>
          </cell>
          <cell r="BA718" t="str">
            <v/>
          </cell>
        </row>
        <row r="719">
          <cell r="C719">
            <v>0</v>
          </cell>
          <cell r="D719">
            <v>0</v>
          </cell>
          <cell r="G719">
            <v>0</v>
          </cell>
          <cell r="I719">
            <v>0</v>
          </cell>
          <cell r="J719">
            <v>0</v>
          </cell>
          <cell r="M719">
            <v>0</v>
          </cell>
          <cell r="N719">
            <v>0</v>
          </cell>
          <cell r="AW719" t="str">
            <v/>
          </cell>
          <cell r="BA719" t="str">
            <v/>
          </cell>
        </row>
        <row r="720">
          <cell r="C720">
            <v>0</v>
          </cell>
          <cell r="D720">
            <v>0</v>
          </cell>
          <cell r="G720">
            <v>0</v>
          </cell>
          <cell r="I720">
            <v>0</v>
          </cell>
          <cell r="J720">
            <v>0</v>
          </cell>
          <cell r="M720">
            <v>0</v>
          </cell>
          <cell r="N720">
            <v>0</v>
          </cell>
          <cell r="AW720" t="str">
            <v/>
          </cell>
          <cell r="BA720" t="str">
            <v/>
          </cell>
        </row>
        <row r="721">
          <cell r="C721">
            <v>0</v>
          </cell>
          <cell r="D721">
            <v>0</v>
          </cell>
          <cell r="G721">
            <v>0</v>
          </cell>
          <cell r="I721">
            <v>0</v>
          </cell>
          <cell r="J721">
            <v>0</v>
          </cell>
          <cell r="M721">
            <v>0</v>
          </cell>
          <cell r="N721">
            <v>0</v>
          </cell>
          <cell r="AW721" t="str">
            <v/>
          </cell>
          <cell r="BA721" t="str">
            <v/>
          </cell>
        </row>
        <row r="722">
          <cell r="C722">
            <v>0</v>
          </cell>
          <cell r="D722">
            <v>0</v>
          </cell>
          <cell r="G722">
            <v>0</v>
          </cell>
          <cell r="I722">
            <v>0</v>
          </cell>
          <cell r="J722">
            <v>0</v>
          </cell>
          <cell r="M722">
            <v>0</v>
          </cell>
          <cell r="N722">
            <v>0</v>
          </cell>
          <cell r="AW722" t="str">
            <v/>
          </cell>
          <cell r="BA722" t="str">
            <v/>
          </cell>
        </row>
        <row r="723">
          <cell r="C723">
            <v>0</v>
          </cell>
          <cell r="D723">
            <v>0</v>
          </cell>
          <cell r="G723">
            <v>0</v>
          </cell>
          <cell r="I723">
            <v>0</v>
          </cell>
          <cell r="J723">
            <v>0</v>
          </cell>
          <cell r="M723">
            <v>0</v>
          </cell>
          <cell r="N723">
            <v>0</v>
          </cell>
          <cell r="AW723" t="str">
            <v/>
          </cell>
          <cell r="BA723" t="str">
            <v/>
          </cell>
        </row>
        <row r="724">
          <cell r="C724">
            <v>0</v>
          </cell>
          <cell r="D724">
            <v>0</v>
          </cell>
          <cell r="G724">
            <v>0</v>
          </cell>
          <cell r="I724">
            <v>0</v>
          </cell>
          <cell r="J724">
            <v>0</v>
          </cell>
          <cell r="M724">
            <v>0</v>
          </cell>
          <cell r="N724">
            <v>0</v>
          </cell>
          <cell r="AW724" t="str">
            <v/>
          </cell>
          <cell r="BA724" t="str">
            <v/>
          </cell>
        </row>
        <row r="725">
          <cell r="C725">
            <v>0</v>
          </cell>
          <cell r="D725">
            <v>0</v>
          </cell>
          <cell r="G725">
            <v>0</v>
          </cell>
          <cell r="I725">
            <v>0</v>
          </cell>
          <cell r="J725">
            <v>0</v>
          </cell>
          <cell r="M725">
            <v>0</v>
          </cell>
          <cell r="N725">
            <v>0</v>
          </cell>
          <cell r="AW725" t="str">
            <v/>
          </cell>
          <cell r="BA725" t="str">
            <v/>
          </cell>
        </row>
        <row r="726">
          <cell r="C726">
            <v>0</v>
          </cell>
          <cell r="D726">
            <v>0</v>
          </cell>
          <cell r="G726">
            <v>0</v>
          </cell>
          <cell r="I726">
            <v>0</v>
          </cell>
          <cell r="J726">
            <v>0</v>
          </cell>
          <cell r="M726">
            <v>0</v>
          </cell>
          <cell r="N726">
            <v>0</v>
          </cell>
          <cell r="AW726" t="str">
            <v/>
          </cell>
          <cell r="BA726" t="str">
            <v/>
          </cell>
        </row>
        <row r="727">
          <cell r="C727">
            <v>0</v>
          </cell>
          <cell r="D727">
            <v>0</v>
          </cell>
          <cell r="G727">
            <v>0</v>
          </cell>
          <cell r="I727">
            <v>0</v>
          </cell>
          <cell r="J727">
            <v>0</v>
          </cell>
          <cell r="M727">
            <v>0</v>
          </cell>
          <cell r="N727">
            <v>0</v>
          </cell>
          <cell r="AW727" t="str">
            <v/>
          </cell>
          <cell r="BA727" t="str">
            <v/>
          </cell>
        </row>
        <row r="728">
          <cell r="C728">
            <v>0</v>
          </cell>
          <cell r="D728">
            <v>0</v>
          </cell>
          <cell r="G728">
            <v>0</v>
          </cell>
          <cell r="I728">
            <v>0</v>
          </cell>
          <cell r="J728">
            <v>0</v>
          </cell>
          <cell r="M728">
            <v>0</v>
          </cell>
          <cell r="N728">
            <v>0</v>
          </cell>
          <cell r="AW728" t="str">
            <v/>
          </cell>
          <cell r="BA728" t="str">
            <v/>
          </cell>
        </row>
        <row r="729">
          <cell r="C729">
            <v>0</v>
          </cell>
          <cell r="D729">
            <v>0</v>
          </cell>
          <cell r="G729">
            <v>0</v>
          </cell>
          <cell r="I729">
            <v>0</v>
          </cell>
          <cell r="J729">
            <v>0</v>
          </cell>
          <cell r="M729">
            <v>0</v>
          </cell>
          <cell r="N729">
            <v>0</v>
          </cell>
          <cell r="AW729" t="str">
            <v/>
          </cell>
          <cell r="BA729" t="str">
            <v/>
          </cell>
        </row>
        <row r="730">
          <cell r="C730">
            <v>0</v>
          </cell>
          <cell r="D730">
            <v>0</v>
          </cell>
          <cell r="G730">
            <v>0</v>
          </cell>
          <cell r="I730">
            <v>0</v>
          </cell>
          <cell r="J730">
            <v>0</v>
          </cell>
          <cell r="M730">
            <v>0</v>
          </cell>
          <cell r="N730">
            <v>0</v>
          </cell>
          <cell r="AW730" t="str">
            <v/>
          </cell>
          <cell r="BA730" t="str">
            <v/>
          </cell>
        </row>
        <row r="731">
          <cell r="C731">
            <v>0</v>
          </cell>
          <cell r="D731">
            <v>0</v>
          </cell>
          <cell r="G731">
            <v>0</v>
          </cell>
          <cell r="I731">
            <v>0</v>
          </cell>
          <cell r="J731">
            <v>0</v>
          </cell>
          <cell r="M731">
            <v>0</v>
          </cell>
          <cell r="N731">
            <v>0</v>
          </cell>
          <cell r="AW731" t="str">
            <v/>
          </cell>
          <cell r="BA731" t="str">
            <v/>
          </cell>
        </row>
        <row r="732">
          <cell r="C732">
            <v>0</v>
          </cell>
          <cell r="D732">
            <v>0</v>
          </cell>
          <cell r="G732">
            <v>0</v>
          </cell>
          <cell r="I732">
            <v>0</v>
          </cell>
          <cell r="J732">
            <v>0</v>
          </cell>
          <cell r="M732">
            <v>0</v>
          </cell>
          <cell r="N732">
            <v>0</v>
          </cell>
          <cell r="AW732" t="str">
            <v/>
          </cell>
          <cell r="BA732" t="str">
            <v/>
          </cell>
        </row>
        <row r="733">
          <cell r="C733">
            <v>0</v>
          </cell>
          <cell r="D733">
            <v>0</v>
          </cell>
          <cell r="G733">
            <v>0</v>
          </cell>
          <cell r="I733">
            <v>0</v>
          </cell>
          <cell r="J733">
            <v>0</v>
          </cell>
          <cell r="M733">
            <v>0</v>
          </cell>
          <cell r="N733">
            <v>0</v>
          </cell>
          <cell r="AW733" t="str">
            <v/>
          </cell>
          <cell r="BA733" t="str">
            <v/>
          </cell>
        </row>
        <row r="734">
          <cell r="C734">
            <v>0</v>
          </cell>
          <cell r="D734">
            <v>0</v>
          </cell>
          <cell r="G734">
            <v>0</v>
          </cell>
          <cell r="I734">
            <v>0</v>
          </cell>
          <cell r="J734">
            <v>0</v>
          </cell>
          <cell r="M734">
            <v>0</v>
          </cell>
          <cell r="N734">
            <v>0</v>
          </cell>
          <cell r="AW734" t="str">
            <v/>
          </cell>
          <cell r="BA734" t="str">
            <v/>
          </cell>
        </row>
        <row r="735">
          <cell r="C735">
            <v>0</v>
          </cell>
          <cell r="D735">
            <v>0</v>
          </cell>
          <cell r="G735">
            <v>0</v>
          </cell>
          <cell r="I735">
            <v>0</v>
          </cell>
          <cell r="J735">
            <v>0</v>
          </cell>
          <cell r="M735">
            <v>0</v>
          </cell>
          <cell r="N735">
            <v>0</v>
          </cell>
          <cell r="AW735" t="str">
            <v/>
          </cell>
          <cell r="BA735" t="str">
            <v/>
          </cell>
        </row>
        <row r="736">
          <cell r="C736">
            <v>0</v>
          </cell>
          <cell r="D736">
            <v>0</v>
          </cell>
          <cell r="G736">
            <v>0</v>
          </cell>
          <cell r="I736">
            <v>0</v>
          </cell>
          <cell r="J736">
            <v>0</v>
          </cell>
          <cell r="M736">
            <v>0</v>
          </cell>
          <cell r="N736">
            <v>0</v>
          </cell>
          <cell r="AW736" t="str">
            <v/>
          </cell>
          <cell r="BA736" t="str">
            <v/>
          </cell>
        </row>
        <row r="737">
          <cell r="C737">
            <v>0</v>
          </cell>
          <cell r="D737">
            <v>0</v>
          </cell>
          <cell r="G737">
            <v>0</v>
          </cell>
          <cell r="I737">
            <v>0</v>
          </cell>
          <cell r="J737">
            <v>0</v>
          </cell>
          <cell r="M737">
            <v>0</v>
          </cell>
          <cell r="N737">
            <v>0</v>
          </cell>
          <cell r="AW737" t="str">
            <v/>
          </cell>
          <cell r="BA737" t="str">
            <v/>
          </cell>
        </row>
        <row r="738">
          <cell r="C738">
            <v>0</v>
          </cell>
          <cell r="D738">
            <v>0</v>
          </cell>
          <cell r="G738">
            <v>0</v>
          </cell>
          <cell r="I738">
            <v>0</v>
          </cell>
          <cell r="J738">
            <v>0</v>
          </cell>
          <cell r="M738">
            <v>0</v>
          </cell>
          <cell r="N738">
            <v>0</v>
          </cell>
          <cell r="AW738" t="str">
            <v/>
          </cell>
          <cell r="BA738" t="str">
            <v/>
          </cell>
        </row>
        <row r="739">
          <cell r="C739">
            <v>0</v>
          </cell>
          <cell r="D739">
            <v>0</v>
          </cell>
          <cell r="G739">
            <v>0</v>
          </cell>
          <cell r="I739">
            <v>0</v>
          </cell>
          <cell r="J739">
            <v>0</v>
          </cell>
          <cell r="M739">
            <v>0</v>
          </cell>
          <cell r="N739">
            <v>0</v>
          </cell>
          <cell r="AW739" t="str">
            <v/>
          </cell>
          <cell r="BA739" t="str">
            <v/>
          </cell>
        </row>
        <row r="740">
          <cell r="C740">
            <v>0</v>
          </cell>
          <cell r="D740">
            <v>0</v>
          </cell>
          <cell r="G740">
            <v>0</v>
          </cell>
          <cell r="I740">
            <v>0</v>
          </cell>
          <cell r="J740">
            <v>0</v>
          </cell>
          <cell r="M740">
            <v>0</v>
          </cell>
          <cell r="N740">
            <v>0</v>
          </cell>
          <cell r="AW740" t="str">
            <v/>
          </cell>
          <cell r="BA740" t="str">
            <v/>
          </cell>
        </row>
        <row r="741">
          <cell r="C741">
            <v>0</v>
          </cell>
          <cell r="D741">
            <v>0</v>
          </cell>
          <cell r="G741">
            <v>0</v>
          </cell>
          <cell r="I741">
            <v>0</v>
          </cell>
          <cell r="J741">
            <v>0</v>
          </cell>
          <cell r="M741">
            <v>0</v>
          </cell>
          <cell r="N741">
            <v>0</v>
          </cell>
          <cell r="AW741" t="str">
            <v/>
          </cell>
          <cell r="BA741" t="str">
            <v/>
          </cell>
        </row>
        <row r="742">
          <cell r="C742">
            <v>0</v>
          </cell>
          <cell r="D742">
            <v>0</v>
          </cell>
          <cell r="G742">
            <v>0</v>
          </cell>
          <cell r="I742">
            <v>0</v>
          </cell>
          <cell r="J742">
            <v>0</v>
          </cell>
          <cell r="M742">
            <v>0</v>
          </cell>
          <cell r="N742">
            <v>0</v>
          </cell>
          <cell r="AW742" t="str">
            <v/>
          </cell>
          <cell r="BA742" t="str">
            <v/>
          </cell>
        </row>
        <row r="743">
          <cell r="C743">
            <v>0</v>
          </cell>
          <cell r="D743">
            <v>0</v>
          </cell>
          <cell r="G743">
            <v>0</v>
          </cell>
          <cell r="I743">
            <v>0</v>
          </cell>
          <cell r="J743">
            <v>0</v>
          </cell>
          <cell r="M743">
            <v>0</v>
          </cell>
          <cell r="N743">
            <v>0</v>
          </cell>
          <cell r="AW743" t="str">
            <v/>
          </cell>
          <cell r="BA743" t="str">
            <v/>
          </cell>
        </row>
        <row r="744">
          <cell r="C744">
            <v>0</v>
          </cell>
          <cell r="D744">
            <v>0</v>
          </cell>
          <cell r="G744">
            <v>0</v>
          </cell>
          <cell r="I744">
            <v>0</v>
          </cell>
          <cell r="J744">
            <v>0</v>
          </cell>
          <cell r="M744">
            <v>0</v>
          </cell>
          <cell r="N744">
            <v>0</v>
          </cell>
          <cell r="AW744" t="str">
            <v/>
          </cell>
          <cell r="BA744" t="str">
            <v/>
          </cell>
        </row>
        <row r="745">
          <cell r="C745">
            <v>0</v>
          </cell>
          <cell r="D745">
            <v>0</v>
          </cell>
          <cell r="G745">
            <v>0</v>
          </cell>
          <cell r="I745">
            <v>0</v>
          </cell>
          <cell r="J745">
            <v>0</v>
          </cell>
          <cell r="M745">
            <v>0</v>
          </cell>
          <cell r="N745">
            <v>0</v>
          </cell>
          <cell r="AW745" t="str">
            <v/>
          </cell>
          <cell r="BA745" t="str">
            <v/>
          </cell>
        </row>
        <row r="746">
          <cell r="C746">
            <v>0</v>
          </cell>
          <cell r="D746">
            <v>0</v>
          </cell>
          <cell r="G746">
            <v>0</v>
          </cell>
          <cell r="I746">
            <v>0</v>
          </cell>
          <cell r="J746">
            <v>0</v>
          </cell>
          <cell r="M746">
            <v>0</v>
          </cell>
          <cell r="N746">
            <v>0</v>
          </cell>
          <cell r="AW746" t="str">
            <v/>
          </cell>
          <cell r="BA746" t="str">
            <v/>
          </cell>
        </row>
        <row r="747">
          <cell r="C747">
            <v>0</v>
          </cell>
          <cell r="D747">
            <v>0</v>
          </cell>
          <cell r="G747">
            <v>0</v>
          </cell>
          <cell r="I747">
            <v>0</v>
          </cell>
          <cell r="J747">
            <v>0</v>
          </cell>
          <cell r="M747">
            <v>0</v>
          </cell>
          <cell r="N747">
            <v>0</v>
          </cell>
          <cell r="AW747" t="str">
            <v/>
          </cell>
          <cell r="BA747" t="str">
            <v/>
          </cell>
        </row>
        <row r="748">
          <cell r="C748">
            <v>0</v>
          </cell>
          <cell r="D748">
            <v>0</v>
          </cell>
          <cell r="G748">
            <v>0</v>
          </cell>
          <cell r="I748">
            <v>0</v>
          </cell>
          <cell r="J748">
            <v>0</v>
          </cell>
          <cell r="M748">
            <v>0</v>
          </cell>
          <cell r="N748">
            <v>0</v>
          </cell>
          <cell r="AW748" t="str">
            <v/>
          </cell>
          <cell r="BA748" t="str">
            <v/>
          </cell>
        </row>
        <row r="749">
          <cell r="C749">
            <v>0</v>
          </cell>
          <cell r="D749">
            <v>0</v>
          </cell>
          <cell r="G749">
            <v>0</v>
          </cell>
          <cell r="I749">
            <v>0</v>
          </cell>
          <cell r="J749">
            <v>0</v>
          </cell>
          <cell r="M749">
            <v>0</v>
          </cell>
          <cell r="N749">
            <v>0</v>
          </cell>
          <cell r="AW749" t="str">
            <v/>
          </cell>
          <cell r="BA749" t="str">
            <v/>
          </cell>
        </row>
        <row r="750">
          <cell r="C750">
            <v>0</v>
          </cell>
          <cell r="D750">
            <v>0</v>
          </cell>
          <cell r="G750">
            <v>0</v>
          </cell>
          <cell r="I750">
            <v>0</v>
          </cell>
          <cell r="J750">
            <v>0</v>
          </cell>
          <cell r="M750">
            <v>0</v>
          </cell>
          <cell r="N750">
            <v>0</v>
          </cell>
          <cell r="AW750" t="str">
            <v/>
          </cell>
          <cell r="BA750" t="str">
            <v/>
          </cell>
        </row>
        <row r="751">
          <cell r="C751">
            <v>0</v>
          </cell>
          <cell r="D751">
            <v>0</v>
          </cell>
          <cell r="G751">
            <v>0</v>
          </cell>
          <cell r="I751">
            <v>0</v>
          </cell>
          <cell r="J751">
            <v>0</v>
          </cell>
          <cell r="M751">
            <v>0</v>
          </cell>
          <cell r="N751">
            <v>0</v>
          </cell>
          <cell r="AW751" t="str">
            <v/>
          </cell>
          <cell r="BA751" t="str">
            <v/>
          </cell>
        </row>
        <row r="752">
          <cell r="C752">
            <v>0</v>
          </cell>
          <cell r="D752">
            <v>0</v>
          </cell>
          <cell r="G752">
            <v>0</v>
          </cell>
          <cell r="I752">
            <v>0</v>
          </cell>
          <cell r="J752">
            <v>0</v>
          </cell>
          <cell r="M752">
            <v>0</v>
          </cell>
          <cell r="N752">
            <v>0</v>
          </cell>
          <cell r="AW752" t="str">
            <v/>
          </cell>
          <cell r="BA752" t="str">
            <v/>
          </cell>
        </row>
        <row r="753">
          <cell r="C753">
            <v>0</v>
          </cell>
          <cell r="D753">
            <v>0</v>
          </cell>
          <cell r="G753">
            <v>0</v>
          </cell>
          <cell r="I753">
            <v>0</v>
          </cell>
          <cell r="J753">
            <v>0</v>
          </cell>
          <cell r="M753">
            <v>0</v>
          </cell>
          <cell r="N753">
            <v>0</v>
          </cell>
          <cell r="AW753" t="str">
            <v/>
          </cell>
          <cell r="BA753" t="str">
            <v/>
          </cell>
        </row>
        <row r="754">
          <cell r="C754">
            <v>0</v>
          </cell>
          <cell r="D754">
            <v>0</v>
          </cell>
          <cell r="G754">
            <v>0</v>
          </cell>
          <cell r="I754">
            <v>0</v>
          </cell>
          <cell r="J754">
            <v>0</v>
          </cell>
          <cell r="M754">
            <v>0</v>
          </cell>
          <cell r="N754">
            <v>0</v>
          </cell>
          <cell r="AW754" t="str">
            <v/>
          </cell>
          <cell r="BA754" t="str">
            <v/>
          </cell>
        </row>
        <row r="755">
          <cell r="C755">
            <v>0</v>
          </cell>
          <cell r="D755">
            <v>0</v>
          </cell>
          <cell r="G755">
            <v>0</v>
          </cell>
          <cell r="I755">
            <v>0</v>
          </cell>
          <cell r="J755">
            <v>0</v>
          </cell>
          <cell r="M755">
            <v>0</v>
          </cell>
          <cell r="N755">
            <v>0</v>
          </cell>
          <cell r="AW755" t="str">
            <v/>
          </cell>
          <cell r="BA755" t="str">
            <v/>
          </cell>
        </row>
        <row r="756">
          <cell r="C756">
            <v>0</v>
          </cell>
          <cell r="D756">
            <v>0</v>
          </cell>
          <cell r="G756">
            <v>0</v>
          </cell>
          <cell r="I756">
            <v>0</v>
          </cell>
          <cell r="J756">
            <v>0</v>
          </cell>
          <cell r="M756">
            <v>0</v>
          </cell>
          <cell r="N756">
            <v>0</v>
          </cell>
          <cell r="AW756" t="str">
            <v/>
          </cell>
          <cell r="BA756" t="str">
            <v/>
          </cell>
        </row>
        <row r="757">
          <cell r="C757">
            <v>0</v>
          </cell>
          <cell r="D757">
            <v>0</v>
          </cell>
          <cell r="G757">
            <v>0</v>
          </cell>
          <cell r="I757">
            <v>0</v>
          </cell>
          <cell r="J757">
            <v>0</v>
          </cell>
          <cell r="M757">
            <v>0</v>
          </cell>
          <cell r="N757">
            <v>0</v>
          </cell>
          <cell r="AW757" t="str">
            <v/>
          </cell>
          <cell r="BA757" t="str">
            <v/>
          </cell>
        </row>
        <row r="758">
          <cell r="C758">
            <v>0</v>
          </cell>
          <cell r="D758">
            <v>0</v>
          </cell>
          <cell r="G758">
            <v>0</v>
          </cell>
          <cell r="I758">
            <v>0</v>
          </cell>
          <cell r="J758">
            <v>0</v>
          </cell>
          <cell r="M758">
            <v>0</v>
          </cell>
          <cell r="N758">
            <v>0</v>
          </cell>
          <cell r="AW758" t="str">
            <v/>
          </cell>
          <cell r="BA758" t="str">
            <v/>
          </cell>
        </row>
        <row r="759">
          <cell r="C759">
            <v>0</v>
          </cell>
          <cell r="D759">
            <v>0</v>
          </cell>
          <cell r="G759">
            <v>0</v>
          </cell>
          <cell r="I759">
            <v>0</v>
          </cell>
          <cell r="J759">
            <v>0</v>
          </cell>
          <cell r="M759">
            <v>0</v>
          </cell>
          <cell r="N759">
            <v>0</v>
          </cell>
          <cell r="AW759" t="str">
            <v/>
          </cell>
          <cell r="BA759" t="str">
            <v/>
          </cell>
        </row>
        <row r="760">
          <cell r="C760">
            <v>0</v>
          </cell>
          <cell r="D760">
            <v>0</v>
          </cell>
          <cell r="G760">
            <v>0</v>
          </cell>
          <cell r="I760">
            <v>0</v>
          </cell>
          <cell r="J760">
            <v>0</v>
          </cell>
          <cell r="M760">
            <v>0</v>
          </cell>
          <cell r="N760">
            <v>0</v>
          </cell>
          <cell r="AW760" t="str">
            <v/>
          </cell>
          <cell r="BA760" t="str">
            <v/>
          </cell>
        </row>
        <row r="761">
          <cell r="C761">
            <v>0</v>
          </cell>
          <cell r="D761">
            <v>0</v>
          </cell>
          <cell r="G761">
            <v>0</v>
          </cell>
          <cell r="I761">
            <v>0</v>
          </cell>
          <cell r="J761">
            <v>0</v>
          </cell>
          <cell r="M761">
            <v>0</v>
          </cell>
          <cell r="N761">
            <v>0</v>
          </cell>
          <cell r="AW761" t="str">
            <v/>
          </cell>
          <cell r="BA761" t="str">
            <v/>
          </cell>
        </row>
        <row r="762">
          <cell r="C762">
            <v>0</v>
          </cell>
          <cell r="D762">
            <v>0</v>
          </cell>
          <cell r="G762">
            <v>0</v>
          </cell>
          <cell r="I762">
            <v>0</v>
          </cell>
          <cell r="J762">
            <v>0</v>
          </cell>
          <cell r="M762">
            <v>0</v>
          </cell>
          <cell r="N762">
            <v>0</v>
          </cell>
          <cell r="AW762" t="str">
            <v/>
          </cell>
          <cell r="BA762" t="str">
            <v/>
          </cell>
        </row>
        <row r="763">
          <cell r="C763">
            <v>0</v>
          </cell>
          <cell r="D763">
            <v>0</v>
          </cell>
          <cell r="G763">
            <v>0</v>
          </cell>
          <cell r="I763">
            <v>0</v>
          </cell>
          <cell r="J763">
            <v>0</v>
          </cell>
          <cell r="M763">
            <v>0</v>
          </cell>
          <cell r="N763">
            <v>0</v>
          </cell>
          <cell r="AW763" t="str">
            <v/>
          </cell>
          <cell r="BA763" t="str">
            <v/>
          </cell>
        </row>
        <row r="764">
          <cell r="C764">
            <v>0</v>
          </cell>
          <cell r="D764">
            <v>0</v>
          </cell>
          <cell r="G764">
            <v>0</v>
          </cell>
          <cell r="I764">
            <v>0</v>
          </cell>
          <cell r="J764">
            <v>0</v>
          </cell>
          <cell r="M764">
            <v>0</v>
          </cell>
          <cell r="N764">
            <v>0</v>
          </cell>
          <cell r="AW764" t="str">
            <v/>
          </cell>
          <cell r="BA764" t="str">
            <v/>
          </cell>
        </row>
        <row r="765">
          <cell r="C765">
            <v>0</v>
          </cell>
          <cell r="D765">
            <v>0</v>
          </cell>
          <cell r="G765">
            <v>0</v>
          </cell>
          <cell r="I765">
            <v>0</v>
          </cell>
          <cell r="J765">
            <v>0</v>
          </cell>
          <cell r="M765">
            <v>0</v>
          </cell>
          <cell r="N765">
            <v>0</v>
          </cell>
          <cell r="AW765" t="str">
            <v/>
          </cell>
          <cell r="BA765" t="str">
            <v/>
          </cell>
        </row>
        <row r="766">
          <cell r="C766">
            <v>0</v>
          </cell>
          <cell r="D766">
            <v>0</v>
          </cell>
          <cell r="G766">
            <v>0</v>
          </cell>
          <cell r="I766">
            <v>0</v>
          </cell>
          <cell r="J766">
            <v>0</v>
          </cell>
          <cell r="M766">
            <v>0</v>
          </cell>
          <cell r="N766">
            <v>0</v>
          </cell>
          <cell r="AW766" t="str">
            <v/>
          </cell>
          <cell r="BA766" t="str">
            <v/>
          </cell>
        </row>
        <row r="767">
          <cell r="C767">
            <v>0</v>
          </cell>
          <cell r="D767">
            <v>0</v>
          </cell>
          <cell r="G767">
            <v>0</v>
          </cell>
          <cell r="I767">
            <v>0</v>
          </cell>
          <cell r="J767">
            <v>0</v>
          </cell>
          <cell r="M767">
            <v>0</v>
          </cell>
          <cell r="N767">
            <v>0</v>
          </cell>
          <cell r="AW767" t="str">
            <v/>
          </cell>
          <cell r="BA767" t="str">
            <v/>
          </cell>
        </row>
        <row r="768">
          <cell r="C768">
            <v>0</v>
          </cell>
          <cell r="D768">
            <v>0</v>
          </cell>
          <cell r="G768">
            <v>0</v>
          </cell>
          <cell r="I768">
            <v>0</v>
          </cell>
          <cell r="J768">
            <v>0</v>
          </cell>
          <cell r="M768">
            <v>0</v>
          </cell>
          <cell r="N768">
            <v>0</v>
          </cell>
          <cell r="AW768" t="str">
            <v/>
          </cell>
          <cell r="BA768" t="str">
            <v/>
          </cell>
        </row>
        <row r="769">
          <cell r="C769">
            <v>0</v>
          </cell>
          <cell r="D769">
            <v>0</v>
          </cell>
          <cell r="G769">
            <v>0</v>
          </cell>
          <cell r="I769">
            <v>0</v>
          </cell>
          <cell r="J769">
            <v>0</v>
          </cell>
          <cell r="M769">
            <v>0</v>
          </cell>
          <cell r="N769">
            <v>0</v>
          </cell>
          <cell r="AW769" t="str">
            <v/>
          </cell>
          <cell r="BA769" t="str">
            <v/>
          </cell>
        </row>
        <row r="770">
          <cell r="C770">
            <v>0</v>
          </cell>
          <cell r="D770">
            <v>0</v>
          </cell>
          <cell r="G770">
            <v>0</v>
          </cell>
          <cell r="I770">
            <v>0</v>
          </cell>
          <cell r="J770">
            <v>0</v>
          </cell>
          <cell r="M770">
            <v>0</v>
          </cell>
          <cell r="N770">
            <v>0</v>
          </cell>
          <cell r="AW770" t="str">
            <v/>
          </cell>
          <cell r="BA770" t="str">
            <v/>
          </cell>
        </row>
        <row r="771">
          <cell r="C771">
            <v>0</v>
          </cell>
          <cell r="D771">
            <v>0</v>
          </cell>
          <cell r="G771">
            <v>0</v>
          </cell>
          <cell r="I771">
            <v>0</v>
          </cell>
          <cell r="J771">
            <v>0</v>
          </cell>
          <cell r="M771">
            <v>0</v>
          </cell>
          <cell r="N771">
            <v>0</v>
          </cell>
          <cell r="AW771" t="str">
            <v/>
          </cell>
          <cell r="BA771" t="str">
            <v/>
          </cell>
        </row>
        <row r="772">
          <cell r="C772">
            <v>0</v>
          </cell>
          <cell r="D772">
            <v>0</v>
          </cell>
          <cell r="G772">
            <v>0</v>
          </cell>
          <cell r="I772">
            <v>0</v>
          </cell>
          <cell r="J772">
            <v>0</v>
          </cell>
          <cell r="M772">
            <v>0</v>
          </cell>
          <cell r="N772">
            <v>0</v>
          </cell>
          <cell r="AW772" t="str">
            <v/>
          </cell>
          <cell r="BA772" t="str">
            <v/>
          </cell>
        </row>
        <row r="773">
          <cell r="C773">
            <v>0</v>
          </cell>
          <cell r="D773">
            <v>0</v>
          </cell>
          <cell r="G773">
            <v>0</v>
          </cell>
          <cell r="I773">
            <v>0</v>
          </cell>
          <cell r="J773">
            <v>0</v>
          </cell>
          <cell r="M773">
            <v>0</v>
          </cell>
          <cell r="N773">
            <v>0</v>
          </cell>
          <cell r="AW773" t="str">
            <v/>
          </cell>
          <cell r="BA773" t="str">
            <v/>
          </cell>
        </row>
        <row r="774">
          <cell r="C774">
            <v>0</v>
          </cell>
          <cell r="D774">
            <v>0</v>
          </cell>
          <cell r="G774">
            <v>0</v>
          </cell>
          <cell r="I774">
            <v>0</v>
          </cell>
          <cell r="J774">
            <v>0</v>
          </cell>
          <cell r="M774">
            <v>0</v>
          </cell>
          <cell r="N774">
            <v>0</v>
          </cell>
          <cell r="AW774" t="str">
            <v/>
          </cell>
          <cell r="BA774" t="str">
            <v/>
          </cell>
        </row>
        <row r="775">
          <cell r="C775">
            <v>0</v>
          </cell>
          <cell r="D775">
            <v>0</v>
          </cell>
          <cell r="G775">
            <v>0</v>
          </cell>
          <cell r="I775">
            <v>0</v>
          </cell>
          <cell r="J775">
            <v>0</v>
          </cell>
          <cell r="M775">
            <v>0</v>
          </cell>
          <cell r="N775">
            <v>0</v>
          </cell>
          <cell r="AW775" t="str">
            <v/>
          </cell>
          <cell r="BA775" t="str">
            <v/>
          </cell>
        </row>
        <row r="776">
          <cell r="C776">
            <v>0</v>
          </cell>
          <cell r="D776">
            <v>0</v>
          </cell>
          <cell r="G776">
            <v>0</v>
          </cell>
          <cell r="I776">
            <v>0</v>
          </cell>
          <cell r="J776">
            <v>0</v>
          </cell>
          <cell r="M776">
            <v>0</v>
          </cell>
          <cell r="N776">
            <v>0</v>
          </cell>
          <cell r="AW776" t="str">
            <v/>
          </cell>
          <cell r="BA776" t="str">
            <v/>
          </cell>
        </row>
        <row r="777">
          <cell r="C777">
            <v>0</v>
          </cell>
          <cell r="D777">
            <v>0</v>
          </cell>
          <cell r="G777">
            <v>0</v>
          </cell>
          <cell r="I777">
            <v>0</v>
          </cell>
          <cell r="J777">
            <v>0</v>
          </cell>
          <cell r="M777">
            <v>0</v>
          </cell>
          <cell r="N777">
            <v>0</v>
          </cell>
          <cell r="AW777" t="str">
            <v/>
          </cell>
          <cell r="BA777" t="str">
            <v/>
          </cell>
        </row>
        <row r="778">
          <cell r="C778">
            <v>0</v>
          </cell>
          <cell r="D778">
            <v>0</v>
          </cell>
          <cell r="G778">
            <v>0</v>
          </cell>
          <cell r="I778">
            <v>0</v>
          </cell>
          <cell r="J778">
            <v>0</v>
          </cell>
          <cell r="M778">
            <v>0</v>
          </cell>
          <cell r="N778">
            <v>0</v>
          </cell>
          <cell r="AW778" t="str">
            <v/>
          </cell>
          <cell r="BA778" t="str">
            <v/>
          </cell>
        </row>
        <row r="779">
          <cell r="C779">
            <v>0</v>
          </cell>
          <cell r="D779">
            <v>0</v>
          </cell>
          <cell r="G779">
            <v>0</v>
          </cell>
          <cell r="I779">
            <v>0</v>
          </cell>
          <cell r="J779">
            <v>0</v>
          </cell>
          <cell r="M779">
            <v>0</v>
          </cell>
          <cell r="N779">
            <v>0</v>
          </cell>
          <cell r="AW779" t="str">
            <v/>
          </cell>
          <cell r="BA779" t="str">
            <v/>
          </cell>
        </row>
        <row r="780">
          <cell r="C780">
            <v>0</v>
          </cell>
          <cell r="D780">
            <v>0</v>
          </cell>
          <cell r="G780">
            <v>0</v>
          </cell>
          <cell r="I780">
            <v>0</v>
          </cell>
          <cell r="J780">
            <v>0</v>
          </cell>
          <cell r="M780">
            <v>0</v>
          </cell>
          <cell r="N780">
            <v>0</v>
          </cell>
          <cell r="AW780" t="str">
            <v/>
          </cell>
          <cell r="BA780" t="str">
            <v/>
          </cell>
        </row>
        <row r="781">
          <cell r="C781">
            <v>0</v>
          </cell>
          <cell r="D781">
            <v>0</v>
          </cell>
          <cell r="G781">
            <v>0</v>
          </cell>
          <cell r="I781">
            <v>0</v>
          </cell>
          <cell r="J781">
            <v>0</v>
          </cell>
          <cell r="M781">
            <v>0</v>
          </cell>
          <cell r="N781">
            <v>0</v>
          </cell>
          <cell r="AW781" t="str">
            <v/>
          </cell>
          <cell r="BA781" t="str">
            <v/>
          </cell>
        </row>
        <row r="782">
          <cell r="C782">
            <v>0</v>
          </cell>
          <cell r="D782">
            <v>0</v>
          </cell>
          <cell r="G782">
            <v>0</v>
          </cell>
          <cell r="I782">
            <v>0</v>
          </cell>
          <cell r="J782">
            <v>0</v>
          </cell>
          <cell r="M782">
            <v>0</v>
          </cell>
          <cell r="N782">
            <v>0</v>
          </cell>
          <cell r="AW782" t="str">
            <v/>
          </cell>
          <cell r="BA782" t="str">
            <v/>
          </cell>
        </row>
        <row r="783">
          <cell r="C783">
            <v>0</v>
          </cell>
          <cell r="D783">
            <v>0</v>
          </cell>
          <cell r="G783">
            <v>0</v>
          </cell>
          <cell r="I783">
            <v>0</v>
          </cell>
          <cell r="J783">
            <v>0</v>
          </cell>
          <cell r="M783">
            <v>0</v>
          </cell>
          <cell r="N783">
            <v>0</v>
          </cell>
          <cell r="AW783" t="str">
            <v/>
          </cell>
          <cell r="BA783" t="str">
            <v/>
          </cell>
        </row>
        <row r="784">
          <cell r="C784">
            <v>0</v>
          </cell>
          <cell r="D784">
            <v>0</v>
          </cell>
          <cell r="G784">
            <v>0</v>
          </cell>
          <cell r="I784">
            <v>0</v>
          </cell>
          <cell r="J784">
            <v>0</v>
          </cell>
          <cell r="M784">
            <v>0</v>
          </cell>
          <cell r="N784">
            <v>0</v>
          </cell>
          <cell r="AW784" t="str">
            <v/>
          </cell>
          <cell r="BA784" t="str">
            <v/>
          </cell>
        </row>
        <row r="785">
          <cell r="C785">
            <v>0</v>
          </cell>
          <cell r="D785">
            <v>0</v>
          </cell>
          <cell r="G785">
            <v>0</v>
          </cell>
          <cell r="I785">
            <v>0</v>
          </cell>
          <cell r="J785">
            <v>0</v>
          </cell>
          <cell r="M785">
            <v>0</v>
          </cell>
          <cell r="N785">
            <v>0</v>
          </cell>
          <cell r="AW785" t="str">
            <v/>
          </cell>
          <cell r="BA785" t="str">
            <v/>
          </cell>
        </row>
        <row r="786">
          <cell r="C786">
            <v>0</v>
          </cell>
          <cell r="D786">
            <v>0</v>
          </cell>
          <cell r="G786">
            <v>0</v>
          </cell>
          <cell r="I786">
            <v>0</v>
          </cell>
          <cell r="J786">
            <v>0</v>
          </cell>
          <cell r="M786">
            <v>0</v>
          </cell>
          <cell r="N786">
            <v>0</v>
          </cell>
          <cell r="AW786" t="str">
            <v/>
          </cell>
          <cell r="BA786" t="str">
            <v/>
          </cell>
        </row>
        <row r="787">
          <cell r="C787">
            <v>0</v>
          </cell>
          <cell r="D787">
            <v>0</v>
          </cell>
          <cell r="G787">
            <v>0</v>
          </cell>
          <cell r="I787">
            <v>0</v>
          </cell>
          <cell r="J787">
            <v>0</v>
          </cell>
          <cell r="M787">
            <v>0</v>
          </cell>
          <cell r="N787">
            <v>0</v>
          </cell>
          <cell r="AW787" t="str">
            <v/>
          </cell>
          <cell r="BA787" t="str">
            <v/>
          </cell>
        </row>
        <row r="788">
          <cell r="C788">
            <v>0</v>
          </cell>
          <cell r="D788">
            <v>0</v>
          </cell>
          <cell r="G788">
            <v>0</v>
          </cell>
          <cell r="I788">
            <v>0</v>
          </cell>
          <cell r="J788">
            <v>0</v>
          </cell>
          <cell r="M788">
            <v>0</v>
          </cell>
          <cell r="N788">
            <v>0</v>
          </cell>
          <cell r="AW788" t="str">
            <v/>
          </cell>
          <cell r="BA788" t="str">
            <v/>
          </cell>
        </row>
        <row r="789">
          <cell r="C789">
            <v>0</v>
          </cell>
          <cell r="D789">
            <v>0</v>
          </cell>
          <cell r="G789">
            <v>0</v>
          </cell>
          <cell r="I789">
            <v>0</v>
          </cell>
          <cell r="J789">
            <v>0</v>
          </cell>
          <cell r="M789">
            <v>0</v>
          </cell>
          <cell r="N789">
            <v>0</v>
          </cell>
          <cell r="AW789" t="str">
            <v/>
          </cell>
          <cell r="BA789" t="str">
            <v/>
          </cell>
        </row>
        <row r="790">
          <cell r="C790">
            <v>0</v>
          </cell>
          <cell r="D790">
            <v>0</v>
          </cell>
          <cell r="G790">
            <v>0</v>
          </cell>
          <cell r="I790">
            <v>0</v>
          </cell>
          <cell r="J790">
            <v>0</v>
          </cell>
          <cell r="M790">
            <v>0</v>
          </cell>
          <cell r="N790">
            <v>0</v>
          </cell>
          <cell r="AW790" t="str">
            <v/>
          </cell>
          <cell r="BA790" t="str">
            <v/>
          </cell>
        </row>
        <row r="791">
          <cell r="C791">
            <v>0</v>
          </cell>
          <cell r="D791">
            <v>0</v>
          </cell>
          <cell r="G791">
            <v>0</v>
          </cell>
          <cell r="I791">
            <v>0</v>
          </cell>
          <cell r="J791">
            <v>0</v>
          </cell>
          <cell r="M791">
            <v>0</v>
          </cell>
          <cell r="N791">
            <v>0</v>
          </cell>
          <cell r="AW791" t="str">
            <v/>
          </cell>
          <cell r="BA791" t="str">
            <v/>
          </cell>
        </row>
        <row r="792">
          <cell r="C792">
            <v>0</v>
          </cell>
          <cell r="D792">
            <v>0</v>
          </cell>
          <cell r="G792">
            <v>0</v>
          </cell>
          <cell r="I792">
            <v>0</v>
          </cell>
          <cell r="J792">
            <v>0</v>
          </cell>
          <cell r="M792">
            <v>0</v>
          </cell>
          <cell r="N792">
            <v>0</v>
          </cell>
          <cell r="AW792" t="str">
            <v/>
          </cell>
          <cell r="BA792" t="str">
            <v/>
          </cell>
        </row>
        <row r="793">
          <cell r="C793">
            <v>0</v>
          </cell>
          <cell r="D793">
            <v>0</v>
          </cell>
          <cell r="G793">
            <v>0</v>
          </cell>
          <cell r="I793">
            <v>0</v>
          </cell>
          <cell r="J793">
            <v>0</v>
          </cell>
          <cell r="M793">
            <v>0</v>
          </cell>
          <cell r="N793">
            <v>0</v>
          </cell>
          <cell r="AW793" t="str">
            <v/>
          </cell>
          <cell r="BA793" t="str">
            <v/>
          </cell>
        </row>
        <row r="794">
          <cell r="C794">
            <v>0</v>
          </cell>
          <cell r="D794">
            <v>0</v>
          </cell>
          <cell r="G794">
            <v>0</v>
          </cell>
          <cell r="I794">
            <v>0</v>
          </cell>
          <cell r="J794">
            <v>0</v>
          </cell>
          <cell r="M794">
            <v>0</v>
          </cell>
          <cell r="N794">
            <v>0</v>
          </cell>
          <cell r="AW794" t="str">
            <v/>
          </cell>
          <cell r="BA794" t="str">
            <v/>
          </cell>
        </row>
        <row r="795">
          <cell r="C795">
            <v>0</v>
          </cell>
          <cell r="D795">
            <v>0</v>
          </cell>
          <cell r="G795">
            <v>0</v>
          </cell>
          <cell r="I795">
            <v>0</v>
          </cell>
          <cell r="J795">
            <v>0</v>
          </cell>
          <cell r="M795">
            <v>0</v>
          </cell>
          <cell r="N795">
            <v>0</v>
          </cell>
          <cell r="AW795" t="str">
            <v/>
          </cell>
          <cell r="BA795" t="str">
            <v/>
          </cell>
        </row>
        <row r="796">
          <cell r="C796">
            <v>0</v>
          </cell>
          <cell r="D796">
            <v>0</v>
          </cell>
          <cell r="G796">
            <v>0</v>
          </cell>
          <cell r="I796">
            <v>0</v>
          </cell>
          <cell r="J796">
            <v>0</v>
          </cell>
          <cell r="M796">
            <v>0</v>
          </cell>
          <cell r="N796">
            <v>0</v>
          </cell>
          <cell r="AW796" t="str">
            <v/>
          </cell>
          <cell r="BA796" t="str">
            <v/>
          </cell>
        </row>
        <row r="797">
          <cell r="C797">
            <v>0</v>
          </cell>
          <cell r="D797">
            <v>0</v>
          </cell>
          <cell r="G797">
            <v>0</v>
          </cell>
          <cell r="I797">
            <v>0</v>
          </cell>
          <cell r="J797">
            <v>0</v>
          </cell>
          <cell r="M797">
            <v>0</v>
          </cell>
          <cell r="N797">
            <v>0</v>
          </cell>
          <cell r="AW797" t="str">
            <v/>
          </cell>
          <cell r="BA797" t="str">
            <v/>
          </cell>
        </row>
        <row r="798">
          <cell r="C798">
            <v>0</v>
          </cell>
          <cell r="D798">
            <v>0</v>
          </cell>
          <cell r="G798">
            <v>0</v>
          </cell>
          <cell r="I798">
            <v>0</v>
          </cell>
          <cell r="J798">
            <v>0</v>
          </cell>
          <cell r="M798">
            <v>0</v>
          </cell>
          <cell r="N798">
            <v>0</v>
          </cell>
          <cell r="AW798" t="str">
            <v/>
          </cell>
          <cell r="BA798" t="str">
            <v/>
          </cell>
        </row>
        <row r="799">
          <cell r="C799">
            <v>0</v>
          </cell>
          <cell r="D799">
            <v>0</v>
          </cell>
          <cell r="G799">
            <v>0</v>
          </cell>
          <cell r="I799">
            <v>0</v>
          </cell>
          <cell r="J799">
            <v>0</v>
          </cell>
          <cell r="M799">
            <v>0</v>
          </cell>
          <cell r="N799">
            <v>0</v>
          </cell>
          <cell r="AW799" t="str">
            <v/>
          </cell>
          <cell r="BA799" t="str">
            <v/>
          </cell>
        </row>
        <row r="800">
          <cell r="C800">
            <v>0</v>
          </cell>
          <cell r="D800">
            <v>0</v>
          </cell>
          <cell r="G800">
            <v>0</v>
          </cell>
          <cell r="I800">
            <v>0</v>
          </cell>
          <cell r="J800">
            <v>0</v>
          </cell>
          <cell r="M800">
            <v>0</v>
          </cell>
          <cell r="N800">
            <v>0</v>
          </cell>
          <cell r="AW800" t="str">
            <v/>
          </cell>
          <cell r="BA800" t="str">
            <v/>
          </cell>
        </row>
        <row r="801">
          <cell r="C801">
            <v>0</v>
          </cell>
          <cell r="D801">
            <v>0</v>
          </cell>
          <cell r="G801">
            <v>0</v>
          </cell>
          <cell r="I801">
            <v>0</v>
          </cell>
          <cell r="J801">
            <v>0</v>
          </cell>
          <cell r="M801">
            <v>0</v>
          </cell>
          <cell r="N801">
            <v>0</v>
          </cell>
          <cell r="AW801" t="str">
            <v/>
          </cell>
          <cell r="BA801" t="str">
            <v/>
          </cell>
        </row>
        <row r="802">
          <cell r="C802">
            <v>0</v>
          </cell>
          <cell r="D802">
            <v>0</v>
          </cell>
          <cell r="G802">
            <v>0</v>
          </cell>
          <cell r="I802">
            <v>0</v>
          </cell>
          <cell r="J802">
            <v>0</v>
          </cell>
          <cell r="M802">
            <v>0</v>
          </cell>
          <cell r="N802">
            <v>0</v>
          </cell>
          <cell r="AW802" t="str">
            <v/>
          </cell>
          <cell r="BA802" t="str">
            <v/>
          </cell>
        </row>
        <row r="803">
          <cell r="C803">
            <v>0</v>
          </cell>
          <cell r="D803">
            <v>0</v>
          </cell>
          <cell r="G803">
            <v>0</v>
          </cell>
          <cell r="I803">
            <v>0</v>
          </cell>
          <cell r="J803">
            <v>0</v>
          </cell>
          <cell r="M803">
            <v>0</v>
          </cell>
          <cell r="N803">
            <v>0</v>
          </cell>
          <cell r="AW803" t="str">
            <v/>
          </cell>
          <cell r="BA803" t="str">
            <v/>
          </cell>
        </row>
        <row r="804">
          <cell r="C804">
            <v>0</v>
          </cell>
          <cell r="D804">
            <v>0</v>
          </cell>
          <cell r="G804">
            <v>0</v>
          </cell>
          <cell r="I804">
            <v>0</v>
          </cell>
          <cell r="J804">
            <v>0</v>
          </cell>
          <cell r="M804">
            <v>0</v>
          </cell>
          <cell r="N804">
            <v>0</v>
          </cell>
          <cell r="AW804" t="str">
            <v/>
          </cell>
          <cell r="BA804" t="str">
            <v/>
          </cell>
        </row>
        <row r="805">
          <cell r="C805">
            <v>0</v>
          </cell>
          <cell r="D805">
            <v>0</v>
          </cell>
          <cell r="G805">
            <v>0</v>
          </cell>
          <cell r="I805">
            <v>0</v>
          </cell>
          <cell r="J805">
            <v>0</v>
          </cell>
          <cell r="M805">
            <v>0</v>
          </cell>
          <cell r="N805">
            <v>0</v>
          </cell>
          <cell r="AW805" t="str">
            <v/>
          </cell>
          <cell r="BA805" t="str">
            <v/>
          </cell>
        </row>
        <row r="806">
          <cell r="C806">
            <v>0</v>
          </cell>
          <cell r="D806">
            <v>0</v>
          </cell>
          <cell r="G806">
            <v>0</v>
          </cell>
          <cell r="I806">
            <v>0</v>
          </cell>
          <cell r="J806">
            <v>0</v>
          </cell>
          <cell r="M806">
            <v>0</v>
          </cell>
          <cell r="N806">
            <v>0</v>
          </cell>
          <cell r="AW806" t="str">
            <v/>
          </cell>
          <cell r="BA806" t="str">
            <v/>
          </cell>
        </row>
        <row r="807">
          <cell r="C807">
            <v>0</v>
          </cell>
          <cell r="D807">
            <v>0</v>
          </cell>
          <cell r="G807">
            <v>0</v>
          </cell>
          <cell r="I807">
            <v>0</v>
          </cell>
          <cell r="J807">
            <v>0</v>
          </cell>
          <cell r="M807">
            <v>0</v>
          </cell>
          <cell r="N807">
            <v>0</v>
          </cell>
          <cell r="AW807" t="str">
            <v/>
          </cell>
          <cell r="BA807" t="str">
            <v/>
          </cell>
        </row>
        <row r="808">
          <cell r="C808">
            <v>0</v>
          </cell>
          <cell r="D808">
            <v>0</v>
          </cell>
          <cell r="G808">
            <v>0</v>
          </cell>
          <cell r="I808">
            <v>0</v>
          </cell>
          <cell r="J808">
            <v>0</v>
          </cell>
          <cell r="M808">
            <v>0</v>
          </cell>
          <cell r="N808">
            <v>0</v>
          </cell>
          <cell r="AW808" t="str">
            <v/>
          </cell>
          <cell r="BA808" t="str">
            <v/>
          </cell>
        </row>
        <row r="809">
          <cell r="C809">
            <v>0</v>
          </cell>
          <cell r="D809">
            <v>0</v>
          </cell>
          <cell r="G809">
            <v>0</v>
          </cell>
          <cell r="I809">
            <v>0</v>
          </cell>
          <cell r="J809">
            <v>0</v>
          </cell>
          <cell r="M809">
            <v>0</v>
          </cell>
          <cell r="N809">
            <v>0</v>
          </cell>
          <cell r="AW809" t="str">
            <v/>
          </cell>
          <cell r="BA809" t="str">
            <v/>
          </cell>
        </row>
        <row r="810">
          <cell r="C810">
            <v>0</v>
          </cell>
          <cell r="D810">
            <v>0</v>
          </cell>
          <cell r="G810">
            <v>0</v>
          </cell>
          <cell r="I810">
            <v>0</v>
          </cell>
          <cell r="J810">
            <v>0</v>
          </cell>
          <cell r="M810">
            <v>0</v>
          </cell>
          <cell r="N810">
            <v>0</v>
          </cell>
          <cell r="AW810" t="str">
            <v/>
          </cell>
          <cell r="BA810" t="str">
            <v/>
          </cell>
        </row>
        <row r="811">
          <cell r="C811">
            <v>0</v>
          </cell>
          <cell r="D811">
            <v>0</v>
          </cell>
          <cell r="G811">
            <v>0</v>
          </cell>
          <cell r="I811">
            <v>0</v>
          </cell>
          <cell r="J811">
            <v>0</v>
          </cell>
          <cell r="M811">
            <v>0</v>
          </cell>
          <cell r="N811">
            <v>0</v>
          </cell>
          <cell r="AW811" t="str">
            <v/>
          </cell>
          <cell r="BA811" t="str">
            <v/>
          </cell>
        </row>
        <row r="812">
          <cell r="C812">
            <v>0</v>
          </cell>
          <cell r="D812">
            <v>0</v>
          </cell>
          <cell r="G812">
            <v>0</v>
          </cell>
          <cell r="I812">
            <v>0</v>
          </cell>
          <cell r="J812">
            <v>0</v>
          </cell>
          <cell r="M812">
            <v>0</v>
          </cell>
          <cell r="N812">
            <v>0</v>
          </cell>
          <cell r="AW812" t="str">
            <v/>
          </cell>
          <cell r="BA812" t="str">
            <v/>
          </cell>
        </row>
        <row r="813">
          <cell r="C813">
            <v>0</v>
          </cell>
          <cell r="D813">
            <v>0</v>
          </cell>
          <cell r="G813">
            <v>0</v>
          </cell>
          <cell r="I813">
            <v>0</v>
          </cell>
          <cell r="J813">
            <v>0</v>
          </cell>
          <cell r="M813">
            <v>0</v>
          </cell>
          <cell r="N813">
            <v>0</v>
          </cell>
          <cell r="AW813" t="str">
            <v/>
          </cell>
          <cell r="BA813" t="str">
            <v/>
          </cell>
        </row>
        <row r="814">
          <cell r="C814">
            <v>0</v>
          </cell>
          <cell r="D814">
            <v>0</v>
          </cell>
          <cell r="G814">
            <v>0</v>
          </cell>
          <cell r="I814">
            <v>0</v>
          </cell>
          <cell r="J814">
            <v>0</v>
          </cell>
          <cell r="M814">
            <v>0</v>
          </cell>
          <cell r="N814">
            <v>0</v>
          </cell>
          <cell r="AW814" t="str">
            <v/>
          </cell>
          <cell r="BA814" t="str">
            <v/>
          </cell>
        </row>
        <row r="815">
          <cell r="C815">
            <v>0</v>
          </cell>
          <cell r="D815">
            <v>0</v>
          </cell>
          <cell r="G815">
            <v>0</v>
          </cell>
          <cell r="I815">
            <v>0</v>
          </cell>
          <cell r="J815">
            <v>0</v>
          </cell>
          <cell r="M815">
            <v>0</v>
          </cell>
          <cell r="N815">
            <v>0</v>
          </cell>
          <cell r="AW815" t="str">
            <v/>
          </cell>
          <cell r="BA815" t="str">
            <v/>
          </cell>
        </row>
        <row r="816">
          <cell r="C816">
            <v>0</v>
          </cell>
          <cell r="D816">
            <v>0</v>
          </cell>
          <cell r="G816">
            <v>0</v>
          </cell>
          <cell r="I816">
            <v>0</v>
          </cell>
          <cell r="J816">
            <v>0</v>
          </cell>
          <cell r="M816">
            <v>0</v>
          </cell>
          <cell r="N816">
            <v>0</v>
          </cell>
          <cell r="AW816" t="str">
            <v/>
          </cell>
          <cell r="BA816" t="str">
            <v/>
          </cell>
        </row>
        <row r="817">
          <cell r="C817">
            <v>0</v>
          </cell>
          <cell r="D817">
            <v>0</v>
          </cell>
          <cell r="G817">
            <v>0</v>
          </cell>
          <cell r="I817">
            <v>0</v>
          </cell>
          <cell r="J817">
            <v>0</v>
          </cell>
          <cell r="M817">
            <v>0</v>
          </cell>
          <cell r="N817">
            <v>0</v>
          </cell>
          <cell r="AW817" t="str">
            <v/>
          </cell>
          <cell r="BA817" t="str">
            <v/>
          </cell>
        </row>
        <row r="818">
          <cell r="C818">
            <v>0</v>
          </cell>
          <cell r="D818">
            <v>0</v>
          </cell>
          <cell r="G818">
            <v>0</v>
          </cell>
          <cell r="I818">
            <v>0</v>
          </cell>
          <cell r="J818">
            <v>0</v>
          </cell>
          <cell r="M818">
            <v>0</v>
          </cell>
          <cell r="N818">
            <v>0</v>
          </cell>
          <cell r="AW818">
            <v>0</v>
          </cell>
          <cell r="BA818" t="str">
            <v/>
          </cell>
        </row>
        <row r="819">
          <cell r="C819">
            <v>0</v>
          </cell>
          <cell r="D819">
            <v>0</v>
          </cell>
          <cell r="G819">
            <v>0</v>
          </cell>
          <cell r="I819">
            <v>0</v>
          </cell>
          <cell r="J819">
            <v>0</v>
          </cell>
          <cell r="M819">
            <v>0</v>
          </cell>
          <cell r="N819">
            <v>0</v>
          </cell>
          <cell r="AW819">
            <v>0</v>
          </cell>
          <cell r="BA819" t="str">
            <v/>
          </cell>
        </row>
        <row r="820">
          <cell r="C820">
            <v>0</v>
          </cell>
          <cell r="D820">
            <v>0</v>
          </cell>
          <cell r="G820">
            <v>0</v>
          </cell>
          <cell r="I820">
            <v>0</v>
          </cell>
          <cell r="J820">
            <v>0</v>
          </cell>
          <cell r="M820">
            <v>0</v>
          </cell>
          <cell r="N820">
            <v>0</v>
          </cell>
          <cell r="AW820">
            <v>0</v>
          </cell>
          <cell r="BA820" t="str">
            <v/>
          </cell>
        </row>
        <row r="821">
          <cell r="C821">
            <v>0</v>
          </cell>
          <cell r="D821">
            <v>0</v>
          </cell>
          <cell r="G821">
            <v>0</v>
          </cell>
          <cell r="I821">
            <v>0</v>
          </cell>
          <cell r="J821">
            <v>0</v>
          </cell>
          <cell r="M821">
            <v>0</v>
          </cell>
          <cell r="N821">
            <v>0</v>
          </cell>
          <cell r="AW821">
            <v>0</v>
          </cell>
          <cell r="BA821" t="str">
            <v/>
          </cell>
        </row>
        <row r="822">
          <cell r="C822">
            <v>0</v>
          </cell>
          <cell r="D822">
            <v>0</v>
          </cell>
          <cell r="G822">
            <v>0</v>
          </cell>
          <cell r="I822">
            <v>0</v>
          </cell>
          <cell r="J822">
            <v>0</v>
          </cell>
          <cell r="M822">
            <v>0</v>
          </cell>
          <cell r="N822">
            <v>0</v>
          </cell>
          <cell r="AW822" t="str">
            <v/>
          </cell>
          <cell r="BA822" t="str">
            <v/>
          </cell>
        </row>
        <row r="823">
          <cell r="C823">
            <v>0</v>
          </cell>
          <cell r="D823">
            <v>0</v>
          </cell>
          <cell r="G823">
            <v>0</v>
          </cell>
          <cell r="I823">
            <v>0</v>
          </cell>
          <cell r="J823">
            <v>0</v>
          </cell>
          <cell r="M823">
            <v>0</v>
          </cell>
          <cell r="N823">
            <v>0</v>
          </cell>
          <cell r="AW823" t="str">
            <v/>
          </cell>
          <cell r="BA823" t="str">
            <v/>
          </cell>
        </row>
        <row r="824">
          <cell r="C824">
            <v>0</v>
          </cell>
          <cell r="D824">
            <v>0</v>
          </cell>
          <cell r="G824">
            <v>0</v>
          </cell>
          <cell r="I824">
            <v>0</v>
          </cell>
          <cell r="J824">
            <v>0</v>
          </cell>
          <cell r="M824">
            <v>0</v>
          </cell>
          <cell r="N824">
            <v>0</v>
          </cell>
          <cell r="AW824" t="str">
            <v/>
          </cell>
          <cell r="BA824" t="str">
            <v/>
          </cell>
        </row>
        <row r="825">
          <cell r="C825">
            <v>0</v>
          </cell>
          <cell r="D825">
            <v>0</v>
          </cell>
          <cell r="G825">
            <v>0</v>
          </cell>
          <cell r="I825">
            <v>0</v>
          </cell>
          <cell r="J825">
            <v>0</v>
          </cell>
          <cell r="M825">
            <v>0</v>
          </cell>
          <cell r="N825">
            <v>0</v>
          </cell>
          <cell r="AW825" t="str">
            <v/>
          </cell>
          <cell r="BA825" t="str">
            <v/>
          </cell>
        </row>
        <row r="826">
          <cell r="C826">
            <v>0</v>
          </cell>
          <cell r="D826">
            <v>0</v>
          </cell>
          <cell r="G826">
            <v>0</v>
          </cell>
          <cell r="I826">
            <v>0</v>
          </cell>
          <cell r="J826">
            <v>0</v>
          </cell>
          <cell r="M826">
            <v>0</v>
          </cell>
          <cell r="N826">
            <v>0</v>
          </cell>
          <cell r="AW826" t="str">
            <v/>
          </cell>
          <cell r="BA826" t="str">
            <v/>
          </cell>
        </row>
        <row r="827">
          <cell r="C827">
            <v>0</v>
          </cell>
          <cell r="D827">
            <v>0</v>
          </cell>
          <cell r="G827">
            <v>0</v>
          </cell>
          <cell r="I827">
            <v>0</v>
          </cell>
          <cell r="J827">
            <v>0</v>
          </cell>
          <cell r="M827">
            <v>0</v>
          </cell>
          <cell r="N827">
            <v>0</v>
          </cell>
          <cell r="AW827" t="str">
            <v/>
          </cell>
          <cell r="BA827" t="str">
            <v/>
          </cell>
        </row>
        <row r="828">
          <cell r="C828">
            <v>0</v>
          </cell>
          <cell r="D828">
            <v>0</v>
          </cell>
          <cell r="G828">
            <v>0</v>
          </cell>
          <cell r="I828">
            <v>0</v>
          </cell>
          <cell r="J828">
            <v>0</v>
          </cell>
          <cell r="M828">
            <v>0</v>
          </cell>
          <cell r="N828">
            <v>0</v>
          </cell>
          <cell r="AW828" t="str">
            <v/>
          </cell>
          <cell r="BA828" t="str">
            <v/>
          </cell>
        </row>
        <row r="829">
          <cell r="C829">
            <v>0</v>
          </cell>
          <cell r="D829">
            <v>0</v>
          </cell>
          <cell r="G829">
            <v>0</v>
          </cell>
          <cell r="I829">
            <v>0</v>
          </cell>
          <cell r="J829">
            <v>0</v>
          </cell>
          <cell r="M829">
            <v>0</v>
          </cell>
          <cell r="N829">
            <v>0</v>
          </cell>
          <cell r="AW829" t="str">
            <v/>
          </cell>
          <cell r="BA829" t="str">
            <v/>
          </cell>
        </row>
        <row r="830">
          <cell r="C830">
            <v>0</v>
          </cell>
          <cell r="D830">
            <v>0</v>
          </cell>
          <cell r="G830">
            <v>0</v>
          </cell>
          <cell r="I830">
            <v>0</v>
          </cell>
          <cell r="J830">
            <v>0</v>
          </cell>
          <cell r="M830">
            <v>0</v>
          </cell>
          <cell r="N830">
            <v>0</v>
          </cell>
          <cell r="AW830" t="str">
            <v/>
          </cell>
          <cell r="BA830" t="str">
            <v/>
          </cell>
        </row>
        <row r="831">
          <cell r="C831">
            <v>0</v>
          </cell>
          <cell r="D831">
            <v>0</v>
          </cell>
          <cell r="G831">
            <v>0</v>
          </cell>
          <cell r="I831">
            <v>0</v>
          </cell>
          <cell r="J831">
            <v>0</v>
          </cell>
          <cell r="M831">
            <v>0</v>
          </cell>
          <cell r="N831">
            <v>0</v>
          </cell>
          <cell r="AW831" t="str">
            <v/>
          </cell>
          <cell r="BA831" t="str">
            <v/>
          </cell>
        </row>
        <row r="832">
          <cell r="C832">
            <v>0</v>
          </cell>
          <cell r="D832">
            <v>0</v>
          </cell>
          <cell r="G832">
            <v>0</v>
          </cell>
          <cell r="I832">
            <v>0</v>
          </cell>
          <cell r="J832">
            <v>0</v>
          </cell>
          <cell r="M832">
            <v>0</v>
          </cell>
          <cell r="N832">
            <v>0</v>
          </cell>
          <cell r="AW832" t="str">
            <v/>
          </cell>
          <cell r="BA832" t="str">
            <v/>
          </cell>
        </row>
        <row r="833">
          <cell r="C833">
            <v>0</v>
          </cell>
          <cell r="D833">
            <v>0</v>
          </cell>
          <cell r="G833">
            <v>0</v>
          </cell>
          <cell r="I833">
            <v>0</v>
          </cell>
          <cell r="J833">
            <v>0</v>
          </cell>
          <cell r="M833">
            <v>0</v>
          </cell>
          <cell r="N833">
            <v>0</v>
          </cell>
          <cell r="AW833" t="str">
            <v/>
          </cell>
          <cell r="BA833" t="str">
            <v/>
          </cell>
        </row>
        <row r="834">
          <cell r="C834">
            <v>0</v>
          </cell>
          <cell r="D834">
            <v>0</v>
          </cell>
          <cell r="G834">
            <v>0</v>
          </cell>
          <cell r="I834">
            <v>0</v>
          </cell>
          <cell r="J834">
            <v>0</v>
          </cell>
          <cell r="M834">
            <v>0</v>
          </cell>
          <cell r="N834">
            <v>0</v>
          </cell>
          <cell r="AW834" t="str">
            <v/>
          </cell>
          <cell r="BA834" t="str">
            <v/>
          </cell>
        </row>
        <row r="835">
          <cell r="C835">
            <v>0</v>
          </cell>
          <cell r="D835">
            <v>0</v>
          </cell>
          <cell r="G835">
            <v>0</v>
          </cell>
          <cell r="I835">
            <v>0</v>
          </cell>
          <cell r="J835">
            <v>0</v>
          </cell>
          <cell r="M835">
            <v>0</v>
          </cell>
          <cell r="N835">
            <v>0</v>
          </cell>
          <cell r="AW835" t="str">
            <v/>
          </cell>
          <cell r="BA835" t="str">
            <v/>
          </cell>
        </row>
        <row r="836">
          <cell r="C836">
            <v>0</v>
          </cell>
          <cell r="D836">
            <v>0</v>
          </cell>
          <cell r="G836">
            <v>0</v>
          </cell>
          <cell r="I836">
            <v>0</v>
          </cell>
          <cell r="J836">
            <v>0</v>
          </cell>
          <cell r="M836">
            <v>0</v>
          </cell>
          <cell r="N836">
            <v>0</v>
          </cell>
          <cell r="AW836" t="str">
            <v/>
          </cell>
          <cell r="BA836" t="str">
            <v/>
          </cell>
        </row>
        <row r="837">
          <cell r="C837">
            <v>0</v>
          </cell>
          <cell r="D837">
            <v>0</v>
          </cell>
          <cell r="G837">
            <v>0</v>
          </cell>
          <cell r="I837">
            <v>0</v>
          </cell>
          <cell r="J837">
            <v>0</v>
          </cell>
          <cell r="M837">
            <v>0</v>
          </cell>
          <cell r="N837">
            <v>0</v>
          </cell>
          <cell r="AW837" t="str">
            <v/>
          </cell>
          <cell r="BA837" t="str">
            <v/>
          </cell>
        </row>
        <row r="838">
          <cell r="C838">
            <v>0</v>
          </cell>
          <cell r="D838">
            <v>0</v>
          </cell>
          <cell r="G838">
            <v>0</v>
          </cell>
          <cell r="I838">
            <v>0</v>
          </cell>
          <cell r="J838">
            <v>0</v>
          </cell>
          <cell r="M838">
            <v>0</v>
          </cell>
          <cell r="N838">
            <v>0</v>
          </cell>
          <cell r="AW838" t="str">
            <v/>
          </cell>
          <cell r="BA838" t="str">
            <v/>
          </cell>
        </row>
        <row r="839">
          <cell r="C839">
            <v>0</v>
          </cell>
          <cell r="D839">
            <v>0</v>
          </cell>
          <cell r="G839">
            <v>0</v>
          </cell>
          <cell r="I839">
            <v>0</v>
          </cell>
          <cell r="J839">
            <v>0</v>
          </cell>
          <cell r="M839">
            <v>0</v>
          </cell>
          <cell r="N839">
            <v>0</v>
          </cell>
          <cell r="AW839" t="str">
            <v/>
          </cell>
          <cell r="BA839" t="str">
            <v/>
          </cell>
        </row>
        <row r="840">
          <cell r="C840">
            <v>0</v>
          </cell>
          <cell r="D840">
            <v>0</v>
          </cell>
          <cell r="G840">
            <v>0</v>
          </cell>
          <cell r="I840">
            <v>0</v>
          </cell>
          <cell r="J840">
            <v>0</v>
          </cell>
          <cell r="M840">
            <v>0</v>
          </cell>
          <cell r="N840">
            <v>0</v>
          </cell>
          <cell r="AW840" t="str">
            <v/>
          </cell>
          <cell r="BA840" t="str">
            <v/>
          </cell>
        </row>
        <row r="841">
          <cell r="C841">
            <v>0</v>
          </cell>
          <cell r="D841">
            <v>0</v>
          </cell>
          <cell r="G841">
            <v>0</v>
          </cell>
          <cell r="I841">
            <v>0</v>
          </cell>
          <cell r="J841">
            <v>0</v>
          </cell>
          <cell r="M841">
            <v>0</v>
          </cell>
          <cell r="N841">
            <v>0</v>
          </cell>
          <cell r="AW841" t="str">
            <v/>
          </cell>
          <cell r="BA841" t="str">
            <v/>
          </cell>
        </row>
        <row r="842">
          <cell r="C842">
            <v>0</v>
          </cell>
          <cell r="D842">
            <v>0</v>
          </cell>
          <cell r="G842">
            <v>0</v>
          </cell>
          <cell r="I842">
            <v>0</v>
          </cell>
          <cell r="J842">
            <v>0</v>
          </cell>
          <cell r="M842">
            <v>0</v>
          </cell>
          <cell r="N842">
            <v>0</v>
          </cell>
          <cell r="AW842" t="str">
            <v/>
          </cell>
          <cell r="BA842" t="str">
            <v/>
          </cell>
        </row>
        <row r="843">
          <cell r="C843">
            <v>0</v>
          </cell>
          <cell r="D843">
            <v>0</v>
          </cell>
          <cell r="G843">
            <v>0</v>
          </cell>
          <cell r="I843">
            <v>0</v>
          </cell>
          <cell r="J843">
            <v>0</v>
          </cell>
          <cell r="M843">
            <v>0</v>
          </cell>
          <cell r="N843">
            <v>0</v>
          </cell>
          <cell r="AW843" t="str">
            <v/>
          </cell>
          <cell r="BA843" t="str">
            <v/>
          </cell>
        </row>
        <row r="844">
          <cell r="C844">
            <v>0</v>
          </cell>
          <cell r="D844">
            <v>0</v>
          </cell>
          <cell r="G844">
            <v>0</v>
          </cell>
          <cell r="I844">
            <v>0</v>
          </cell>
          <cell r="J844">
            <v>0</v>
          </cell>
          <cell r="M844">
            <v>0</v>
          </cell>
          <cell r="N844">
            <v>0</v>
          </cell>
          <cell r="AW844" t="str">
            <v/>
          </cell>
          <cell r="BA844" t="str">
            <v/>
          </cell>
        </row>
        <row r="845">
          <cell r="C845">
            <v>0</v>
          </cell>
          <cell r="D845">
            <v>0</v>
          </cell>
          <cell r="G845">
            <v>0</v>
          </cell>
          <cell r="I845">
            <v>0</v>
          </cell>
          <cell r="J845">
            <v>0</v>
          </cell>
          <cell r="M845">
            <v>0</v>
          </cell>
          <cell r="N845">
            <v>0</v>
          </cell>
          <cell r="AW845" t="str">
            <v/>
          </cell>
          <cell r="BA845" t="str">
            <v/>
          </cell>
        </row>
        <row r="846">
          <cell r="C846">
            <v>0</v>
          </cell>
          <cell r="D846">
            <v>0</v>
          </cell>
          <cell r="G846">
            <v>0</v>
          </cell>
          <cell r="I846">
            <v>0</v>
          </cell>
          <cell r="J846">
            <v>0</v>
          </cell>
          <cell r="M846">
            <v>0</v>
          </cell>
          <cell r="N846">
            <v>0</v>
          </cell>
          <cell r="AW846" t="str">
            <v/>
          </cell>
          <cell r="BA846" t="str">
            <v/>
          </cell>
        </row>
        <row r="847">
          <cell r="C847">
            <v>0</v>
          </cell>
          <cell r="D847">
            <v>0</v>
          </cell>
          <cell r="G847">
            <v>0</v>
          </cell>
          <cell r="I847">
            <v>0</v>
          </cell>
          <cell r="J847">
            <v>0</v>
          </cell>
          <cell r="M847">
            <v>0</v>
          </cell>
          <cell r="N847">
            <v>0</v>
          </cell>
          <cell r="AW847" t="str">
            <v/>
          </cell>
          <cell r="BA847" t="str">
            <v/>
          </cell>
        </row>
        <row r="848">
          <cell r="C848">
            <v>0</v>
          </cell>
          <cell r="D848">
            <v>0</v>
          </cell>
          <cell r="G848">
            <v>0</v>
          </cell>
          <cell r="I848">
            <v>0</v>
          </cell>
          <cell r="J848">
            <v>0</v>
          </cell>
          <cell r="M848">
            <v>0</v>
          </cell>
          <cell r="N848">
            <v>0</v>
          </cell>
          <cell r="AW848" t="str">
            <v/>
          </cell>
          <cell r="BA848" t="str">
            <v/>
          </cell>
        </row>
        <row r="849">
          <cell r="C849">
            <v>0</v>
          </cell>
          <cell r="D849">
            <v>0</v>
          </cell>
          <cell r="G849">
            <v>0</v>
          </cell>
          <cell r="I849">
            <v>0</v>
          </cell>
          <cell r="J849">
            <v>0</v>
          </cell>
          <cell r="M849">
            <v>0</v>
          </cell>
          <cell r="N849">
            <v>0</v>
          </cell>
          <cell r="AW849" t="str">
            <v/>
          </cell>
          <cell r="BA849" t="str">
            <v/>
          </cell>
        </row>
        <row r="850">
          <cell r="C850">
            <v>0</v>
          </cell>
          <cell r="D850">
            <v>0</v>
          </cell>
          <cell r="G850">
            <v>0</v>
          </cell>
          <cell r="I850">
            <v>0</v>
          </cell>
          <cell r="J850">
            <v>0</v>
          </cell>
          <cell r="M850">
            <v>0</v>
          </cell>
          <cell r="N850">
            <v>0</v>
          </cell>
          <cell r="AW850" t="str">
            <v/>
          </cell>
          <cell r="BA850" t="str">
            <v/>
          </cell>
        </row>
        <row r="851">
          <cell r="C851">
            <v>0</v>
          </cell>
          <cell r="D851">
            <v>0</v>
          </cell>
          <cell r="G851">
            <v>0</v>
          </cell>
          <cell r="I851">
            <v>0</v>
          </cell>
          <cell r="J851">
            <v>0</v>
          </cell>
          <cell r="M851">
            <v>0</v>
          </cell>
          <cell r="N851">
            <v>0</v>
          </cell>
          <cell r="AW851" t="str">
            <v/>
          </cell>
          <cell r="BA851" t="str">
            <v/>
          </cell>
        </row>
        <row r="852">
          <cell r="C852">
            <v>0</v>
          </cell>
          <cell r="D852">
            <v>0</v>
          </cell>
          <cell r="G852">
            <v>0</v>
          </cell>
          <cell r="I852">
            <v>0</v>
          </cell>
          <cell r="J852">
            <v>0</v>
          </cell>
          <cell r="M852">
            <v>0</v>
          </cell>
          <cell r="N852">
            <v>0</v>
          </cell>
          <cell r="AW852" t="str">
            <v/>
          </cell>
          <cell r="BA852" t="str">
            <v/>
          </cell>
        </row>
        <row r="853">
          <cell r="C853">
            <v>0</v>
          </cell>
          <cell r="D853">
            <v>0</v>
          </cell>
          <cell r="G853">
            <v>0</v>
          </cell>
          <cell r="I853">
            <v>0</v>
          </cell>
          <cell r="J853">
            <v>0</v>
          </cell>
          <cell r="M853">
            <v>0</v>
          </cell>
          <cell r="N853">
            <v>0</v>
          </cell>
          <cell r="AW853" t="str">
            <v/>
          </cell>
          <cell r="BA853" t="str">
            <v/>
          </cell>
        </row>
        <row r="854">
          <cell r="C854">
            <v>0</v>
          </cell>
          <cell r="D854">
            <v>0</v>
          </cell>
          <cell r="G854">
            <v>0</v>
          </cell>
          <cell r="I854">
            <v>0</v>
          </cell>
          <cell r="J854">
            <v>0</v>
          </cell>
          <cell r="M854">
            <v>0</v>
          </cell>
          <cell r="N854">
            <v>0</v>
          </cell>
          <cell r="AW854" t="str">
            <v/>
          </cell>
          <cell r="BA854" t="str">
            <v/>
          </cell>
        </row>
        <row r="855">
          <cell r="C855">
            <v>0</v>
          </cell>
          <cell r="D855">
            <v>0</v>
          </cell>
          <cell r="G855">
            <v>0</v>
          </cell>
          <cell r="I855">
            <v>0</v>
          </cell>
          <cell r="J855">
            <v>0</v>
          </cell>
          <cell r="M855">
            <v>0</v>
          </cell>
          <cell r="N855">
            <v>0</v>
          </cell>
          <cell r="AW855" t="str">
            <v/>
          </cell>
          <cell r="BA855" t="str">
            <v/>
          </cell>
        </row>
        <row r="856">
          <cell r="C856">
            <v>0</v>
          </cell>
          <cell r="D856">
            <v>0</v>
          </cell>
          <cell r="G856">
            <v>0</v>
          </cell>
          <cell r="I856">
            <v>0</v>
          </cell>
          <cell r="J856">
            <v>0</v>
          </cell>
          <cell r="M856">
            <v>0</v>
          </cell>
          <cell r="N856">
            <v>0</v>
          </cell>
          <cell r="AW856" t="str">
            <v/>
          </cell>
          <cell r="BA856" t="str">
            <v/>
          </cell>
        </row>
        <row r="857">
          <cell r="C857">
            <v>0</v>
          </cell>
          <cell r="D857">
            <v>0</v>
          </cell>
          <cell r="G857">
            <v>0</v>
          </cell>
          <cell r="I857">
            <v>0</v>
          </cell>
          <cell r="J857">
            <v>0</v>
          </cell>
          <cell r="M857">
            <v>0</v>
          </cell>
          <cell r="N857">
            <v>0</v>
          </cell>
          <cell r="AW857" t="str">
            <v/>
          </cell>
          <cell r="BA857" t="str">
            <v/>
          </cell>
        </row>
        <row r="858">
          <cell r="C858">
            <v>0</v>
          </cell>
          <cell r="D858">
            <v>0</v>
          </cell>
          <cell r="G858">
            <v>0</v>
          </cell>
          <cell r="I858">
            <v>0</v>
          </cell>
          <cell r="J858">
            <v>0</v>
          </cell>
          <cell r="M858">
            <v>0</v>
          </cell>
          <cell r="N858">
            <v>0</v>
          </cell>
          <cell r="AW858" t="str">
            <v/>
          </cell>
          <cell r="BA858" t="str">
            <v/>
          </cell>
        </row>
        <row r="859">
          <cell r="C859">
            <v>0</v>
          </cell>
          <cell r="D859">
            <v>0</v>
          </cell>
          <cell r="G859">
            <v>0</v>
          </cell>
          <cell r="I859">
            <v>0</v>
          </cell>
          <cell r="J859">
            <v>0</v>
          </cell>
          <cell r="M859">
            <v>0</v>
          </cell>
          <cell r="N859">
            <v>0</v>
          </cell>
          <cell r="AW859" t="str">
            <v/>
          </cell>
          <cell r="BA859" t="str">
            <v/>
          </cell>
        </row>
        <row r="860">
          <cell r="C860">
            <v>0</v>
          </cell>
          <cell r="D860">
            <v>0</v>
          </cell>
          <cell r="G860">
            <v>0</v>
          </cell>
          <cell r="I860">
            <v>0</v>
          </cell>
          <cell r="J860">
            <v>0</v>
          </cell>
          <cell r="M860">
            <v>0</v>
          </cell>
          <cell r="N860">
            <v>0</v>
          </cell>
          <cell r="AW860" t="str">
            <v/>
          </cell>
          <cell r="BA860" t="str">
            <v/>
          </cell>
        </row>
        <row r="861">
          <cell r="C861">
            <v>0</v>
          </cell>
          <cell r="D861">
            <v>0</v>
          </cell>
          <cell r="G861">
            <v>0</v>
          </cell>
          <cell r="I861">
            <v>0</v>
          </cell>
          <cell r="J861">
            <v>0</v>
          </cell>
          <cell r="M861">
            <v>0</v>
          </cell>
          <cell r="N861">
            <v>0</v>
          </cell>
          <cell r="AW861" t="str">
            <v/>
          </cell>
          <cell r="BA861" t="str">
            <v/>
          </cell>
        </row>
        <row r="862">
          <cell r="C862">
            <v>0</v>
          </cell>
          <cell r="D862">
            <v>0</v>
          </cell>
          <cell r="G862">
            <v>0</v>
          </cell>
          <cell r="I862">
            <v>0</v>
          </cell>
          <cell r="J862">
            <v>0</v>
          </cell>
          <cell r="M862">
            <v>0</v>
          </cell>
          <cell r="N862">
            <v>0</v>
          </cell>
          <cell r="AW862" t="str">
            <v/>
          </cell>
          <cell r="BA862" t="str">
            <v/>
          </cell>
        </row>
        <row r="863">
          <cell r="C863">
            <v>0</v>
          </cell>
          <cell r="D863">
            <v>0</v>
          </cell>
          <cell r="G863">
            <v>0</v>
          </cell>
          <cell r="I863">
            <v>0</v>
          </cell>
          <cell r="J863">
            <v>0</v>
          </cell>
          <cell r="M863">
            <v>0</v>
          </cell>
          <cell r="N863">
            <v>0</v>
          </cell>
          <cell r="AW863" t="str">
            <v/>
          </cell>
          <cell r="BA863" t="str">
            <v/>
          </cell>
        </row>
        <row r="864">
          <cell r="C864">
            <v>0</v>
          </cell>
          <cell r="D864">
            <v>0</v>
          </cell>
          <cell r="G864">
            <v>0</v>
          </cell>
          <cell r="I864">
            <v>0</v>
          </cell>
          <cell r="J864">
            <v>0</v>
          </cell>
          <cell r="M864">
            <v>0</v>
          </cell>
          <cell r="N864">
            <v>0</v>
          </cell>
          <cell r="AW864" t="str">
            <v/>
          </cell>
          <cell r="BA864" t="str">
            <v/>
          </cell>
        </row>
        <row r="865">
          <cell r="C865">
            <v>0</v>
          </cell>
          <cell r="D865">
            <v>0</v>
          </cell>
          <cell r="G865">
            <v>0</v>
          </cell>
          <cell r="I865">
            <v>0</v>
          </cell>
          <cell r="J865">
            <v>0</v>
          </cell>
          <cell r="M865">
            <v>0</v>
          </cell>
          <cell r="N865">
            <v>0</v>
          </cell>
          <cell r="AW865" t="str">
            <v/>
          </cell>
          <cell r="BA865" t="str">
            <v/>
          </cell>
        </row>
        <row r="866">
          <cell r="C866">
            <v>0</v>
          </cell>
          <cell r="D866">
            <v>0</v>
          </cell>
          <cell r="G866">
            <v>0</v>
          </cell>
          <cell r="I866">
            <v>0</v>
          </cell>
          <cell r="J866">
            <v>0</v>
          </cell>
          <cell r="M866">
            <v>0</v>
          </cell>
          <cell r="N866">
            <v>0</v>
          </cell>
          <cell r="AW866" t="str">
            <v/>
          </cell>
          <cell r="BA866" t="str">
            <v/>
          </cell>
        </row>
        <row r="867">
          <cell r="C867">
            <v>0</v>
          </cell>
          <cell r="D867">
            <v>0</v>
          </cell>
          <cell r="G867">
            <v>0</v>
          </cell>
          <cell r="I867">
            <v>0</v>
          </cell>
          <cell r="J867">
            <v>0</v>
          </cell>
          <cell r="M867">
            <v>0</v>
          </cell>
          <cell r="N867">
            <v>0</v>
          </cell>
          <cell r="AW867" t="str">
            <v/>
          </cell>
          <cell r="BA867" t="str">
            <v/>
          </cell>
        </row>
        <row r="868">
          <cell r="C868">
            <v>0</v>
          </cell>
          <cell r="D868">
            <v>0</v>
          </cell>
          <cell r="G868">
            <v>0</v>
          </cell>
          <cell r="I868">
            <v>0</v>
          </cell>
          <cell r="J868">
            <v>0</v>
          </cell>
          <cell r="M868">
            <v>0</v>
          </cell>
          <cell r="N868">
            <v>0</v>
          </cell>
          <cell r="AW868" t="str">
            <v/>
          </cell>
          <cell r="BA868" t="str">
            <v/>
          </cell>
        </row>
        <row r="869">
          <cell r="C869">
            <v>0</v>
          </cell>
          <cell r="D869">
            <v>0</v>
          </cell>
          <cell r="G869">
            <v>0</v>
          </cell>
          <cell r="I869">
            <v>0</v>
          </cell>
          <cell r="J869">
            <v>0</v>
          </cell>
          <cell r="M869">
            <v>0</v>
          </cell>
          <cell r="N869">
            <v>0</v>
          </cell>
          <cell r="AW869" t="str">
            <v/>
          </cell>
          <cell r="BA869" t="str">
            <v/>
          </cell>
        </row>
        <row r="870">
          <cell r="C870">
            <v>0</v>
          </cell>
          <cell r="D870">
            <v>0</v>
          </cell>
          <cell r="G870">
            <v>0</v>
          </cell>
          <cell r="I870">
            <v>0</v>
          </cell>
          <cell r="J870">
            <v>0</v>
          </cell>
          <cell r="M870">
            <v>0</v>
          </cell>
          <cell r="N870">
            <v>0</v>
          </cell>
          <cell r="AW870" t="str">
            <v/>
          </cell>
          <cell r="BA870" t="str">
            <v/>
          </cell>
        </row>
        <row r="871">
          <cell r="C871">
            <v>0</v>
          </cell>
          <cell r="D871">
            <v>0</v>
          </cell>
          <cell r="G871">
            <v>0</v>
          </cell>
          <cell r="I871">
            <v>0</v>
          </cell>
          <cell r="J871">
            <v>0</v>
          </cell>
          <cell r="M871">
            <v>0</v>
          </cell>
          <cell r="N871">
            <v>0</v>
          </cell>
          <cell r="AW871" t="str">
            <v/>
          </cell>
          <cell r="BA871" t="str">
            <v/>
          </cell>
        </row>
        <row r="872">
          <cell r="C872">
            <v>0</v>
          </cell>
          <cell r="D872">
            <v>0</v>
          </cell>
          <cell r="G872">
            <v>0</v>
          </cell>
          <cell r="I872">
            <v>0</v>
          </cell>
          <cell r="J872">
            <v>0</v>
          </cell>
          <cell r="M872">
            <v>0</v>
          </cell>
          <cell r="N872">
            <v>0</v>
          </cell>
          <cell r="AW872" t="str">
            <v/>
          </cell>
          <cell r="BA872" t="str">
            <v/>
          </cell>
        </row>
        <row r="873">
          <cell r="C873">
            <v>0</v>
          </cell>
          <cell r="D873">
            <v>0</v>
          </cell>
          <cell r="G873">
            <v>0</v>
          </cell>
          <cell r="I873">
            <v>0</v>
          </cell>
          <cell r="J873">
            <v>0</v>
          </cell>
          <cell r="M873">
            <v>0</v>
          </cell>
          <cell r="N873">
            <v>0</v>
          </cell>
          <cell r="AW873" t="str">
            <v/>
          </cell>
          <cell r="BA873" t="str">
            <v/>
          </cell>
        </row>
        <row r="874">
          <cell r="C874">
            <v>0</v>
          </cell>
          <cell r="D874">
            <v>0</v>
          </cell>
          <cell r="G874">
            <v>0</v>
          </cell>
          <cell r="I874">
            <v>0</v>
          </cell>
          <cell r="J874">
            <v>0</v>
          </cell>
          <cell r="M874">
            <v>0</v>
          </cell>
          <cell r="N874">
            <v>0</v>
          </cell>
          <cell r="AW874" t="str">
            <v/>
          </cell>
          <cell r="BA874" t="str">
            <v/>
          </cell>
        </row>
        <row r="875">
          <cell r="C875">
            <v>0</v>
          </cell>
          <cell r="D875">
            <v>0</v>
          </cell>
          <cell r="G875">
            <v>0</v>
          </cell>
          <cell r="I875">
            <v>0</v>
          </cell>
          <cell r="J875">
            <v>0</v>
          </cell>
          <cell r="M875">
            <v>0</v>
          </cell>
          <cell r="N875">
            <v>0</v>
          </cell>
          <cell r="AW875" t="str">
            <v/>
          </cell>
          <cell r="BA875" t="str">
            <v/>
          </cell>
        </row>
        <row r="876">
          <cell r="C876">
            <v>0</v>
          </cell>
          <cell r="D876">
            <v>0</v>
          </cell>
          <cell r="G876">
            <v>0</v>
          </cell>
          <cell r="I876">
            <v>0</v>
          </cell>
          <cell r="J876">
            <v>0</v>
          </cell>
          <cell r="M876">
            <v>0</v>
          </cell>
          <cell r="N876">
            <v>0</v>
          </cell>
          <cell r="AW876" t="str">
            <v/>
          </cell>
          <cell r="BA876" t="str">
            <v/>
          </cell>
        </row>
        <row r="877">
          <cell r="C877">
            <v>0</v>
          </cell>
          <cell r="D877">
            <v>0</v>
          </cell>
          <cell r="G877">
            <v>0</v>
          </cell>
          <cell r="I877">
            <v>0</v>
          </cell>
          <cell r="J877">
            <v>0</v>
          </cell>
          <cell r="M877">
            <v>0</v>
          </cell>
          <cell r="N877">
            <v>0</v>
          </cell>
          <cell r="AW877" t="str">
            <v/>
          </cell>
          <cell r="BA877" t="str">
            <v/>
          </cell>
        </row>
        <row r="878">
          <cell r="C878">
            <v>0</v>
          </cell>
          <cell r="D878">
            <v>0</v>
          </cell>
          <cell r="G878">
            <v>0</v>
          </cell>
          <cell r="I878">
            <v>0</v>
          </cell>
          <cell r="J878">
            <v>0</v>
          </cell>
          <cell r="M878">
            <v>0</v>
          </cell>
          <cell r="N878">
            <v>0</v>
          </cell>
          <cell r="AW878" t="str">
            <v/>
          </cell>
          <cell r="BA878" t="str">
            <v/>
          </cell>
        </row>
        <row r="879">
          <cell r="C879">
            <v>0</v>
          </cell>
          <cell r="D879">
            <v>0</v>
          </cell>
          <cell r="G879">
            <v>0</v>
          </cell>
          <cell r="I879">
            <v>0</v>
          </cell>
          <cell r="J879">
            <v>0</v>
          </cell>
          <cell r="M879">
            <v>0</v>
          </cell>
          <cell r="N879">
            <v>0</v>
          </cell>
          <cell r="AW879" t="str">
            <v/>
          </cell>
          <cell r="BA879" t="str">
            <v/>
          </cell>
        </row>
        <row r="880">
          <cell r="C880">
            <v>0</v>
          </cell>
          <cell r="D880">
            <v>0</v>
          </cell>
          <cell r="G880">
            <v>0</v>
          </cell>
          <cell r="I880">
            <v>0</v>
          </cell>
          <cell r="J880">
            <v>0</v>
          </cell>
          <cell r="M880">
            <v>0</v>
          </cell>
          <cell r="N880">
            <v>0</v>
          </cell>
          <cell r="AW880" t="str">
            <v/>
          </cell>
          <cell r="BA880" t="str">
            <v/>
          </cell>
        </row>
        <row r="881">
          <cell r="C881">
            <v>0</v>
          </cell>
          <cell r="D881">
            <v>0</v>
          </cell>
          <cell r="G881">
            <v>0</v>
          </cell>
          <cell r="I881">
            <v>0</v>
          </cell>
          <cell r="J881">
            <v>0</v>
          </cell>
          <cell r="M881">
            <v>0</v>
          </cell>
          <cell r="N881">
            <v>0</v>
          </cell>
          <cell r="AW881" t="str">
            <v/>
          </cell>
          <cell r="BA881" t="str">
            <v/>
          </cell>
        </row>
        <row r="882">
          <cell r="C882">
            <v>0</v>
          </cell>
          <cell r="D882">
            <v>0</v>
          </cell>
          <cell r="G882">
            <v>0</v>
          </cell>
          <cell r="I882">
            <v>0</v>
          </cell>
          <cell r="J882">
            <v>0</v>
          </cell>
          <cell r="M882">
            <v>0</v>
          </cell>
          <cell r="N882">
            <v>0</v>
          </cell>
          <cell r="AW882" t="str">
            <v/>
          </cell>
          <cell r="BA882" t="str">
            <v/>
          </cell>
        </row>
        <row r="883">
          <cell r="C883">
            <v>0</v>
          </cell>
          <cell r="D883">
            <v>0</v>
          </cell>
          <cell r="G883">
            <v>0</v>
          </cell>
          <cell r="I883">
            <v>0</v>
          </cell>
          <cell r="J883">
            <v>0</v>
          </cell>
          <cell r="M883">
            <v>0</v>
          </cell>
          <cell r="N883">
            <v>0</v>
          </cell>
          <cell r="AW883" t="str">
            <v/>
          </cell>
          <cell r="BA883" t="str">
            <v/>
          </cell>
        </row>
        <row r="884">
          <cell r="C884">
            <v>0</v>
          </cell>
          <cell r="D884">
            <v>0</v>
          </cell>
          <cell r="G884">
            <v>0</v>
          </cell>
          <cell r="I884">
            <v>0</v>
          </cell>
          <cell r="J884">
            <v>0</v>
          </cell>
          <cell r="M884">
            <v>0</v>
          </cell>
          <cell r="N884">
            <v>0</v>
          </cell>
          <cell r="AW884" t="str">
            <v/>
          </cell>
          <cell r="BA884" t="str">
            <v/>
          </cell>
        </row>
        <row r="885">
          <cell r="C885">
            <v>0</v>
          </cell>
          <cell r="D885">
            <v>0</v>
          </cell>
          <cell r="G885">
            <v>0</v>
          </cell>
          <cell r="I885">
            <v>0</v>
          </cell>
          <cell r="J885">
            <v>0</v>
          </cell>
          <cell r="M885">
            <v>0</v>
          </cell>
          <cell r="N885">
            <v>0</v>
          </cell>
          <cell r="AW885" t="str">
            <v/>
          </cell>
          <cell r="BA885" t="str">
            <v/>
          </cell>
        </row>
        <row r="886">
          <cell r="C886">
            <v>0</v>
          </cell>
          <cell r="D886">
            <v>0</v>
          </cell>
          <cell r="G886">
            <v>0</v>
          </cell>
          <cell r="I886">
            <v>0</v>
          </cell>
          <cell r="J886">
            <v>0</v>
          </cell>
          <cell r="M886">
            <v>0</v>
          </cell>
          <cell r="N886">
            <v>0</v>
          </cell>
          <cell r="AW886" t="str">
            <v/>
          </cell>
          <cell r="BA886" t="str">
            <v/>
          </cell>
        </row>
        <row r="887">
          <cell r="C887">
            <v>0</v>
          </cell>
          <cell r="D887">
            <v>0</v>
          </cell>
          <cell r="G887">
            <v>0</v>
          </cell>
          <cell r="I887">
            <v>0</v>
          </cell>
          <cell r="J887">
            <v>0</v>
          </cell>
          <cell r="M887">
            <v>0</v>
          </cell>
          <cell r="N887">
            <v>0</v>
          </cell>
          <cell r="AW887" t="str">
            <v/>
          </cell>
          <cell r="BA887" t="str">
            <v/>
          </cell>
        </row>
        <row r="888">
          <cell r="C888">
            <v>0</v>
          </cell>
          <cell r="D888">
            <v>0</v>
          </cell>
          <cell r="G888">
            <v>0</v>
          </cell>
          <cell r="I888">
            <v>0</v>
          </cell>
          <cell r="J888">
            <v>0</v>
          </cell>
          <cell r="M888">
            <v>0</v>
          </cell>
          <cell r="N888">
            <v>0</v>
          </cell>
          <cell r="AW888" t="str">
            <v/>
          </cell>
          <cell r="BA888" t="str">
            <v/>
          </cell>
        </row>
        <row r="889">
          <cell r="C889">
            <v>0</v>
          </cell>
          <cell r="D889">
            <v>0</v>
          </cell>
          <cell r="G889">
            <v>0</v>
          </cell>
          <cell r="I889">
            <v>0</v>
          </cell>
          <cell r="J889">
            <v>0</v>
          </cell>
          <cell r="M889">
            <v>0</v>
          </cell>
          <cell r="N889">
            <v>0</v>
          </cell>
          <cell r="AW889" t="str">
            <v/>
          </cell>
          <cell r="BA889" t="str">
            <v/>
          </cell>
        </row>
        <row r="890">
          <cell r="C890">
            <v>0</v>
          </cell>
          <cell r="D890">
            <v>0</v>
          </cell>
          <cell r="G890">
            <v>0</v>
          </cell>
          <cell r="I890">
            <v>0</v>
          </cell>
          <cell r="J890">
            <v>0</v>
          </cell>
          <cell r="M890">
            <v>0</v>
          </cell>
          <cell r="N890">
            <v>0</v>
          </cell>
          <cell r="AW890" t="str">
            <v/>
          </cell>
          <cell r="BA890" t="str">
            <v/>
          </cell>
        </row>
        <row r="891">
          <cell r="C891">
            <v>0</v>
          </cell>
          <cell r="D891">
            <v>0</v>
          </cell>
          <cell r="G891">
            <v>0</v>
          </cell>
          <cell r="I891">
            <v>0</v>
          </cell>
          <cell r="J891">
            <v>0</v>
          </cell>
          <cell r="M891">
            <v>0</v>
          </cell>
          <cell r="N891">
            <v>0</v>
          </cell>
          <cell r="AW891" t="str">
            <v/>
          </cell>
          <cell r="BA891" t="str">
            <v/>
          </cell>
        </row>
        <row r="892">
          <cell r="C892">
            <v>0</v>
          </cell>
          <cell r="D892">
            <v>0</v>
          </cell>
          <cell r="G892">
            <v>0</v>
          </cell>
          <cell r="I892">
            <v>0</v>
          </cell>
          <cell r="J892">
            <v>0</v>
          </cell>
          <cell r="M892">
            <v>0</v>
          </cell>
          <cell r="N892">
            <v>0</v>
          </cell>
          <cell r="AW892" t="str">
            <v/>
          </cell>
          <cell r="BA892" t="str">
            <v/>
          </cell>
        </row>
        <row r="893">
          <cell r="C893">
            <v>0</v>
          </cell>
          <cell r="D893">
            <v>0</v>
          </cell>
          <cell r="G893">
            <v>0</v>
          </cell>
          <cell r="I893">
            <v>0</v>
          </cell>
          <cell r="J893">
            <v>0</v>
          </cell>
          <cell r="M893">
            <v>0</v>
          </cell>
          <cell r="N893">
            <v>0</v>
          </cell>
          <cell r="AW893" t="str">
            <v/>
          </cell>
          <cell r="BA893" t="str">
            <v/>
          </cell>
        </row>
        <row r="894">
          <cell r="C894">
            <v>0</v>
          </cell>
          <cell r="D894">
            <v>0</v>
          </cell>
          <cell r="G894">
            <v>0</v>
          </cell>
          <cell r="I894">
            <v>0</v>
          </cell>
          <cell r="J894">
            <v>0</v>
          </cell>
          <cell r="M894">
            <v>0</v>
          </cell>
          <cell r="N894">
            <v>0</v>
          </cell>
          <cell r="AW894" t="str">
            <v/>
          </cell>
          <cell r="BA894" t="str">
            <v/>
          </cell>
        </row>
        <row r="895">
          <cell r="C895">
            <v>0</v>
          </cell>
          <cell r="D895">
            <v>0</v>
          </cell>
          <cell r="G895">
            <v>0</v>
          </cell>
          <cell r="I895">
            <v>0</v>
          </cell>
          <cell r="J895">
            <v>0</v>
          </cell>
          <cell r="M895">
            <v>0</v>
          </cell>
          <cell r="N895">
            <v>0</v>
          </cell>
          <cell r="AW895" t="str">
            <v/>
          </cell>
          <cell r="BA895" t="str">
            <v/>
          </cell>
        </row>
        <row r="896">
          <cell r="C896">
            <v>0</v>
          </cell>
          <cell r="D896">
            <v>0</v>
          </cell>
          <cell r="G896">
            <v>0</v>
          </cell>
          <cell r="I896">
            <v>0</v>
          </cell>
          <cell r="J896">
            <v>0</v>
          </cell>
          <cell r="M896">
            <v>0</v>
          </cell>
          <cell r="N896">
            <v>0</v>
          </cell>
          <cell r="AW896" t="str">
            <v/>
          </cell>
          <cell r="BA896" t="str">
            <v/>
          </cell>
        </row>
        <row r="897">
          <cell r="C897">
            <v>0</v>
          </cell>
          <cell r="D897">
            <v>0</v>
          </cell>
          <cell r="G897">
            <v>0</v>
          </cell>
          <cell r="I897">
            <v>0</v>
          </cell>
          <cell r="J897">
            <v>0</v>
          </cell>
          <cell r="M897">
            <v>0</v>
          </cell>
          <cell r="N897">
            <v>0</v>
          </cell>
          <cell r="AW897" t="str">
            <v/>
          </cell>
          <cell r="BA897" t="str">
            <v/>
          </cell>
        </row>
        <row r="898">
          <cell r="C898">
            <v>0</v>
          </cell>
          <cell r="D898">
            <v>0</v>
          </cell>
          <cell r="G898">
            <v>0</v>
          </cell>
          <cell r="I898">
            <v>0</v>
          </cell>
          <cell r="J898">
            <v>0</v>
          </cell>
          <cell r="M898">
            <v>0</v>
          </cell>
          <cell r="N898">
            <v>0</v>
          </cell>
          <cell r="AW898" t="str">
            <v/>
          </cell>
          <cell r="BA898" t="str">
            <v/>
          </cell>
        </row>
        <row r="899">
          <cell r="C899">
            <v>0</v>
          </cell>
          <cell r="D899">
            <v>0</v>
          </cell>
          <cell r="G899">
            <v>0</v>
          </cell>
          <cell r="I899">
            <v>0</v>
          </cell>
          <cell r="J899">
            <v>0</v>
          </cell>
          <cell r="M899">
            <v>0</v>
          </cell>
          <cell r="N899">
            <v>0</v>
          </cell>
          <cell r="AW899" t="str">
            <v/>
          </cell>
          <cell r="BA899" t="str">
            <v/>
          </cell>
        </row>
        <row r="900">
          <cell r="C900">
            <v>0</v>
          </cell>
          <cell r="D900">
            <v>0</v>
          </cell>
          <cell r="G900">
            <v>0</v>
          </cell>
          <cell r="I900">
            <v>0</v>
          </cell>
          <cell r="J900">
            <v>0</v>
          </cell>
          <cell r="M900">
            <v>0</v>
          </cell>
          <cell r="N900">
            <v>0</v>
          </cell>
          <cell r="AW900" t="str">
            <v/>
          </cell>
          <cell r="BA900" t="str">
            <v/>
          </cell>
        </row>
        <row r="901">
          <cell r="C901">
            <v>0</v>
          </cell>
          <cell r="D901">
            <v>0</v>
          </cell>
          <cell r="G901">
            <v>0</v>
          </cell>
          <cell r="I901">
            <v>0</v>
          </cell>
          <cell r="J901">
            <v>0</v>
          </cell>
          <cell r="M901">
            <v>0</v>
          </cell>
          <cell r="N901">
            <v>0</v>
          </cell>
          <cell r="AW901" t="str">
            <v/>
          </cell>
          <cell r="BA901" t="str">
            <v/>
          </cell>
        </row>
        <row r="902">
          <cell r="C902">
            <v>0</v>
          </cell>
          <cell r="D902">
            <v>0</v>
          </cell>
          <cell r="G902">
            <v>0</v>
          </cell>
          <cell r="I902">
            <v>0</v>
          </cell>
          <cell r="J902">
            <v>0</v>
          </cell>
          <cell r="M902">
            <v>0</v>
          </cell>
          <cell r="N902">
            <v>0</v>
          </cell>
          <cell r="AW902" t="str">
            <v/>
          </cell>
          <cell r="BA902" t="str">
            <v/>
          </cell>
        </row>
        <row r="903">
          <cell r="C903">
            <v>0</v>
          </cell>
          <cell r="D903">
            <v>0</v>
          </cell>
          <cell r="G903">
            <v>0</v>
          </cell>
          <cell r="I903">
            <v>0</v>
          </cell>
          <cell r="J903">
            <v>0</v>
          </cell>
          <cell r="M903">
            <v>0</v>
          </cell>
          <cell r="N903">
            <v>0</v>
          </cell>
          <cell r="AW903" t="str">
            <v/>
          </cell>
          <cell r="BA903" t="str">
            <v/>
          </cell>
        </row>
        <row r="904">
          <cell r="C904">
            <v>0</v>
          </cell>
          <cell r="D904">
            <v>0</v>
          </cell>
          <cell r="G904">
            <v>0</v>
          </cell>
          <cell r="I904">
            <v>0</v>
          </cell>
          <cell r="J904">
            <v>0</v>
          </cell>
          <cell r="M904">
            <v>0</v>
          </cell>
          <cell r="N904">
            <v>0</v>
          </cell>
          <cell r="AW904" t="str">
            <v/>
          </cell>
          <cell r="BA904" t="str">
            <v/>
          </cell>
        </row>
        <row r="905">
          <cell r="C905">
            <v>0</v>
          </cell>
          <cell r="D905">
            <v>0</v>
          </cell>
          <cell r="G905">
            <v>0</v>
          </cell>
          <cell r="I905">
            <v>0</v>
          </cell>
          <cell r="J905">
            <v>0</v>
          </cell>
          <cell r="M905">
            <v>0</v>
          </cell>
          <cell r="N905">
            <v>0</v>
          </cell>
          <cell r="AW905" t="str">
            <v/>
          </cell>
          <cell r="BA905" t="str">
            <v/>
          </cell>
        </row>
        <row r="906">
          <cell r="C906">
            <v>0</v>
          </cell>
          <cell r="D906">
            <v>0</v>
          </cell>
          <cell r="G906">
            <v>0</v>
          </cell>
          <cell r="I906">
            <v>0</v>
          </cell>
          <cell r="J906">
            <v>0</v>
          </cell>
          <cell r="M906">
            <v>0</v>
          </cell>
          <cell r="N906">
            <v>0</v>
          </cell>
          <cell r="AW906" t="str">
            <v/>
          </cell>
          <cell r="BA906" t="str">
            <v/>
          </cell>
        </row>
        <row r="907">
          <cell r="C907">
            <v>0</v>
          </cell>
          <cell r="D907">
            <v>0</v>
          </cell>
          <cell r="G907">
            <v>0</v>
          </cell>
          <cell r="I907">
            <v>0</v>
          </cell>
          <cell r="J907">
            <v>0</v>
          </cell>
          <cell r="M907">
            <v>0</v>
          </cell>
          <cell r="N907">
            <v>0</v>
          </cell>
          <cell r="AW907" t="str">
            <v/>
          </cell>
          <cell r="BA907" t="str">
            <v/>
          </cell>
        </row>
        <row r="908">
          <cell r="C908">
            <v>0</v>
          </cell>
          <cell r="D908">
            <v>0</v>
          </cell>
          <cell r="G908">
            <v>0</v>
          </cell>
          <cell r="I908">
            <v>0</v>
          </cell>
          <cell r="J908">
            <v>0</v>
          </cell>
          <cell r="M908">
            <v>0</v>
          </cell>
          <cell r="N908">
            <v>0</v>
          </cell>
          <cell r="AW908" t="str">
            <v/>
          </cell>
          <cell r="BA908" t="str">
            <v/>
          </cell>
        </row>
        <row r="909">
          <cell r="C909">
            <v>0</v>
          </cell>
          <cell r="D909">
            <v>0</v>
          </cell>
          <cell r="G909">
            <v>0</v>
          </cell>
          <cell r="I909">
            <v>0</v>
          </cell>
          <cell r="J909">
            <v>0</v>
          </cell>
          <cell r="M909">
            <v>0</v>
          </cell>
          <cell r="N909">
            <v>0</v>
          </cell>
          <cell r="AW909" t="str">
            <v/>
          </cell>
          <cell r="BA909" t="str">
            <v/>
          </cell>
        </row>
        <row r="910">
          <cell r="C910">
            <v>0</v>
          </cell>
          <cell r="D910">
            <v>0</v>
          </cell>
          <cell r="G910">
            <v>0</v>
          </cell>
          <cell r="I910">
            <v>0</v>
          </cell>
          <cell r="J910">
            <v>0</v>
          </cell>
          <cell r="M910">
            <v>0</v>
          </cell>
          <cell r="N910">
            <v>0</v>
          </cell>
          <cell r="AW910" t="str">
            <v/>
          </cell>
          <cell r="BA910" t="str">
            <v/>
          </cell>
        </row>
        <row r="911">
          <cell r="C911">
            <v>0</v>
          </cell>
          <cell r="D911">
            <v>0</v>
          </cell>
          <cell r="G911">
            <v>0</v>
          </cell>
          <cell r="I911">
            <v>0</v>
          </cell>
          <cell r="J911">
            <v>0</v>
          </cell>
          <cell r="M911">
            <v>0</v>
          </cell>
          <cell r="N911">
            <v>0</v>
          </cell>
          <cell r="AW911" t="str">
            <v/>
          </cell>
          <cell r="BA911" t="str">
            <v/>
          </cell>
        </row>
        <row r="912">
          <cell r="C912">
            <v>0</v>
          </cell>
          <cell r="D912">
            <v>0</v>
          </cell>
          <cell r="G912">
            <v>0</v>
          </cell>
          <cell r="I912">
            <v>0</v>
          </cell>
          <cell r="J912">
            <v>0</v>
          </cell>
          <cell r="M912">
            <v>0</v>
          </cell>
          <cell r="N912">
            <v>0</v>
          </cell>
          <cell r="AW912" t="str">
            <v/>
          </cell>
          <cell r="BA912" t="str">
            <v/>
          </cell>
        </row>
        <row r="913">
          <cell r="C913">
            <v>0</v>
          </cell>
          <cell r="D913">
            <v>0</v>
          </cell>
          <cell r="G913">
            <v>0</v>
          </cell>
          <cell r="I913">
            <v>0</v>
          </cell>
          <cell r="J913">
            <v>0</v>
          </cell>
          <cell r="M913">
            <v>0</v>
          </cell>
          <cell r="N913">
            <v>0</v>
          </cell>
          <cell r="AW913" t="str">
            <v/>
          </cell>
          <cell r="BA913" t="str">
            <v/>
          </cell>
        </row>
        <row r="914">
          <cell r="C914">
            <v>0</v>
          </cell>
          <cell r="D914">
            <v>0</v>
          </cell>
          <cell r="G914">
            <v>0</v>
          </cell>
          <cell r="I914">
            <v>0</v>
          </cell>
          <cell r="J914">
            <v>0</v>
          </cell>
          <cell r="M914">
            <v>0</v>
          </cell>
          <cell r="N914">
            <v>0</v>
          </cell>
          <cell r="AW914" t="str">
            <v/>
          </cell>
          <cell r="BA914" t="str">
            <v/>
          </cell>
        </row>
        <row r="915">
          <cell r="C915">
            <v>0</v>
          </cell>
          <cell r="D915">
            <v>0</v>
          </cell>
          <cell r="G915">
            <v>0</v>
          </cell>
          <cell r="I915">
            <v>0</v>
          </cell>
          <cell r="J915">
            <v>0</v>
          </cell>
          <cell r="M915">
            <v>0</v>
          </cell>
          <cell r="N915">
            <v>0</v>
          </cell>
          <cell r="AW915" t="str">
            <v/>
          </cell>
          <cell r="BA915" t="str">
            <v/>
          </cell>
        </row>
        <row r="916">
          <cell r="C916">
            <v>0</v>
          </cell>
          <cell r="D916">
            <v>0</v>
          </cell>
          <cell r="G916">
            <v>0</v>
          </cell>
          <cell r="I916">
            <v>0</v>
          </cell>
          <cell r="J916">
            <v>0</v>
          </cell>
          <cell r="M916">
            <v>0</v>
          </cell>
          <cell r="N916">
            <v>0</v>
          </cell>
          <cell r="AW916" t="str">
            <v/>
          </cell>
          <cell r="BA916" t="str">
            <v/>
          </cell>
        </row>
        <row r="917">
          <cell r="C917">
            <v>0</v>
          </cell>
          <cell r="D917">
            <v>0</v>
          </cell>
          <cell r="G917">
            <v>0</v>
          </cell>
          <cell r="I917">
            <v>0</v>
          </cell>
          <cell r="J917">
            <v>0</v>
          </cell>
          <cell r="M917">
            <v>0</v>
          </cell>
          <cell r="N917">
            <v>0</v>
          </cell>
          <cell r="AW917" t="str">
            <v/>
          </cell>
          <cell r="BA917" t="str">
            <v/>
          </cell>
        </row>
        <row r="918">
          <cell r="C918">
            <v>0</v>
          </cell>
          <cell r="D918">
            <v>0</v>
          </cell>
          <cell r="G918">
            <v>0</v>
          </cell>
          <cell r="I918">
            <v>0</v>
          </cell>
          <cell r="J918">
            <v>0</v>
          </cell>
          <cell r="M918">
            <v>0</v>
          </cell>
          <cell r="N918">
            <v>0</v>
          </cell>
          <cell r="AW918" t="str">
            <v/>
          </cell>
          <cell r="BA918" t="str">
            <v/>
          </cell>
        </row>
        <row r="919">
          <cell r="C919">
            <v>0</v>
          </cell>
          <cell r="D919">
            <v>0</v>
          </cell>
          <cell r="G919">
            <v>0</v>
          </cell>
          <cell r="I919">
            <v>0</v>
          </cell>
          <cell r="J919">
            <v>0</v>
          </cell>
          <cell r="M919">
            <v>0</v>
          </cell>
          <cell r="N919">
            <v>0</v>
          </cell>
          <cell r="AW919" t="str">
            <v/>
          </cell>
          <cell r="BA919" t="str">
            <v/>
          </cell>
        </row>
        <row r="920">
          <cell r="C920">
            <v>0</v>
          </cell>
          <cell r="D920">
            <v>0</v>
          </cell>
          <cell r="G920">
            <v>0</v>
          </cell>
          <cell r="I920">
            <v>0</v>
          </cell>
          <cell r="J920">
            <v>0</v>
          </cell>
          <cell r="M920">
            <v>0</v>
          </cell>
          <cell r="N920">
            <v>0</v>
          </cell>
          <cell r="AW920" t="str">
            <v/>
          </cell>
          <cell r="BA920" t="str">
            <v/>
          </cell>
        </row>
        <row r="921">
          <cell r="C921">
            <v>0</v>
          </cell>
          <cell r="D921">
            <v>0</v>
          </cell>
          <cell r="G921">
            <v>0</v>
          </cell>
          <cell r="I921">
            <v>0</v>
          </cell>
          <cell r="J921">
            <v>0</v>
          </cell>
          <cell r="M921">
            <v>0</v>
          </cell>
          <cell r="N921">
            <v>0</v>
          </cell>
          <cell r="AW921" t="str">
            <v/>
          </cell>
          <cell r="BA921" t="str">
            <v/>
          </cell>
        </row>
        <row r="922">
          <cell r="C922">
            <v>0</v>
          </cell>
          <cell r="D922">
            <v>0</v>
          </cell>
          <cell r="G922">
            <v>0</v>
          </cell>
          <cell r="I922">
            <v>0</v>
          </cell>
          <cell r="J922">
            <v>0</v>
          </cell>
          <cell r="M922">
            <v>0</v>
          </cell>
          <cell r="N922">
            <v>0</v>
          </cell>
          <cell r="AW922" t="str">
            <v/>
          </cell>
          <cell r="BA922" t="str">
            <v/>
          </cell>
        </row>
        <row r="923">
          <cell r="C923">
            <v>0</v>
          </cell>
          <cell r="D923">
            <v>0</v>
          </cell>
          <cell r="G923">
            <v>0</v>
          </cell>
          <cell r="I923">
            <v>0</v>
          </cell>
          <cell r="J923">
            <v>0</v>
          </cell>
          <cell r="M923">
            <v>0</v>
          </cell>
          <cell r="N923">
            <v>0</v>
          </cell>
          <cell r="AW923" t="str">
            <v/>
          </cell>
          <cell r="BA923" t="str">
            <v/>
          </cell>
        </row>
        <row r="924">
          <cell r="C924">
            <v>0</v>
          </cell>
          <cell r="D924">
            <v>0</v>
          </cell>
          <cell r="G924">
            <v>0</v>
          </cell>
          <cell r="I924">
            <v>0</v>
          </cell>
          <cell r="J924">
            <v>0</v>
          </cell>
          <cell r="M924">
            <v>0</v>
          </cell>
          <cell r="N924">
            <v>0</v>
          </cell>
          <cell r="AW924" t="str">
            <v/>
          </cell>
          <cell r="BA924" t="str">
            <v/>
          </cell>
        </row>
        <row r="925">
          <cell r="C925">
            <v>0</v>
          </cell>
          <cell r="D925">
            <v>0</v>
          </cell>
          <cell r="G925">
            <v>0</v>
          </cell>
          <cell r="I925">
            <v>0</v>
          </cell>
          <cell r="J925">
            <v>0</v>
          </cell>
          <cell r="M925">
            <v>0</v>
          </cell>
          <cell r="N925">
            <v>0</v>
          </cell>
          <cell r="AW925" t="str">
            <v/>
          </cell>
          <cell r="BA925" t="str">
            <v/>
          </cell>
        </row>
        <row r="926">
          <cell r="C926">
            <v>0</v>
          </cell>
          <cell r="D926">
            <v>0</v>
          </cell>
          <cell r="G926">
            <v>0</v>
          </cell>
          <cell r="I926">
            <v>0</v>
          </cell>
          <cell r="J926">
            <v>0</v>
          </cell>
          <cell r="M926">
            <v>0</v>
          </cell>
          <cell r="N926">
            <v>0</v>
          </cell>
          <cell r="AW926" t="str">
            <v/>
          </cell>
          <cell r="BA926" t="str">
            <v/>
          </cell>
        </row>
        <row r="927">
          <cell r="C927">
            <v>0</v>
          </cell>
          <cell r="D927">
            <v>0</v>
          </cell>
          <cell r="G927">
            <v>0</v>
          </cell>
          <cell r="I927">
            <v>0</v>
          </cell>
          <cell r="J927">
            <v>0</v>
          </cell>
          <cell r="M927">
            <v>0</v>
          </cell>
          <cell r="N927">
            <v>0</v>
          </cell>
          <cell r="AW927" t="str">
            <v/>
          </cell>
          <cell r="BA927" t="str">
            <v/>
          </cell>
        </row>
        <row r="928">
          <cell r="C928">
            <v>0</v>
          </cell>
          <cell r="D928">
            <v>0</v>
          </cell>
          <cell r="G928">
            <v>0</v>
          </cell>
          <cell r="I928">
            <v>0</v>
          </cell>
          <cell r="J928">
            <v>0</v>
          </cell>
          <cell r="M928">
            <v>0</v>
          </cell>
          <cell r="N928">
            <v>0</v>
          </cell>
          <cell r="AW928" t="str">
            <v/>
          </cell>
          <cell r="BA928" t="str">
            <v/>
          </cell>
        </row>
        <row r="929">
          <cell r="C929">
            <v>0</v>
          </cell>
          <cell r="D929">
            <v>0</v>
          </cell>
          <cell r="G929">
            <v>0</v>
          </cell>
          <cell r="I929">
            <v>0</v>
          </cell>
          <cell r="J929">
            <v>0</v>
          </cell>
          <cell r="M929">
            <v>0</v>
          </cell>
          <cell r="N929">
            <v>0</v>
          </cell>
          <cell r="AW929" t="str">
            <v/>
          </cell>
          <cell r="BA929" t="str">
            <v/>
          </cell>
        </row>
        <row r="930">
          <cell r="C930">
            <v>0</v>
          </cell>
          <cell r="D930">
            <v>0</v>
          </cell>
          <cell r="G930">
            <v>0</v>
          </cell>
          <cell r="I930">
            <v>0</v>
          </cell>
          <cell r="J930">
            <v>0</v>
          </cell>
          <cell r="M930">
            <v>0</v>
          </cell>
          <cell r="N930">
            <v>0</v>
          </cell>
          <cell r="AW930" t="str">
            <v/>
          </cell>
          <cell r="BA930" t="str">
            <v/>
          </cell>
        </row>
        <row r="931">
          <cell r="C931">
            <v>0</v>
          </cell>
          <cell r="D931">
            <v>0</v>
          </cell>
          <cell r="G931">
            <v>0</v>
          </cell>
          <cell r="I931">
            <v>0</v>
          </cell>
          <cell r="J931">
            <v>0</v>
          </cell>
          <cell r="M931">
            <v>0</v>
          </cell>
          <cell r="N931">
            <v>0</v>
          </cell>
          <cell r="AW931" t="str">
            <v/>
          </cell>
          <cell r="BA931" t="str">
            <v/>
          </cell>
        </row>
        <row r="932">
          <cell r="C932">
            <v>0</v>
          </cell>
          <cell r="D932">
            <v>0</v>
          </cell>
          <cell r="G932">
            <v>0</v>
          </cell>
          <cell r="I932">
            <v>0</v>
          </cell>
          <cell r="J932">
            <v>0</v>
          </cell>
          <cell r="M932">
            <v>0</v>
          </cell>
          <cell r="N932">
            <v>0</v>
          </cell>
          <cell r="AW932" t="str">
            <v/>
          </cell>
          <cell r="BA932" t="str">
            <v/>
          </cell>
        </row>
        <row r="933">
          <cell r="C933">
            <v>0</v>
          </cell>
          <cell r="D933">
            <v>0</v>
          </cell>
          <cell r="G933">
            <v>0</v>
          </cell>
          <cell r="I933">
            <v>0</v>
          </cell>
          <cell r="J933">
            <v>0</v>
          </cell>
          <cell r="M933">
            <v>0</v>
          </cell>
          <cell r="N933">
            <v>0</v>
          </cell>
          <cell r="AW933" t="str">
            <v/>
          </cell>
          <cell r="BA933" t="str">
            <v/>
          </cell>
        </row>
        <row r="934">
          <cell r="C934">
            <v>0</v>
          </cell>
          <cell r="D934">
            <v>0</v>
          </cell>
          <cell r="G934">
            <v>0</v>
          </cell>
          <cell r="I934">
            <v>0</v>
          </cell>
          <cell r="J934">
            <v>0</v>
          </cell>
          <cell r="M934">
            <v>0</v>
          </cell>
          <cell r="N934">
            <v>0</v>
          </cell>
          <cell r="AW934" t="str">
            <v/>
          </cell>
          <cell r="BA934" t="str">
            <v/>
          </cell>
        </row>
        <row r="935">
          <cell r="C935">
            <v>0</v>
          </cell>
          <cell r="D935">
            <v>0</v>
          </cell>
          <cell r="G935">
            <v>0</v>
          </cell>
          <cell r="I935">
            <v>0</v>
          </cell>
          <cell r="J935">
            <v>0</v>
          </cell>
          <cell r="M935">
            <v>0</v>
          </cell>
          <cell r="N935">
            <v>0</v>
          </cell>
          <cell r="AW935" t="str">
            <v/>
          </cell>
          <cell r="BA935" t="str">
            <v/>
          </cell>
        </row>
        <row r="936">
          <cell r="C936">
            <v>0</v>
          </cell>
          <cell r="D936">
            <v>0</v>
          </cell>
          <cell r="G936">
            <v>0</v>
          </cell>
          <cell r="I936">
            <v>0</v>
          </cell>
          <cell r="J936">
            <v>0</v>
          </cell>
          <cell r="M936">
            <v>0</v>
          </cell>
          <cell r="N936">
            <v>0</v>
          </cell>
          <cell r="AW936" t="str">
            <v/>
          </cell>
          <cell r="BA936" t="str">
            <v/>
          </cell>
        </row>
        <row r="937">
          <cell r="C937">
            <v>0</v>
          </cell>
          <cell r="D937">
            <v>0</v>
          </cell>
          <cell r="G937">
            <v>0</v>
          </cell>
          <cell r="I937">
            <v>0</v>
          </cell>
          <cell r="J937">
            <v>0</v>
          </cell>
          <cell r="M937">
            <v>0</v>
          </cell>
          <cell r="N937">
            <v>0</v>
          </cell>
          <cell r="AW937" t="str">
            <v/>
          </cell>
          <cell r="BA937" t="str">
            <v/>
          </cell>
        </row>
        <row r="938">
          <cell r="C938">
            <v>0</v>
          </cell>
          <cell r="D938">
            <v>0</v>
          </cell>
          <cell r="G938">
            <v>0</v>
          </cell>
          <cell r="I938">
            <v>0</v>
          </cell>
          <cell r="J938">
            <v>0</v>
          </cell>
          <cell r="M938">
            <v>0</v>
          </cell>
          <cell r="N938">
            <v>0</v>
          </cell>
          <cell r="AW938" t="str">
            <v/>
          </cell>
          <cell r="BA938" t="str">
            <v/>
          </cell>
        </row>
        <row r="939">
          <cell r="C939">
            <v>0</v>
          </cell>
          <cell r="D939">
            <v>0</v>
          </cell>
          <cell r="G939">
            <v>0</v>
          </cell>
          <cell r="I939">
            <v>0</v>
          </cell>
          <cell r="J939">
            <v>0</v>
          </cell>
          <cell r="M939">
            <v>0</v>
          </cell>
          <cell r="N939">
            <v>0</v>
          </cell>
          <cell r="AW939" t="str">
            <v/>
          </cell>
          <cell r="BA939" t="str">
            <v/>
          </cell>
        </row>
        <row r="940">
          <cell r="C940">
            <v>0</v>
          </cell>
          <cell r="D940">
            <v>0</v>
          </cell>
          <cell r="G940">
            <v>0</v>
          </cell>
          <cell r="I940">
            <v>0</v>
          </cell>
          <cell r="J940">
            <v>0</v>
          </cell>
          <cell r="M940">
            <v>0</v>
          </cell>
          <cell r="N940">
            <v>0</v>
          </cell>
          <cell r="AW940" t="str">
            <v/>
          </cell>
          <cell r="BA940" t="str">
            <v/>
          </cell>
        </row>
        <row r="941">
          <cell r="C941">
            <v>0</v>
          </cell>
          <cell r="D941">
            <v>0</v>
          </cell>
          <cell r="G941">
            <v>0</v>
          </cell>
          <cell r="I941">
            <v>0</v>
          </cell>
          <cell r="J941">
            <v>0</v>
          </cell>
          <cell r="M941">
            <v>0</v>
          </cell>
          <cell r="N941">
            <v>0</v>
          </cell>
          <cell r="AW941" t="str">
            <v/>
          </cell>
          <cell r="BA941" t="str">
            <v/>
          </cell>
        </row>
        <row r="942">
          <cell r="C942">
            <v>0</v>
          </cell>
          <cell r="D942">
            <v>0</v>
          </cell>
          <cell r="G942">
            <v>0</v>
          </cell>
          <cell r="I942">
            <v>0</v>
          </cell>
          <cell r="J942">
            <v>0</v>
          </cell>
          <cell r="M942">
            <v>0</v>
          </cell>
          <cell r="N942">
            <v>0</v>
          </cell>
          <cell r="AW942" t="str">
            <v/>
          </cell>
          <cell r="BA942" t="str">
            <v/>
          </cell>
        </row>
        <row r="943">
          <cell r="C943">
            <v>0</v>
          </cell>
          <cell r="D943">
            <v>0</v>
          </cell>
          <cell r="G943">
            <v>0</v>
          </cell>
          <cell r="I943">
            <v>0</v>
          </cell>
          <cell r="J943">
            <v>0</v>
          </cell>
          <cell r="M943">
            <v>0</v>
          </cell>
          <cell r="N943">
            <v>0</v>
          </cell>
          <cell r="AW943" t="str">
            <v/>
          </cell>
          <cell r="BA943" t="str">
            <v/>
          </cell>
        </row>
        <row r="944">
          <cell r="C944">
            <v>0</v>
          </cell>
          <cell r="D944">
            <v>0</v>
          </cell>
          <cell r="G944">
            <v>0</v>
          </cell>
          <cell r="I944">
            <v>0</v>
          </cell>
          <cell r="J944">
            <v>0</v>
          </cell>
          <cell r="M944">
            <v>0</v>
          </cell>
          <cell r="N944">
            <v>0</v>
          </cell>
          <cell r="AW944" t="str">
            <v/>
          </cell>
          <cell r="BA944" t="str">
            <v/>
          </cell>
        </row>
        <row r="945">
          <cell r="C945">
            <v>0</v>
          </cell>
          <cell r="D945">
            <v>0</v>
          </cell>
          <cell r="G945">
            <v>0</v>
          </cell>
          <cell r="I945">
            <v>0</v>
          </cell>
          <cell r="J945">
            <v>0</v>
          </cell>
          <cell r="M945">
            <v>0</v>
          </cell>
          <cell r="N945">
            <v>0</v>
          </cell>
          <cell r="AW945" t="str">
            <v/>
          </cell>
          <cell r="BA945" t="str">
            <v/>
          </cell>
        </row>
        <row r="946">
          <cell r="C946">
            <v>0</v>
          </cell>
          <cell r="D946">
            <v>0</v>
          </cell>
          <cell r="G946">
            <v>0</v>
          </cell>
          <cell r="I946">
            <v>0</v>
          </cell>
          <cell r="J946">
            <v>0</v>
          </cell>
          <cell r="M946">
            <v>0</v>
          </cell>
          <cell r="N946">
            <v>0</v>
          </cell>
          <cell r="AW946" t="str">
            <v/>
          </cell>
          <cell r="BA946" t="str">
            <v/>
          </cell>
        </row>
        <row r="947">
          <cell r="C947">
            <v>0</v>
          </cell>
          <cell r="D947">
            <v>0</v>
          </cell>
          <cell r="G947">
            <v>0</v>
          </cell>
          <cell r="I947">
            <v>0</v>
          </cell>
          <cell r="J947">
            <v>0</v>
          </cell>
          <cell r="M947">
            <v>0</v>
          </cell>
          <cell r="N947">
            <v>0</v>
          </cell>
          <cell r="AW947" t="str">
            <v/>
          </cell>
          <cell r="BA947" t="str">
            <v/>
          </cell>
        </row>
        <row r="948">
          <cell r="C948">
            <v>0</v>
          </cell>
          <cell r="D948">
            <v>0</v>
          </cell>
          <cell r="G948">
            <v>0</v>
          </cell>
          <cell r="I948">
            <v>0</v>
          </cell>
          <cell r="J948">
            <v>0</v>
          </cell>
          <cell r="M948">
            <v>0</v>
          </cell>
          <cell r="N948">
            <v>0</v>
          </cell>
          <cell r="AW948" t="str">
            <v/>
          </cell>
          <cell r="BA948" t="str">
            <v/>
          </cell>
        </row>
        <row r="949">
          <cell r="C949">
            <v>0</v>
          </cell>
          <cell r="D949">
            <v>0</v>
          </cell>
          <cell r="G949">
            <v>0</v>
          </cell>
          <cell r="I949">
            <v>0</v>
          </cell>
          <cell r="J949">
            <v>0</v>
          </cell>
          <cell r="M949">
            <v>0</v>
          </cell>
          <cell r="N949">
            <v>0</v>
          </cell>
          <cell r="AW949" t="str">
            <v/>
          </cell>
          <cell r="BA949" t="str">
            <v/>
          </cell>
        </row>
        <row r="950">
          <cell r="C950">
            <v>0</v>
          </cell>
          <cell r="D950">
            <v>0</v>
          </cell>
          <cell r="G950">
            <v>0</v>
          </cell>
          <cell r="I950">
            <v>0</v>
          </cell>
          <cell r="J950">
            <v>0</v>
          </cell>
          <cell r="M950">
            <v>0</v>
          </cell>
          <cell r="N950">
            <v>0</v>
          </cell>
          <cell r="AW950" t="str">
            <v/>
          </cell>
          <cell r="BA950" t="str">
            <v/>
          </cell>
        </row>
        <row r="951">
          <cell r="C951">
            <v>0</v>
          </cell>
          <cell r="D951">
            <v>0</v>
          </cell>
          <cell r="G951">
            <v>0</v>
          </cell>
          <cell r="I951">
            <v>0</v>
          </cell>
          <cell r="J951">
            <v>0</v>
          </cell>
          <cell r="M951">
            <v>0</v>
          </cell>
          <cell r="N951">
            <v>0</v>
          </cell>
          <cell r="AW951" t="str">
            <v/>
          </cell>
          <cell r="BA951" t="str">
            <v/>
          </cell>
        </row>
        <row r="952">
          <cell r="C952">
            <v>0</v>
          </cell>
          <cell r="D952">
            <v>0</v>
          </cell>
          <cell r="G952">
            <v>0</v>
          </cell>
          <cell r="I952">
            <v>0</v>
          </cell>
          <cell r="J952">
            <v>0</v>
          </cell>
          <cell r="M952">
            <v>0</v>
          </cell>
          <cell r="N952">
            <v>0</v>
          </cell>
          <cell r="AW952" t="str">
            <v/>
          </cell>
          <cell r="BA952" t="str">
            <v/>
          </cell>
        </row>
        <row r="953">
          <cell r="C953">
            <v>0</v>
          </cell>
          <cell r="D953">
            <v>0</v>
          </cell>
          <cell r="G953">
            <v>0</v>
          </cell>
          <cell r="I953">
            <v>0</v>
          </cell>
          <cell r="J953">
            <v>0</v>
          </cell>
          <cell r="M953">
            <v>0</v>
          </cell>
          <cell r="N953">
            <v>0</v>
          </cell>
          <cell r="AW953" t="str">
            <v/>
          </cell>
          <cell r="BA953" t="str">
            <v/>
          </cell>
        </row>
        <row r="954">
          <cell r="C954">
            <v>0</v>
          </cell>
          <cell r="D954">
            <v>0</v>
          </cell>
          <cell r="G954">
            <v>0</v>
          </cell>
          <cell r="I954">
            <v>0</v>
          </cell>
          <cell r="J954">
            <v>0</v>
          </cell>
          <cell r="M954">
            <v>0</v>
          </cell>
          <cell r="N954">
            <v>0</v>
          </cell>
          <cell r="AW954" t="str">
            <v/>
          </cell>
          <cell r="BA954" t="str">
            <v/>
          </cell>
        </row>
        <row r="955">
          <cell r="C955">
            <v>0</v>
          </cell>
          <cell r="D955">
            <v>0</v>
          </cell>
          <cell r="G955">
            <v>0</v>
          </cell>
          <cell r="I955">
            <v>0</v>
          </cell>
          <cell r="J955">
            <v>0</v>
          </cell>
          <cell r="M955">
            <v>0</v>
          </cell>
          <cell r="N955">
            <v>0</v>
          </cell>
          <cell r="AW955" t="str">
            <v/>
          </cell>
          <cell r="BA955" t="str">
            <v/>
          </cell>
        </row>
        <row r="956">
          <cell r="C956">
            <v>0</v>
          </cell>
          <cell r="D956">
            <v>0</v>
          </cell>
          <cell r="G956">
            <v>0</v>
          </cell>
          <cell r="I956">
            <v>0</v>
          </cell>
          <cell r="J956">
            <v>0</v>
          </cell>
          <cell r="M956">
            <v>0</v>
          </cell>
          <cell r="N956">
            <v>0</v>
          </cell>
          <cell r="AW956" t="str">
            <v/>
          </cell>
          <cell r="BA956" t="str">
            <v/>
          </cell>
        </row>
        <row r="957">
          <cell r="C957">
            <v>0</v>
          </cell>
          <cell r="D957">
            <v>0</v>
          </cell>
          <cell r="G957">
            <v>0</v>
          </cell>
          <cell r="I957">
            <v>0</v>
          </cell>
          <cell r="J957">
            <v>0</v>
          </cell>
          <cell r="M957">
            <v>0</v>
          </cell>
          <cell r="N957">
            <v>0</v>
          </cell>
          <cell r="AW957" t="str">
            <v/>
          </cell>
          <cell r="BA957" t="str">
            <v/>
          </cell>
        </row>
        <row r="958">
          <cell r="C958">
            <v>0</v>
          </cell>
          <cell r="D958">
            <v>0</v>
          </cell>
          <cell r="G958">
            <v>0</v>
          </cell>
          <cell r="I958">
            <v>0</v>
          </cell>
          <cell r="J958">
            <v>0</v>
          </cell>
          <cell r="M958">
            <v>0</v>
          </cell>
          <cell r="N958">
            <v>0</v>
          </cell>
          <cell r="AW958" t="str">
            <v/>
          </cell>
          <cell r="BA958" t="str">
            <v/>
          </cell>
        </row>
        <row r="959">
          <cell r="C959">
            <v>0</v>
          </cell>
          <cell r="D959">
            <v>0</v>
          </cell>
          <cell r="G959">
            <v>0</v>
          </cell>
          <cell r="I959">
            <v>0</v>
          </cell>
          <cell r="J959">
            <v>0</v>
          </cell>
          <cell r="M959">
            <v>0</v>
          </cell>
          <cell r="N959">
            <v>0</v>
          </cell>
          <cell r="AW959" t="str">
            <v/>
          </cell>
          <cell r="BA959" t="str">
            <v/>
          </cell>
        </row>
        <row r="960">
          <cell r="C960">
            <v>0</v>
          </cell>
          <cell r="D960">
            <v>0</v>
          </cell>
          <cell r="G960">
            <v>0</v>
          </cell>
          <cell r="I960">
            <v>0</v>
          </cell>
          <cell r="J960">
            <v>0</v>
          </cell>
          <cell r="M960">
            <v>0</v>
          </cell>
          <cell r="N960">
            <v>0</v>
          </cell>
          <cell r="AW960" t="str">
            <v/>
          </cell>
          <cell r="BA960" t="str">
            <v/>
          </cell>
        </row>
        <row r="961">
          <cell r="C961">
            <v>0</v>
          </cell>
          <cell r="D961">
            <v>0</v>
          </cell>
          <cell r="G961">
            <v>0</v>
          </cell>
          <cell r="I961">
            <v>0</v>
          </cell>
          <cell r="J961">
            <v>0</v>
          </cell>
          <cell r="M961">
            <v>0</v>
          </cell>
          <cell r="N961">
            <v>0</v>
          </cell>
          <cell r="AW961" t="str">
            <v/>
          </cell>
          <cell r="BA961" t="str">
            <v/>
          </cell>
        </row>
        <row r="962">
          <cell r="C962">
            <v>0</v>
          </cell>
          <cell r="D962">
            <v>0</v>
          </cell>
          <cell r="G962">
            <v>0</v>
          </cell>
          <cell r="I962">
            <v>0</v>
          </cell>
          <cell r="J962">
            <v>0</v>
          </cell>
          <cell r="M962">
            <v>0</v>
          </cell>
          <cell r="N962">
            <v>0</v>
          </cell>
          <cell r="AW962" t="str">
            <v/>
          </cell>
          <cell r="BA962" t="str">
            <v/>
          </cell>
        </row>
        <row r="963">
          <cell r="C963">
            <v>0</v>
          </cell>
          <cell r="D963">
            <v>0</v>
          </cell>
          <cell r="G963">
            <v>0</v>
          </cell>
          <cell r="I963">
            <v>0</v>
          </cell>
          <cell r="J963">
            <v>0</v>
          </cell>
          <cell r="M963">
            <v>0</v>
          </cell>
          <cell r="N963">
            <v>0</v>
          </cell>
          <cell r="AW963" t="str">
            <v/>
          </cell>
          <cell r="BA963" t="str">
            <v/>
          </cell>
        </row>
        <row r="964">
          <cell r="C964">
            <v>0</v>
          </cell>
          <cell r="D964">
            <v>0</v>
          </cell>
          <cell r="G964">
            <v>0</v>
          </cell>
          <cell r="I964">
            <v>0</v>
          </cell>
          <cell r="J964">
            <v>0</v>
          </cell>
          <cell r="M964">
            <v>0</v>
          </cell>
          <cell r="N964">
            <v>0</v>
          </cell>
          <cell r="AW964" t="str">
            <v/>
          </cell>
          <cell r="BA964" t="str">
            <v/>
          </cell>
        </row>
        <row r="965">
          <cell r="C965">
            <v>0</v>
          </cell>
          <cell r="D965">
            <v>0</v>
          </cell>
          <cell r="G965">
            <v>0</v>
          </cell>
          <cell r="I965">
            <v>0</v>
          </cell>
          <cell r="J965">
            <v>0</v>
          </cell>
          <cell r="M965">
            <v>0</v>
          </cell>
          <cell r="N965">
            <v>0</v>
          </cell>
          <cell r="AW965" t="str">
            <v/>
          </cell>
          <cell r="BA965" t="str">
            <v/>
          </cell>
        </row>
        <row r="966">
          <cell r="C966">
            <v>0</v>
          </cell>
          <cell r="D966">
            <v>0</v>
          </cell>
          <cell r="G966">
            <v>0</v>
          </cell>
          <cell r="I966">
            <v>0</v>
          </cell>
          <cell r="J966">
            <v>0</v>
          </cell>
          <cell r="M966">
            <v>0</v>
          </cell>
          <cell r="N966">
            <v>0</v>
          </cell>
          <cell r="AW966" t="str">
            <v/>
          </cell>
          <cell r="BA966" t="str">
            <v/>
          </cell>
        </row>
        <row r="967">
          <cell r="C967">
            <v>0</v>
          </cell>
          <cell r="D967">
            <v>0</v>
          </cell>
          <cell r="G967">
            <v>0</v>
          </cell>
          <cell r="I967">
            <v>0</v>
          </cell>
          <cell r="J967">
            <v>0</v>
          </cell>
          <cell r="M967">
            <v>0</v>
          </cell>
          <cell r="N967">
            <v>0</v>
          </cell>
          <cell r="AW967" t="str">
            <v/>
          </cell>
          <cell r="BA967" t="str">
            <v/>
          </cell>
        </row>
        <row r="968">
          <cell r="C968">
            <v>0</v>
          </cell>
          <cell r="D968">
            <v>0</v>
          </cell>
          <cell r="G968">
            <v>0</v>
          </cell>
          <cell r="I968">
            <v>0</v>
          </cell>
          <cell r="J968">
            <v>0</v>
          </cell>
          <cell r="M968">
            <v>0</v>
          </cell>
          <cell r="N968">
            <v>0</v>
          </cell>
          <cell r="AW968" t="str">
            <v/>
          </cell>
          <cell r="BA968" t="str">
            <v/>
          </cell>
        </row>
        <row r="969">
          <cell r="C969">
            <v>0</v>
          </cell>
          <cell r="D969">
            <v>0</v>
          </cell>
          <cell r="G969">
            <v>0</v>
          </cell>
          <cell r="I969">
            <v>0</v>
          </cell>
          <cell r="J969">
            <v>0</v>
          </cell>
          <cell r="M969">
            <v>0</v>
          </cell>
          <cell r="N969">
            <v>0</v>
          </cell>
          <cell r="AW969" t="str">
            <v/>
          </cell>
          <cell r="BA969" t="str">
            <v/>
          </cell>
        </row>
        <row r="970">
          <cell r="C970">
            <v>0</v>
          </cell>
          <cell r="D970">
            <v>0</v>
          </cell>
          <cell r="G970">
            <v>0</v>
          </cell>
          <cell r="I970">
            <v>0</v>
          </cell>
          <cell r="J970">
            <v>0</v>
          </cell>
          <cell r="M970">
            <v>0</v>
          </cell>
          <cell r="N970">
            <v>0</v>
          </cell>
          <cell r="AW970" t="str">
            <v/>
          </cell>
          <cell r="BA970" t="str">
            <v/>
          </cell>
        </row>
        <row r="971">
          <cell r="C971">
            <v>0</v>
          </cell>
          <cell r="D971">
            <v>0</v>
          </cell>
          <cell r="G971">
            <v>0</v>
          </cell>
          <cell r="I971">
            <v>0</v>
          </cell>
          <cell r="J971">
            <v>0</v>
          </cell>
          <cell r="M971">
            <v>0</v>
          </cell>
          <cell r="N971">
            <v>0</v>
          </cell>
          <cell r="AW971" t="str">
            <v/>
          </cell>
          <cell r="BA971" t="str">
            <v/>
          </cell>
        </row>
        <row r="972">
          <cell r="C972">
            <v>0</v>
          </cell>
          <cell r="D972">
            <v>0</v>
          </cell>
          <cell r="G972">
            <v>0</v>
          </cell>
          <cell r="I972">
            <v>0</v>
          </cell>
          <cell r="J972">
            <v>0</v>
          </cell>
          <cell r="M972">
            <v>0</v>
          </cell>
          <cell r="N972">
            <v>0</v>
          </cell>
          <cell r="AW972" t="str">
            <v/>
          </cell>
          <cell r="BA972" t="str">
            <v/>
          </cell>
        </row>
        <row r="973">
          <cell r="C973">
            <v>0</v>
          </cell>
          <cell r="D973">
            <v>0</v>
          </cell>
          <cell r="G973">
            <v>0</v>
          </cell>
          <cell r="I973">
            <v>0</v>
          </cell>
          <cell r="J973">
            <v>0</v>
          </cell>
          <cell r="M973">
            <v>0</v>
          </cell>
          <cell r="N973">
            <v>0</v>
          </cell>
          <cell r="AW973" t="str">
            <v/>
          </cell>
          <cell r="BA973" t="str">
            <v/>
          </cell>
        </row>
        <row r="974">
          <cell r="C974">
            <v>0</v>
          </cell>
          <cell r="D974">
            <v>0</v>
          </cell>
          <cell r="G974">
            <v>0</v>
          </cell>
          <cell r="I974">
            <v>0</v>
          </cell>
          <cell r="J974">
            <v>0</v>
          </cell>
          <cell r="M974">
            <v>0</v>
          </cell>
          <cell r="N974">
            <v>0</v>
          </cell>
          <cell r="AW974" t="str">
            <v/>
          </cell>
          <cell r="BA974" t="str">
            <v/>
          </cell>
        </row>
        <row r="975">
          <cell r="C975">
            <v>0</v>
          </cell>
          <cell r="D975">
            <v>0</v>
          </cell>
          <cell r="G975">
            <v>0</v>
          </cell>
          <cell r="I975">
            <v>0</v>
          </cell>
          <cell r="J975">
            <v>0</v>
          </cell>
          <cell r="M975">
            <v>0</v>
          </cell>
          <cell r="N975">
            <v>0</v>
          </cell>
          <cell r="AW975" t="str">
            <v/>
          </cell>
          <cell r="BA975" t="str">
            <v/>
          </cell>
        </row>
        <row r="976">
          <cell r="C976">
            <v>0</v>
          </cell>
          <cell r="D976">
            <v>0</v>
          </cell>
          <cell r="G976">
            <v>0</v>
          </cell>
          <cell r="I976">
            <v>0</v>
          </cell>
          <cell r="J976">
            <v>0</v>
          </cell>
          <cell r="M976">
            <v>0</v>
          </cell>
          <cell r="N976">
            <v>0</v>
          </cell>
          <cell r="AW976" t="str">
            <v/>
          </cell>
          <cell r="BA976" t="str">
            <v/>
          </cell>
        </row>
        <row r="977">
          <cell r="C977">
            <v>0</v>
          </cell>
          <cell r="D977">
            <v>0</v>
          </cell>
          <cell r="G977">
            <v>0</v>
          </cell>
          <cell r="I977">
            <v>0</v>
          </cell>
          <cell r="J977">
            <v>0</v>
          </cell>
          <cell r="M977">
            <v>0</v>
          </cell>
          <cell r="N977">
            <v>0</v>
          </cell>
          <cell r="AW977" t="str">
            <v/>
          </cell>
          <cell r="BA977" t="str">
            <v/>
          </cell>
        </row>
        <row r="978">
          <cell r="C978">
            <v>0</v>
          </cell>
          <cell r="D978">
            <v>0</v>
          </cell>
          <cell r="G978">
            <v>0</v>
          </cell>
          <cell r="I978">
            <v>0</v>
          </cell>
          <cell r="J978">
            <v>0</v>
          </cell>
          <cell r="M978">
            <v>0</v>
          </cell>
          <cell r="N978">
            <v>0</v>
          </cell>
          <cell r="AW978" t="str">
            <v/>
          </cell>
          <cell r="BA978" t="str">
            <v/>
          </cell>
        </row>
        <row r="979">
          <cell r="C979">
            <v>0</v>
          </cell>
          <cell r="D979">
            <v>0</v>
          </cell>
          <cell r="G979">
            <v>0</v>
          </cell>
          <cell r="I979">
            <v>0</v>
          </cell>
          <cell r="J979">
            <v>0</v>
          </cell>
          <cell r="M979">
            <v>0</v>
          </cell>
          <cell r="N979">
            <v>0</v>
          </cell>
          <cell r="AW979" t="str">
            <v/>
          </cell>
          <cell r="BA979" t="str">
            <v/>
          </cell>
        </row>
        <row r="980">
          <cell r="C980">
            <v>0</v>
          </cell>
          <cell r="D980">
            <v>0</v>
          </cell>
          <cell r="G980">
            <v>0</v>
          </cell>
          <cell r="I980">
            <v>0</v>
          </cell>
          <cell r="J980">
            <v>0</v>
          </cell>
          <cell r="M980">
            <v>0</v>
          </cell>
          <cell r="N980">
            <v>0</v>
          </cell>
          <cell r="AW980" t="str">
            <v/>
          </cell>
          <cell r="BA980" t="str">
            <v/>
          </cell>
        </row>
        <row r="981">
          <cell r="C981">
            <v>0</v>
          </cell>
          <cell r="D981">
            <v>0</v>
          </cell>
          <cell r="G981">
            <v>0</v>
          </cell>
          <cell r="I981">
            <v>0</v>
          </cell>
          <cell r="J981">
            <v>0</v>
          </cell>
          <cell r="M981">
            <v>0</v>
          </cell>
          <cell r="N981">
            <v>0</v>
          </cell>
          <cell r="AW981" t="str">
            <v/>
          </cell>
          <cell r="BA981" t="str">
            <v/>
          </cell>
        </row>
        <row r="982">
          <cell r="C982">
            <v>0</v>
          </cell>
          <cell r="D982">
            <v>0</v>
          </cell>
          <cell r="G982">
            <v>0</v>
          </cell>
          <cell r="I982">
            <v>0</v>
          </cell>
          <cell r="J982">
            <v>0</v>
          </cell>
          <cell r="M982">
            <v>0</v>
          </cell>
          <cell r="N982">
            <v>0</v>
          </cell>
          <cell r="AW982" t="str">
            <v/>
          </cell>
          <cell r="BA982" t="str">
            <v/>
          </cell>
        </row>
        <row r="983">
          <cell r="C983">
            <v>0</v>
          </cell>
          <cell r="D983">
            <v>0</v>
          </cell>
          <cell r="G983">
            <v>0</v>
          </cell>
          <cell r="I983">
            <v>0</v>
          </cell>
          <cell r="J983">
            <v>0</v>
          </cell>
          <cell r="M983">
            <v>0</v>
          </cell>
          <cell r="N983">
            <v>0</v>
          </cell>
          <cell r="AW983" t="str">
            <v/>
          </cell>
          <cell r="BA983" t="str">
            <v/>
          </cell>
        </row>
        <row r="984">
          <cell r="C984">
            <v>0</v>
          </cell>
          <cell r="D984">
            <v>0</v>
          </cell>
          <cell r="G984">
            <v>0</v>
          </cell>
          <cell r="I984">
            <v>0</v>
          </cell>
          <cell r="J984">
            <v>0</v>
          </cell>
          <cell r="M984">
            <v>0</v>
          </cell>
          <cell r="N984">
            <v>0</v>
          </cell>
          <cell r="AW984" t="str">
            <v/>
          </cell>
          <cell r="BA984" t="str">
            <v/>
          </cell>
        </row>
        <row r="985">
          <cell r="C985">
            <v>0</v>
          </cell>
          <cell r="D985">
            <v>0</v>
          </cell>
          <cell r="G985">
            <v>0</v>
          </cell>
          <cell r="I985">
            <v>0</v>
          </cell>
          <cell r="J985">
            <v>0</v>
          </cell>
          <cell r="M985">
            <v>0</v>
          </cell>
          <cell r="N985">
            <v>0</v>
          </cell>
          <cell r="AW985" t="str">
            <v/>
          </cell>
          <cell r="BA985" t="str">
            <v/>
          </cell>
        </row>
        <row r="986">
          <cell r="C986">
            <v>0</v>
          </cell>
          <cell r="D986">
            <v>0</v>
          </cell>
          <cell r="G986">
            <v>0</v>
          </cell>
          <cell r="I986">
            <v>0</v>
          </cell>
          <cell r="J986">
            <v>0</v>
          </cell>
          <cell r="M986">
            <v>0</v>
          </cell>
          <cell r="N986">
            <v>0</v>
          </cell>
          <cell r="AW986" t="str">
            <v/>
          </cell>
          <cell r="BA986" t="str">
            <v/>
          </cell>
        </row>
        <row r="987">
          <cell r="C987">
            <v>0</v>
          </cell>
          <cell r="D987">
            <v>0</v>
          </cell>
          <cell r="G987">
            <v>0</v>
          </cell>
          <cell r="I987">
            <v>0</v>
          </cell>
          <cell r="J987">
            <v>0</v>
          </cell>
          <cell r="M987">
            <v>0</v>
          </cell>
          <cell r="N987">
            <v>0</v>
          </cell>
          <cell r="AW987" t="str">
            <v/>
          </cell>
          <cell r="BA987" t="str">
            <v/>
          </cell>
        </row>
        <row r="988">
          <cell r="C988">
            <v>0</v>
          </cell>
          <cell r="D988">
            <v>0</v>
          </cell>
          <cell r="G988">
            <v>0</v>
          </cell>
          <cell r="I988">
            <v>0</v>
          </cell>
          <cell r="J988">
            <v>0</v>
          </cell>
          <cell r="M988">
            <v>0</v>
          </cell>
          <cell r="N988">
            <v>0</v>
          </cell>
          <cell r="AW988" t="str">
            <v/>
          </cell>
          <cell r="BA988" t="str">
            <v/>
          </cell>
        </row>
        <row r="989">
          <cell r="C989">
            <v>0</v>
          </cell>
          <cell r="D989">
            <v>0</v>
          </cell>
          <cell r="G989">
            <v>0</v>
          </cell>
          <cell r="I989">
            <v>0</v>
          </cell>
          <cell r="J989">
            <v>0</v>
          </cell>
          <cell r="M989">
            <v>0</v>
          </cell>
          <cell r="N989">
            <v>0</v>
          </cell>
          <cell r="AW989" t="str">
            <v/>
          </cell>
          <cell r="BA989" t="str">
            <v/>
          </cell>
        </row>
        <row r="990">
          <cell r="C990">
            <v>0</v>
          </cell>
          <cell r="D990">
            <v>0</v>
          </cell>
          <cell r="G990">
            <v>0</v>
          </cell>
          <cell r="I990">
            <v>0</v>
          </cell>
          <cell r="J990">
            <v>0</v>
          </cell>
          <cell r="M990">
            <v>0</v>
          </cell>
          <cell r="N990">
            <v>0</v>
          </cell>
          <cell r="AW990" t="str">
            <v/>
          </cell>
          <cell r="BA990" t="str">
            <v/>
          </cell>
        </row>
        <row r="991">
          <cell r="C991">
            <v>0</v>
          </cell>
          <cell r="D991">
            <v>0</v>
          </cell>
          <cell r="G991">
            <v>0</v>
          </cell>
          <cell r="I991">
            <v>0</v>
          </cell>
          <cell r="J991">
            <v>0</v>
          </cell>
          <cell r="M991">
            <v>0</v>
          </cell>
          <cell r="N991">
            <v>0</v>
          </cell>
          <cell r="AW991" t="str">
            <v/>
          </cell>
          <cell r="BA991" t="str">
            <v/>
          </cell>
        </row>
        <row r="992">
          <cell r="C992">
            <v>0</v>
          </cell>
          <cell r="D992">
            <v>0</v>
          </cell>
          <cell r="G992">
            <v>0</v>
          </cell>
          <cell r="I992">
            <v>0</v>
          </cell>
          <cell r="J992">
            <v>0</v>
          </cell>
          <cell r="M992">
            <v>0</v>
          </cell>
          <cell r="N992">
            <v>0</v>
          </cell>
          <cell r="AW992" t="str">
            <v/>
          </cell>
          <cell r="BA992" t="str">
            <v/>
          </cell>
        </row>
        <row r="993">
          <cell r="C993">
            <v>0</v>
          </cell>
          <cell r="D993">
            <v>0</v>
          </cell>
          <cell r="G993">
            <v>0</v>
          </cell>
          <cell r="I993">
            <v>0</v>
          </cell>
          <cell r="J993">
            <v>0</v>
          </cell>
          <cell r="M993">
            <v>0</v>
          </cell>
          <cell r="N993">
            <v>0</v>
          </cell>
          <cell r="AW993" t="str">
            <v/>
          </cell>
          <cell r="BA993" t="str">
            <v/>
          </cell>
        </row>
        <row r="994">
          <cell r="C994">
            <v>0</v>
          </cell>
          <cell r="D994">
            <v>0</v>
          </cell>
          <cell r="G994">
            <v>0</v>
          </cell>
          <cell r="I994">
            <v>0</v>
          </cell>
          <cell r="J994">
            <v>0</v>
          </cell>
          <cell r="M994">
            <v>0</v>
          </cell>
          <cell r="N994">
            <v>0</v>
          </cell>
          <cell r="AW994" t="str">
            <v/>
          </cell>
          <cell r="BA994" t="str">
            <v/>
          </cell>
        </row>
        <row r="995">
          <cell r="C995">
            <v>0</v>
          </cell>
          <cell r="D995">
            <v>0</v>
          </cell>
          <cell r="G995">
            <v>0</v>
          </cell>
          <cell r="I995">
            <v>0</v>
          </cell>
          <cell r="J995">
            <v>0</v>
          </cell>
          <cell r="M995">
            <v>0</v>
          </cell>
          <cell r="N995">
            <v>0</v>
          </cell>
          <cell r="AW995" t="str">
            <v/>
          </cell>
          <cell r="BA995" t="str">
            <v/>
          </cell>
        </row>
        <row r="996">
          <cell r="C996">
            <v>0</v>
          </cell>
          <cell r="D996">
            <v>0</v>
          </cell>
          <cell r="G996">
            <v>0</v>
          </cell>
          <cell r="I996">
            <v>0</v>
          </cell>
          <cell r="J996">
            <v>0</v>
          </cell>
          <cell r="M996">
            <v>0</v>
          </cell>
          <cell r="N996">
            <v>0</v>
          </cell>
          <cell r="AW996" t="str">
            <v/>
          </cell>
          <cell r="BA996" t="str">
            <v/>
          </cell>
        </row>
        <row r="997">
          <cell r="C997">
            <v>0</v>
          </cell>
          <cell r="D997">
            <v>0</v>
          </cell>
          <cell r="G997">
            <v>0</v>
          </cell>
          <cell r="I997">
            <v>0</v>
          </cell>
          <cell r="J997">
            <v>0</v>
          </cell>
          <cell r="M997">
            <v>0</v>
          </cell>
          <cell r="N997">
            <v>0</v>
          </cell>
          <cell r="AW997" t="str">
            <v/>
          </cell>
          <cell r="BA997" t="str">
            <v/>
          </cell>
        </row>
        <row r="998">
          <cell r="C998">
            <v>0</v>
          </cell>
          <cell r="D998">
            <v>0</v>
          </cell>
          <cell r="G998">
            <v>0</v>
          </cell>
          <cell r="I998">
            <v>0</v>
          </cell>
          <cell r="J998">
            <v>0</v>
          </cell>
          <cell r="M998">
            <v>0</v>
          </cell>
          <cell r="N998">
            <v>0</v>
          </cell>
          <cell r="AW998" t="str">
            <v/>
          </cell>
          <cell r="BA998" t="str">
            <v/>
          </cell>
        </row>
        <row r="999">
          <cell r="C999">
            <v>0</v>
          </cell>
          <cell r="D999">
            <v>0</v>
          </cell>
          <cell r="G999">
            <v>0</v>
          </cell>
          <cell r="I999">
            <v>0</v>
          </cell>
          <cell r="J999">
            <v>0</v>
          </cell>
          <cell r="M999">
            <v>0</v>
          </cell>
          <cell r="N999">
            <v>0</v>
          </cell>
          <cell r="AW999" t="str">
            <v/>
          </cell>
          <cell r="BA999" t="str">
            <v/>
          </cell>
        </row>
        <row r="1000">
          <cell r="C1000">
            <v>0</v>
          </cell>
          <cell r="D1000">
            <v>0</v>
          </cell>
          <cell r="G1000">
            <v>0</v>
          </cell>
          <cell r="I1000">
            <v>0</v>
          </cell>
          <cell r="J1000">
            <v>0</v>
          </cell>
          <cell r="M1000">
            <v>0</v>
          </cell>
          <cell r="N1000">
            <v>0</v>
          </cell>
          <cell r="AW1000" t="str">
            <v/>
          </cell>
          <cell r="BA1000" t="str">
            <v/>
          </cell>
        </row>
        <row r="1001">
          <cell r="C1001">
            <v>0</v>
          </cell>
          <cell r="D1001">
            <v>0</v>
          </cell>
          <cell r="G1001">
            <v>0</v>
          </cell>
          <cell r="I1001">
            <v>0</v>
          </cell>
          <cell r="J1001">
            <v>0</v>
          </cell>
          <cell r="M1001">
            <v>0</v>
          </cell>
          <cell r="N1001">
            <v>0</v>
          </cell>
          <cell r="AW1001" t="str">
            <v/>
          </cell>
          <cell r="BA1001" t="str">
            <v/>
          </cell>
        </row>
        <row r="1002">
          <cell r="C1002">
            <v>0</v>
          </cell>
          <cell r="D1002">
            <v>0</v>
          </cell>
          <cell r="G1002">
            <v>0</v>
          </cell>
          <cell r="I1002">
            <v>0</v>
          </cell>
          <cell r="J1002">
            <v>0</v>
          </cell>
          <cell r="M1002">
            <v>0</v>
          </cell>
          <cell r="N1002">
            <v>0</v>
          </cell>
          <cell r="AW1002" t="str">
            <v/>
          </cell>
          <cell r="BA1002" t="str">
            <v/>
          </cell>
        </row>
        <row r="1003">
          <cell r="C1003">
            <v>0</v>
          </cell>
          <cell r="D1003">
            <v>0</v>
          </cell>
          <cell r="G1003">
            <v>0</v>
          </cell>
          <cell r="I1003">
            <v>0</v>
          </cell>
          <cell r="J1003">
            <v>0</v>
          </cell>
          <cell r="M1003">
            <v>0</v>
          </cell>
          <cell r="N1003">
            <v>0</v>
          </cell>
          <cell r="AW1003" t="str">
            <v/>
          </cell>
          <cell r="BA1003" t="str">
            <v/>
          </cell>
        </row>
        <row r="1004">
          <cell r="C1004">
            <v>0</v>
          </cell>
          <cell r="D1004">
            <v>0</v>
          </cell>
          <cell r="G1004">
            <v>0</v>
          </cell>
          <cell r="I1004">
            <v>0</v>
          </cell>
          <cell r="J1004">
            <v>0</v>
          </cell>
          <cell r="M1004">
            <v>0</v>
          </cell>
          <cell r="N1004">
            <v>0</v>
          </cell>
          <cell r="AW1004" t="str">
            <v/>
          </cell>
          <cell r="BA1004" t="str">
            <v/>
          </cell>
        </row>
        <row r="1005">
          <cell r="C1005">
            <v>0</v>
          </cell>
          <cell r="D1005">
            <v>0</v>
          </cell>
          <cell r="G1005">
            <v>0</v>
          </cell>
          <cell r="I1005">
            <v>0</v>
          </cell>
          <cell r="J1005">
            <v>0</v>
          </cell>
          <cell r="M1005">
            <v>0</v>
          </cell>
          <cell r="N1005">
            <v>0</v>
          </cell>
          <cell r="AW1005" t="str">
            <v/>
          </cell>
          <cell r="BA1005" t="str">
            <v/>
          </cell>
        </row>
        <row r="1006">
          <cell r="C1006">
            <v>0</v>
          </cell>
          <cell r="D1006">
            <v>0</v>
          </cell>
          <cell r="G1006">
            <v>0</v>
          </cell>
          <cell r="I1006">
            <v>0</v>
          </cell>
          <cell r="J1006">
            <v>0</v>
          </cell>
          <cell r="M1006">
            <v>0</v>
          </cell>
          <cell r="N1006">
            <v>0</v>
          </cell>
          <cell r="AW1006" t="str">
            <v/>
          </cell>
          <cell r="BA1006" t="str">
            <v/>
          </cell>
        </row>
        <row r="1007">
          <cell r="C1007">
            <v>0</v>
          </cell>
          <cell r="D1007">
            <v>0</v>
          </cell>
          <cell r="G1007">
            <v>0</v>
          </cell>
          <cell r="I1007">
            <v>0</v>
          </cell>
          <cell r="J1007">
            <v>0</v>
          </cell>
          <cell r="M1007">
            <v>0</v>
          </cell>
          <cell r="N1007">
            <v>0</v>
          </cell>
          <cell r="AW1007" t="str">
            <v/>
          </cell>
          <cell r="BA1007" t="str">
            <v/>
          </cell>
        </row>
        <row r="1008">
          <cell r="C1008">
            <v>0</v>
          </cell>
          <cell r="D1008">
            <v>0</v>
          </cell>
          <cell r="G1008">
            <v>0</v>
          </cell>
          <cell r="I1008">
            <v>0</v>
          </cell>
          <cell r="J1008">
            <v>0</v>
          </cell>
          <cell r="M1008">
            <v>0</v>
          </cell>
          <cell r="N1008">
            <v>0</v>
          </cell>
          <cell r="AW1008" t="str">
            <v/>
          </cell>
          <cell r="BA1008" t="str">
            <v/>
          </cell>
        </row>
        <row r="1009">
          <cell r="C1009">
            <v>46028.540092129631</v>
          </cell>
          <cell r="D1009" t="str">
            <v>N26-3993 CAMEL</v>
          </cell>
          <cell r="G1009">
            <v>0</v>
          </cell>
          <cell r="I1009" t="str">
            <v>PREESCOLAR NIÑO</v>
          </cell>
          <cell r="J1009">
            <v>0</v>
          </cell>
          <cell r="M1009" t="str">
            <v>DE PRATI</v>
          </cell>
          <cell r="N1009" t="str">
            <v>GABRIELA D.</v>
          </cell>
        </row>
        <row r="1010">
          <cell r="C1010">
            <v>46028.547354629627</v>
          </cell>
          <cell r="D1010" t="str">
            <v>N26-3994 CAMEL</v>
          </cell>
          <cell r="G1010">
            <v>0</v>
          </cell>
          <cell r="I1010" t="str">
            <v>PREESCOLAR NIÑO</v>
          </cell>
          <cell r="J1010">
            <v>0</v>
          </cell>
          <cell r="M1010" t="str">
            <v>DE PRATI</v>
          </cell>
          <cell r="N1010" t="str">
            <v>GABRIELA D.</v>
          </cell>
        </row>
        <row r="1011">
          <cell r="C1011">
            <v>46029.490916898147</v>
          </cell>
          <cell r="D1011" t="str">
            <v>G26-5060 ROSADO</v>
          </cell>
          <cell r="G1011">
            <v>0</v>
          </cell>
          <cell r="I1011" t="str">
            <v>PREESCOLAR NIÑO</v>
          </cell>
          <cell r="J1011">
            <v>0</v>
          </cell>
          <cell r="M1011" t="str">
            <v>DE PRATI</v>
          </cell>
          <cell r="N1011" t="str">
            <v>SANTIAGO M.</v>
          </cell>
        </row>
        <row r="1012">
          <cell r="C1012">
            <v>46029.72191886574</v>
          </cell>
          <cell r="D1012" t="str">
            <v>H22-2943</v>
          </cell>
          <cell r="G1012">
            <v>0</v>
          </cell>
          <cell r="I1012" t="str">
            <v>CABALLERO</v>
          </cell>
          <cell r="J1012">
            <v>0</v>
          </cell>
          <cell r="M1012" t="str">
            <v>CMO</v>
          </cell>
          <cell r="N1012" t="str">
            <v>SANTIAGO M.</v>
          </cell>
        </row>
        <row r="1013">
          <cell r="C1013">
            <v>46034.635782754631</v>
          </cell>
          <cell r="D1013" t="str">
            <v>D25-3930</v>
          </cell>
          <cell r="G1013">
            <v>0</v>
          </cell>
          <cell r="I1013" t="str">
            <v>DAMA</v>
          </cell>
          <cell r="J1013">
            <v>0</v>
          </cell>
          <cell r="M1013" t="str">
            <v>SOCKIES</v>
          </cell>
          <cell r="N1013" t="str">
            <v>GABRIELA D.</v>
          </cell>
        </row>
        <row r="1014">
          <cell r="C1014">
            <v>46034.658937731481</v>
          </cell>
          <cell r="D1014" t="str">
            <v>D25-3919</v>
          </cell>
          <cell r="G1014">
            <v>0</v>
          </cell>
          <cell r="I1014" t="str">
            <v>DAMA</v>
          </cell>
          <cell r="J1014">
            <v>0</v>
          </cell>
          <cell r="M1014" t="str">
            <v>SOCKIES</v>
          </cell>
          <cell r="N1014" t="str">
            <v>GABRIELA D.</v>
          </cell>
        </row>
        <row r="1015">
          <cell r="C1015">
            <v>46034.668064583333</v>
          </cell>
          <cell r="D1015" t="str">
            <v>D24-3479</v>
          </cell>
          <cell r="G1015">
            <v>0</v>
          </cell>
          <cell r="I1015" t="str">
            <v>DAMA</v>
          </cell>
          <cell r="J1015">
            <v>0</v>
          </cell>
          <cell r="M1015" t="str">
            <v>SOCKIES</v>
          </cell>
          <cell r="N1015" t="str">
            <v>GABRIELA D.</v>
          </cell>
        </row>
        <row r="1016">
          <cell r="C1016">
            <v>46035.541882754631</v>
          </cell>
          <cell r="D1016" t="str">
            <v>D23-3296</v>
          </cell>
          <cell r="G1016">
            <v>0</v>
          </cell>
          <cell r="I1016" t="str">
            <v>DAMA</v>
          </cell>
          <cell r="J1016">
            <v>0</v>
          </cell>
          <cell r="M1016" t="str">
            <v>SOCKIES</v>
          </cell>
          <cell r="N1016" t="str">
            <v>GABRIELA D.</v>
          </cell>
        </row>
        <row r="1017">
          <cell r="C1017">
            <v>46041.349975925928</v>
          </cell>
          <cell r="D1017" t="str">
            <v>H26-3485.</v>
          </cell>
          <cell r="G1017">
            <v>0</v>
          </cell>
          <cell r="I1017" t="str">
            <v>CABALLERO</v>
          </cell>
          <cell r="J1017">
            <v>0</v>
          </cell>
          <cell r="M1017" t="str">
            <v>SOCKIES</v>
          </cell>
          <cell r="N1017" t="str">
            <v>SANTIAGO M.</v>
          </cell>
        </row>
        <row r="1018">
          <cell r="C1018">
            <v>46041.367946296297</v>
          </cell>
          <cell r="D1018" t="str">
            <v>H26-3488 COMB1</v>
          </cell>
          <cell r="G1018">
            <v>0</v>
          </cell>
          <cell r="I1018" t="str">
            <v>CABALLERO</v>
          </cell>
          <cell r="J1018">
            <v>0</v>
          </cell>
          <cell r="M1018" t="str">
            <v>SOCKIES</v>
          </cell>
          <cell r="N1018" t="str">
            <v>SANTIAGO M.</v>
          </cell>
        </row>
        <row r="1019">
          <cell r="C1019">
            <v>46041.368034375002</v>
          </cell>
          <cell r="D1019" t="str">
            <v>H26-3488 COMB2</v>
          </cell>
          <cell r="G1019">
            <v>0</v>
          </cell>
          <cell r="I1019" t="str">
            <v>CABALLERO</v>
          </cell>
          <cell r="J1019">
            <v>0</v>
          </cell>
          <cell r="M1019" t="str">
            <v>SOCKIES</v>
          </cell>
          <cell r="N1019" t="str">
            <v>SANTIAGO M.</v>
          </cell>
        </row>
        <row r="1020">
          <cell r="C1020">
            <v>46041.407201851849</v>
          </cell>
          <cell r="D1020" t="str">
            <v>D24-3525 SOCKIES</v>
          </cell>
          <cell r="G1020">
            <v>0</v>
          </cell>
          <cell r="I1020" t="str">
            <v>DAMA</v>
          </cell>
          <cell r="J1020">
            <v>0</v>
          </cell>
          <cell r="M1020" t="str">
            <v>SOCKIES</v>
          </cell>
          <cell r="N1020" t="str">
            <v>GABRIELA D.</v>
          </cell>
        </row>
        <row r="1021">
          <cell r="C1021">
            <v>46041.408834837966</v>
          </cell>
          <cell r="D1021" t="str">
            <v>G25-4994D</v>
          </cell>
          <cell r="G1021">
            <v>0</v>
          </cell>
          <cell r="I1021" t="str">
            <v>DAMA</v>
          </cell>
          <cell r="J1021">
            <v>0</v>
          </cell>
          <cell r="M1021" t="str">
            <v>SOCKIES</v>
          </cell>
          <cell r="N1021" t="str">
            <v>GABRIELA D.</v>
          </cell>
        </row>
        <row r="1022">
          <cell r="C1022">
            <v>46041.41239513889</v>
          </cell>
          <cell r="D1022" t="str">
            <v>N24-3795G</v>
          </cell>
          <cell r="G1022">
            <v>0</v>
          </cell>
          <cell r="I1022" t="str">
            <v>PREESCOLAR NIÑA</v>
          </cell>
          <cell r="J1022">
            <v>0</v>
          </cell>
          <cell r="M1022" t="str">
            <v>ROLAND</v>
          </cell>
          <cell r="N1022" t="str">
            <v>GABRIELA D.</v>
          </cell>
        </row>
        <row r="1023">
          <cell r="C1023">
            <v>46041.417039467589</v>
          </cell>
          <cell r="D1023" t="str">
            <v>H25-3366D</v>
          </cell>
          <cell r="G1023">
            <v>0</v>
          </cell>
          <cell r="I1023" t="str">
            <v>DAMA</v>
          </cell>
          <cell r="J1023">
            <v>0</v>
          </cell>
          <cell r="M1023" t="str">
            <v>ROLAND</v>
          </cell>
          <cell r="N1023" t="str">
            <v>GABRIELA D.</v>
          </cell>
        </row>
        <row r="1024">
          <cell r="C1024">
            <v>46043.759748611112</v>
          </cell>
          <cell r="D1024" t="str">
            <v>H25-3394</v>
          </cell>
          <cell r="G1024">
            <v>0</v>
          </cell>
          <cell r="I1024" t="str">
            <v>CABALLERO</v>
          </cell>
          <cell r="J1024">
            <v>0</v>
          </cell>
          <cell r="M1024" t="str">
            <v>CMO</v>
          </cell>
          <cell r="N1024" t="str">
            <v>GABRIELA D.</v>
          </cell>
        </row>
        <row r="1025">
          <cell r="C1025">
            <v>46043.763502893518</v>
          </cell>
          <cell r="D1025" t="str">
            <v>H20-2582</v>
          </cell>
          <cell r="G1025">
            <v>0</v>
          </cell>
          <cell r="I1025" t="str">
            <v>CABALLERO</v>
          </cell>
          <cell r="J1025">
            <v>0</v>
          </cell>
          <cell r="M1025" t="str">
            <v>ROSADO</v>
          </cell>
          <cell r="N1025" t="str">
            <v>GABRIELA D.</v>
          </cell>
        </row>
        <row r="1026">
          <cell r="C1026">
            <v>46044.353107175928</v>
          </cell>
          <cell r="D1026" t="str">
            <v>TOY-006</v>
          </cell>
          <cell r="G1026">
            <v>0</v>
          </cell>
          <cell r="I1026" t="str">
            <v>PREESCOLAR NIÑO</v>
          </cell>
          <cell r="J1026">
            <v>0</v>
          </cell>
          <cell r="M1026" t="str">
            <v>CMO</v>
          </cell>
          <cell r="N1026" t="str">
            <v>SANTIAGO M.</v>
          </cell>
        </row>
        <row r="1027">
          <cell r="C1027">
            <v>46044.354645023152</v>
          </cell>
          <cell r="D1027" t="str">
            <v>TOY-004</v>
          </cell>
          <cell r="G1027">
            <v>0</v>
          </cell>
          <cell r="I1027" t="str">
            <v>PREESCOLAR NIÑO</v>
          </cell>
          <cell r="J1027">
            <v>0</v>
          </cell>
          <cell r="M1027" t="str">
            <v>CMO</v>
          </cell>
          <cell r="N1027" t="str">
            <v>SANTIAGO M.</v>
          </cell>
        </row>
        <row r="1028">
          <cell r="C1028">
            <v>46050.37771296296</v>
          </cell>
          <cell r="D1028" t="str">
            <v>H26-3503 GRIS</v>
          </cell>
          <cell r="G1028">
            <v>0</v>
          </cell>
          <cell r="I1028" t="str">
            <v>CABALLERO</v>
          </cell>
          <cell r="J1028">
            <v>0</v>
          </cell>
          <cell r="M1028" t="str">
            <v>MEGAMAXI</v>
          </cell>
          <cell r="N1028" t="str">
            <v>SANTIAGO M.</v>
          </cell>
        </row>
        <row r="1029">
          <cell r="C1029">
            <v>46056.803472800922</v>
          </cell>
          <cell r="D1029" t="str">
            <v>D26-4104 CELESTE</v>
          </cell>
          <cell r="G1029">
            <v>0</v>
          </cell>
          <cell r="I1029" t="str">
            <v>DAMA</v>
          </cell>
          <cell r="J1029">
            <v>0</v>
          </cell>
          <cell r="M1029" t="str">
            <v>DE PRATI</v>
          </cell>
          <cell r="N1029" t="str">
            <v>GABRIELA D.</v>
          </cell>
        </row>
        <row r="1030">
          <cell r="C1030">
            <v>46056.808157175925</v>
          </cell>
          <cell r="D1030" t="str">
            <v>D25-3803 PRINT</v>
          </cell>
          <cell r="G1030">
            <v>0</v>
          </cell>
          <cell r="I1030" t="str">
            <v>DAMA</v>
          </cell>
          <cell r="J1030">
            <v>0</v>
          </cell>
          <cell r="M1030" t="str">
            <v>DE PRATI</v>
          </cell>
          <cell r="N1030" t="str">
            <v>GABRIELA D.</v>
          </cell>
        </row>
        <row r="1031">
          <cell r="C1031">
            <v>46059.340873611109</v>
          </cell>
          <cell r="D1031" t="str">
            <v>D25-4036</v>
          </cell>
          <cell r="G1031">
            <v>0</v>
          </cell>
          <cell r="I1031" t="str">
            <v>DAMA</v>
          </cell>
          <cell r="J1031">
            <v>0</v>
          </cell>
          <cell r="M1031" t="str">
            <v>ROLAND</v>
          </cell>
          <cell r="N1031" t="str">
            <v>GABRIELA D.</v>
          </cell>
        </row>
        <row r="1032">
          <cell r="C1032">
            <v>46065.364966898145</v>
          </cell>
          <cell r="D1032" t="str">
            <v>SIMP-061 HSOCK</v>
          </cell>
          <cell r="G1032">
            <v>0</v>
          </cell>
          <cell r="I1032" t="str">
            <v>CABALLERO</v>
          </cell>
          <cell r="J1032">
            <v>0</v>
          </cell>
          <cell r="M1032" t="str">
            <v>ARVAL</v>
          </cell>
          <cell r="N1032" t="str">
            <v>GABRIELA D.</v>
          </cell>
        </row>
        <row r="1033">
          <cell r="C1033">
            <v>46065.534252430552</v>
          </cell>
          <cell r="D1033" t="str">
            <v>D24-3447</v>
          </cell>
          <cell r="G1033">
            <v>0</v>
          </cell>
          <cell r="I1033" t="str">
            <v>DAMA</v>
          </cell>
          <cell r="J1033">
            <v>0</v>
          </cell>
          <cell r="M1033" t="str">
            <v>MEGAMAXI</v>
          </cell>
          <cell r="N1033" t="str">
            <v>GABRIELA D.</v>
          </cell>
        </row>
        <row r="1034">
          <cell r="C1034">
            <v>46071.509769675926</v>
          </cell>
          <cell r="D1034" t="str">
            <v>D25-4036 ROSA</v>
          </cell>
          <cell r="G1034">
            <v>0</v>
          </cell>
          <cell r="I1034" t="str">
            <v>DAMA</v>
          </cell>
          <cell r="J1034">
            <v>0</v>
          </cell>
          <cell r="M1034" t="str">
            <v>ROLAND</v>
          </cell>
          <cell r="N1034" t="str">
            <v>GABRIELA D.</v>
          </cell>
        </row>
        <row r="1035">
          <cell r="C1035">
            <v>46077.81211608796</v>
          </cell>
          <cell r="D1035" t="str">
            <v>D26-4136 ROSA</v>
          </cell>
          <cell r="G1035">
            <v>0</v>
          </cell>
          <cell r="I1035" t="str">
            <v>DAMA</v>
          </cell>
          <cell r="J1035">
            <v>0</v>
          </cell>
          <cell r="M1035" t="str">
            <v>DE PRATI</v>
          </cell>
          <cell r="N1035" t="str">
            <v>GABRIELA D.</v>
          </cell>
        </row>
        <row r="1036">
          <cell r="C1036">
            <v>46077.841145601851</v>
          </cell>
          <cell r="D1036" t="str">
            <v>D26-4141 AZUL</v>
          </cell>
          <cell r="G1036">
            <v>0</v>
          </cell>
          <cell r="I1036" t="str">
            <v>DAMA</v>
          </cell>
          <cell r="J1036">
            <v>0</v>
          </cell>
          <cell r="M1036" t="str">
            <v>DE PRATI</v>
          </cell>
          <cell r="N1036" t="str">
            <v>GABRIELA D.</v>
          </cell>
        </row>
        <row r="1037">
          <cell r="C1037">
            <v>46079.382431944447</v>
          </cell>
          <cell r="D1037" t="str">
            <v>MICYA-111 BEIGE</v>
          </cell>
          <cell r="G1037">
            <v>0</v>
          </cell>
          <cell r="I1037" t="str">
            <v>DAMA</v>
          </cell>
          <cell r="J1037">
            <v>0</v>
          </cell>
          <cell r="M1037" t="str">
            <v>MEGAMAXI</v>
          </cell>
          <cell r="N1037" t="str">
            <v>GABRIELA D.</v>
          </cell>
        </row>
        <row r="1038">
          <cell r="C1038">
            <v>46083.321716666665</v>
          </cell>
          <cell r="D1038" t="str">
            <v>H26-3529 GRIS</v>
          </cell>
          <cell r="G1038">
            <v>0</v>
          </cell>
          <cell r="I1038" t="str">
            <v>CABALLERO</v>
          </cell>
          <cell r="J1038">
            <v>0</v>
          </cell>
          <cell r="M1038" t="str">
            <v>ETAFASHION</v>
          </cell>
          <cell r="N1038" t="str">
            <v>GABRIELA D.</v>
          </cell>
        </row>
        <row r="1039">
          <cell r="C1039">
            <v>46083.358342013889</v>
          </cell>
          <cell r="D1039" t="str">
            <v>H24-3175 NEGRO</v>
          </cell>
          <cell r="G1039">
            <v>0</v>
          </cell>
          <cell r="I1039" t="str">
            <v>CABALLERO</v>
          </cell>
          <cell r="J1039">
            <v>0</v>
          </cell>
          <cell r="M1039" t="str">
            <v>ETAFASHION</v>
          </cell>
          <cell r="N1039" t="str">
            <v>SANTIAGO M.</v>
          </cell>
        </row>
        <row r="1040">
          <cell r="C1040">
            <v>46084.399101967596</v>
          </cell>
          <cell r="D1040" t="str">
            <v>G26-5088N</v>
          </cell>
          <cell r="G1040">
            <v>0</v>
          </cell>
          <cell r="I1040" t="str">
            <v>ESCOLAR NIÑO</v>
          </cell>
          <cell r="J1040">
            <v>0</v>
          </cell>
          <cell r="M1040" t="str">
            <v>ROLAND</v>
          </cell>
          <cell r="N1040" t="str">
            <v>SANTIAGO M.</v>
          </cell>
        </row>
        <row r="1041">
          <cell r="C1041">
            <v>46087.576997453703</v>
          </cell>
          <cell r="D1041" t="str">
            <v>H26-3522,</v>
          </cell>
          <cell r="G1041">
            <v>0</v>
          </cell>
          <cell r="I1041" t="str">
            <v>CABALLERO</v>
          </cell>
          <cell r="J1041">
            <v>0</v>
          </cell>
          <cell r="M1041" t="str">
            <v>GRAN AKI</v>
          </cell>
          <cell r="N1041" t="str">
            <v>SANTIAGO M.</v>
          </cell>
        </row>
        <row r="1042">
          <cell r="C1042">
            <v>46090.562576620374</v>
          </cell>
          <cell r="D1042" t="str">
            <v>H26-3520.</v>
          </cell>
          <cell r="G1042">
            <v>0</v>
          </cell>
          <cell r="I1042" t="str">
            <v>CABALLERO</v>
          </cell>
          <cell r="J1042">
            <v>0</v>
          </cell>
          <cell r="M1042" t="str">
            <v>GRAN AKI</v>
          </cell>
          <cell r="N1042" t="str">
            <v>SANTIAGO M.</v>
          </cell>
        </row>
        <row r="1043">
          <cell r="C1043">
            <v>46090.565392592594</v>
          </cell>
          <cell r="D1043" t="str">
            <v>H26-3512.</v>
          </cell>
          <cell r="G1043">
            <v>0</v>
          </cell>
          <cell r="I1043" t="str">
            <v>CABALLERO</v>
          </cell>
          <cell r="J1043">
            <v>0</v>
          </cell>
          <cell r="M1043" t="str">
            <v>GRAN AKI</v>
          </cell>
          <cell r="N1043" t="str">
            <v>SANTIAGO M.</v>
          </cell>
        </row>
        <row r="1044">
          <cell r="C1044">
            <v>46090.56666689815</v>
          </cell>
          <cell r="D1044" t="str">
            <v>N26-4027.</v>
          </cell>
          <cell r="G1044">
            <v>0</v>
          </cell>
          <cell r="I1044" t="str">
            <v>PREESCOLAR NIÑO</v>
          </cell>
          <cell r="J1044">
            <v>0</v>
          </cell>
          <cell r="M1044" t="str">
            <v>GRAN AKI</v>
          </cell>
          <cell r="N1044" t="str">
            <v>SANTIAGO M.</v>
          </cell>
        </row>
        <row r="1045">
          <cell r="C1045">
            <v>46090.57274826389</v>
          </cell>
          <cell r="D1045" t="str">
            <v>D26-4074.</v>
          </cell>
          <cell r="G1045">
            <v>0</v>
          </cell>
          <cell r="I1045" t="str">
            <v>DAMA</v>
          </cell>
          <cell r="J1045">
            <v>0</v>
          </cell>
          <cell r="M1045" t="str">
            <v>MEGAMAXI</v>
          </cell>
          <cell r="N1045" t="str">
            <v>SANTIAGO M.</v>
          </cell>
        </row>
        <row r="1046">
          <cell r="C1046">
            <v>46090.573680671296</v>
          </cell>
          <cell r="D1046" t="str">
            <v>D26-4100.</v>
          </cell>
          <cell r="G1046">
            <v>0</v>
          </cell>
          <cell r="I1046" t="str">
            <v>DAMA</v>
          </cell>
          <cell r="J1046">
            <v>0</v>
          </cell>
          <cell r="M1046" t="str">
            <v>MEGAMAXI</v>
          </cell>
          <cell r="N1046" t="str">
            <v>SANTIAGO M.</v>
          </cell>
        </row>
        <row r="1047">
          <cell r="C1047">
            <v>46090.574455787035</v>
          </cell>
          <cell r="D1047" t="str">
            <v>H26-3493.</v>
          </cell>
          <cell r="G1047">
            <v>0</v>
          </cell>
          <cell r="I1047" t="str">
            <v>CABALLERO</v>
          </cell>
          <cell r="J1047">
            <v>0</v>
          </cell>
          <cell r="M1047" t="str">
            <v>MEGAMAXI</v>
          </cell>
          <cell r="N1047" t="str">
            <v>SANTIAGO M.</v>
          </cell>
        </row>
        <row r="1048">
          <cell r="C1048">
            <v>46090.575672453706</v>
          </cell>
          <cell r="D1048" t="str">
            <v>H26-3499.</v>
          </cell>
          <cell r="G1048">
            <v>0</v>
          </cell>
          <cell r="I1048" t="str">
            <v>CABALLERO</v>
          </cell>
          <cell r="J1048">
            <v>0</v>
          </cell>
          <cell r="M1048" t="str">
            <v>MEGAMAXI</v>
          </cell>
          <cell r="N1048" t="str">
            <v>SANTIAGO M.</v>
          </cell>
        </row>
        <row r="1049">
          <cell r="C1049">
            <v>46090.577301273152</v>
          </cell>
          <cell r="D1049" t="str">
            <v>H26-3504.</v>
          </cell>
          <cell r="G1049">
            <v>0</v>
          </cell>
          <cell r="I1049" t="str">
            <v>CABALLERO</v>
          </cell>
          <cell r="J1049">
            <v>0</v>
          </cell>
          <cell r="M1049" t="str">
            <v>MEGAMAXI</v>
          </cell>
          <cell r="N1049" t="str">
            <v>SANTIAGO M.</v>
          </cell>
        </row>
        <row r="1050">
          <cell r="C1050">
            <v>46090.58028321759</v>
          </cell>
          <cell r="D1050" t="str">
            <v>N26-4015.</v>
          </cell>
          <cell r="G1050">
            <v>0</v>
          </cell>
          <cell r="I1050" t="str">
            <v>ESCOLAR NIÑO</v>
          </cell>
          <cell r="J1050">
            <v>0</v>
          </cell>
          <cell r="M1050" t="str">
            <v>MEGAMAXI</v>
          </cell>
          <cell r="N1050" t="str">
            <v>SANTIAGO M.</v>
          </cell>
        </row>
        <row r="1051">
          <cell r="C1051">
            <v>46090.582817361108</v>
          </cell>
          <cell r="D1051" t="str">
            <v>SPD-122.</v>
          </cell>
          <cell r="G1051">
            <v>0</v>
          </cell>
          <cell r="I1051" t="str">
            <v>ESCOLAR NIÑO</v>
          </cell>
          <cell r="J1051">
            <v>0</v>
          </cell>
          <cell r="M1051" t="str">
            <v>MEGAMAXI</v>
          </cell>
          <cell r="N1051" t="str">
            <v>SANTIAGO M.</v>
          </cell>
        </row>
        <row r="1052">
          <cell r="C1052">
            <v>46090.585659722223</v>
          </cell>
          <cell r="D1052" t="str">
            <v>SPY-014.</v>
          </cell>
          <cell r="G1052">
            <v>0</v>
          </cell>
          <cell r="I1052" t="str">
            <v>PREESCOLAR NIÑO</v>
          </cell>
          <cell r="J1052">
            <v>0</v>
          </cell>
          <cell r="M1052" t="str">
            <v>MEGAMAXI</v>
          </cell>
          <cell r="N1052" t="str">
            <v>SANTIAGO M.</v>
          </cell>
        </row>
        <row r="1053">
          <cell r="C1053">
            <v>46091.330396759258</v>
          </cell>
          <cell r="D1053" t="str">
            <v>D25-3798</v>
          </cell>
          <cell r="G1053">
            <v>0</v>
          </cell>
          <cell r="I1053" t="str">
            <v>DAMA</v>
          </cell>
          <cell r="J1053">
            <v>0</v>
          </cell>
          <cell r="M1053" t="str">
            <v>GRAN AKI</v>
          </cell>
          <cell r="N1053" t="str">
            <v>GABRIELA D.</v>
          </cell>
        </row>
        <row r="1054">
          <cell r="C1054">
            <v>46091.33262523148</v>
          </cell>
          <cell r="D1054" t="str">
            <v>D24-3447.</v>
          </cell>
          <cell r="G1054">
            <v>0</v>
          </cell>
          <cell r="I1054" t="str">
            <v>DAMA</v>
          </cell>
          <cell r="J1054">
            <v>0</v>
          </cell>
          <cell r="M1054" t="str">
            <v>MEGAMAXI</v>
          </cell>
          <cell r="N1054" t="str">
            <v>GABRIELA D.</v>
          </cell>
        </row>
        <row r="1055">
          <cell r="C1055">
            <v>46091.339539236113</v>
          </cell>
          <cell r="D1055" t="str">
            <v>D24-3710</v>
          </cell>
          <cell r="G1055">
            <v>0</v>
          </cell>
          <cell r="I1055" t="str">
            <v>DAMA</v>
          </cell>
          <cell r="J1055">
            <v>0</v>
          </cell>
          <cell r="M1055" t="str">
            <v>MEGAMAXI</v>
          </cell>
          <cell r="N1055" t="str">
            <v>GABRIELA D.</v>
          </cell>
        </row>
        <row r="1056">
          <cell r="C1056">
            <v>46091.342902430559</v>
          </cell>
          <cell r="D1056" t="str">
            <v>D26-4086.</v>
          </cell>
          <cell r="G1056">
            <v>0</v>
          </cell>
          <cell r="I1056" t="str">
            <v>DAMA</v>
          </cell>
          <cell r="J1056">
            <v>0</v>
          </cell>
          <cell r="M1056" t="str">
            <v>MEGAMAXI</v>
          </cell>
          <cell r="N1056" t="str">
            <v>GABRIELA D.</v>
          </cell>
        </row>
        <row r="1057">
          <cell r="C1057">
            <v>46091.344051967593</v>
          </cell>
          <cell r="D1057" t="str">
            <v>D26-4080.</v>
          </cell>
          <cell r="G1057">
            <v>0</v>
          </cell>
          <cell r="I1057" t="str">
            <v>DAMA</v>
          </cell>
          <cell r="J1057">
            <v>0</v>
          </cell>
          <cell r="M1057" t="str">
            <v>MEGAMAXI</v>
          </cell>
          <cell r="N1057" t="str">
            <v>GABRIELA D.</v>
          </cell>
        </row>
        <row r="1058">
          <cell r="C1058">
            <v>46091.346901620367</v>
          </cell>
          <cell r="D1058" t="str">
            <v>D25-4039</v>
          </cell>
          <cell r="G1058">
            <v>0</v>
          </cell>
          <cell r="I1058" t="str">
            <v>DAMA</v>
          </cell>
          <cell r="J1058">
            <v>0</v>
          </cell>
          <cell r="M1058" t="str">
            <v>MEGAMAXI</v>
          </cell>
          <cell r="N1058" t="str">
            <v>GABRIELA D.</v>
          </cell>
        </row>
        <row r="1059">
          <cell r="C1059">
            <v>46091.349611111109</v>
          </cell>
          <cell r="D1059" t="str">
            <v>H25-3358</v>
          </cell>
          <cell r="G1059">
            <v>0</v>
          </cell>
          <cell r="I1059" t="str">
            <v>DAMA</v>
          </cell>
          <cell r="J1059">
            <v>0</v>
          </cell>
          <cell r="M1059" t="str">
            <v>MEGAMAXI</v>
          </cell>
          <cell r="N1059" t="str">
            <v>GABRIELA D.</v>
          </cell>
        </row>
        <row r="1060">
          <cell r="C1060">
            <v>46097.494874537035</v>
          </cell>
          <cell r="D1060" t="str">
            <v>D26-4148.</v>
          </cell>
          <cell r="G1060">
            <v>0</v>
          </cell>
          <cell r="I1060" t="str">
            <v>DAMA</v>
          </cell>
          <cell r="J1060">
            <v>0</v>
          </cell>
          <cell r="M1060" t="str">
            <v>ROLAND</v>
          </cell>
          <cell r="N1060" t="str">
            <v>GABRIELA D.</v>
          </cell>
        </row>
        <row r="1061">
          <cell r="C1061">
            <v>46097.497718402781</v>
          </cell>
          <cell r="D1061" t="str">
            <v>D26-4149.</v>
          </cell>
          <cell r="G1061">
            <v>0</v>
          </cell>
          <cell r="I1061" t="str">
            <v>DAMA</v>
          </cell>
          <cell r="J1061">
            <v>0</v>
          </cell>
          <cell r="M1061" t="str">
            <v>ROLAND</v>
          </cell>
          <cell r="N1061" t="str">
            <v>GABRIELA D.</v>
          </cell>
        </row>
        <row r="1062">
          <cell r="C1062">
            <v>46097.498709027779</v>
          </cell>
          <cell r="D1062" t="str">
            <v>PRI-088.</v>
          </cell>
          <cell r="G1062">
            <v>0</v>
          </cell>
          <cell r="I1062" t="str">
            <v>ESCOLAR NIÑA</v>
          </cell>
          <cell r="J1062">
            <v>0</v>
          </cell>
          <cell r="M1062" t="str">
            <v>ROLAND</v>
          </cell>
          <cell r="N1062" t="str">
            <v>GABRIELA D.</v>
          </cell>
        </row>
        <row r="1063">
          <cell r="C1063">
            <v>46097.499638773152</v>
          </cell>
          <cell r="D1063" t="str">
            <v>D24-3427G</v>
          </cell>
          <cell r="G1063">
            <v>0</v>
          </cell>
          <cell r="I1063" t="str">
            <v>ESCOLAR NIÑA</v>
          </cell>
          <cell r="J1063">
            <v>0</v>
          </cell>
          <cell r="M1063" t="str">
            <v>RM</v>
          </cell>
          <cell r="N1063" t="str">
            <v>GABRIELA D.</v>
          </cell>
        </row>
        <row r="1064">
          <cell r="C1064">
            <v>46097.503064930555</v>
          </cell>
          <cell r="D1064" t="str">
            <v>H26-3534.</v>
          </cell>
          <cell r="G1064">
            <v>0</v>
          </cell>
          <cell r="I1064" t="str">
            <v>CABALLERO</v>
          </cell>
          <cell r="J1064">
            <v>0</v>
          </cell>
          <cell r="M1064" t="str">
            <v>ROLAND</v>
          </cell>
          <cell r="N1064" t="str">
            <v>SANTIAGO M.</v>
          </cell>
        </row>
        <row r="1065">
          <cell r="C1065">
            <v>46097.509102083335</v>
          </cell>
          <cell r="D1065" t="str">
            <v>H26-3534N</v>
          </cell>
          <cell r="G1065">
            <v>0</v>
          </cell>
          <cell r="I1065" t="str">
            <v>ESCOLAR NIÑO</v>
          </cell>
          <cell r="J1065">
            <v>0</v>
          </cell>
          <cell r="M1065" t="str">
            <v>ROLAND</v>
          </cell>
          <cell r="N1065" t="str">
            <v>SANTIAGO M.</v>
          </cell>
        </row>
        <row r="1066">
          <cell r="C1066">
            <v>46097.512942013891</v>
          </cell>
          <cell r="D1066" t="str">
            <v>G26-5088.</v>
          </cell>
          <cell r="G1066">
            <v>0</v>
          </cell>
          <cell r="I1066" t="str">
            <v>ESCOLAR NIÑA</v>
          </cell>
          <cell r="J1066">
            <v>0</v>
          </cell>
          <cell r="M1066" t="str">
            <v>ROLAND</v>
          </cell>
          <cell r="N1066" t="str">
            <v>SANTIAGO M.</v>
          </cell>
        </row>
        <row r="1067">
          <cell r="C1067">
            <v>46097.517385995372</v>
          </cell>
          <cell r="D1067" t="str">
            <v>H26-3536.</v>
          </cell>
          <cell r="G1067">
            <v>0</v>
          </cell>
          <cell r="I1067" t="str">
            <v>CABALLERO</v>
          </cell>
          <cell r="J1067">
            <v>0</v>
          </cell>
          <cell r="M1067" t="str">
            <v>ROLAND</v>
          </cell>
          <cell r="N1067" t="str">
            <v>SANTIAGO M.</v>
          </cell>
        </row>
        <row r="1068">
          <cell r="C1068">
            <v>46097.747888425925</v>
          </cell>
          <cell r="D1068" t="str">
            <v>D26-4127 ABIERTA</v>
          </cell>
          <cell r="G1068">
            <v>0</v>
          </cell>
          <cell r="I1068" t="str">
            <v>DAMA</v>
          </cell>
          <cell r="J1068">
            <v>0</v>
          </cell>
          <cell r="M1068" t="str">
            <v>ROSADO</v>
          </cell>
          <cell r="N1068" t="str">
            <v>GABRIELA D.</v>
          </cell>
        </row>
        <row r="1069">
          <cell r="C1069">
            <v>46099.489303819442</v>
          </cell>
          <cell r="D1069" t="str">
            <v>CAR-008.</v>
          </cell>
          <cell r="G1069">
            <v>0</v>
          </cell>
          <cell r="I1069" t="str">
            <v>ESCOLAR NIÑO</v>
          </cell>
          <cell r="J1069">
            <v>0</v>
          </cell>
          <cell r="M1069" t="str">
            <v>ROLAND</v>
          </cell>
          <cell r="N1069" t="str">
            <v>GABRIELA D.</v>
          </cell>
        </row>
        <row r="1070">
          <cell r="C1070">
            <v>46099.520591087959</v>
          </cell>
          <cell r="D1070" t="str">
            <v>H24-3175.</v>
          </cell>
          <cell r="G1070">
            <v>0</v>
          </cell>
          <cell r="I1070" t="str">
            <v>CABALLERO</v>
          </cell>
          <cell r="J1070">
            <v>0</v>
          </cell>
          <cell r="M1070" t="str">
            <v>ETAFASHION</v>
          </cell>
          <cell r="N1070" t="str">
            <v>SANTIAGO M.</v>
          </cell>
        </row>
        <row r="1071">
          <cell r="C1071">
            <v>46100.68876863426</v>
          </cell>
          <cell r="D1071" t="str">
            <v>N26-4003.</v>
          </cell>
          <cell r="G1071">
            <v>0</v>
          </cell>
          <cell r="I1071" t="str">
            <v>PREESCOLAR NIÑO</v>
          </cell>
          <cell r="J1071">
            <v>0</v>
          </cell>
          <cell r="M1071" t="str">
            <v>ROSADO</v>
          </cell>
          <cell r="N1071" t="str">
            <v>SANTIAGO M.</v>
          </cell>
        </row>
        <row r="1072">
          <cell r="C1072">
            <v>46100.693633333336</v>
          </cell>
          <cell r="D1072" t="str">
            <v>N25-3967</v>
          </cell>
          <cell r="G1072">
            <v>0</v>
          </cell>
          <cell r="I1072" t="str">
            <v>PREESCOLAR NIÑO</v>
          </cell>
          <cell r="J1072">
            <v>0</v>
          </cell>
          <cell r="M1072" t="str">
            <v>ROSADO</v>
          </cell>
          <cell r="N1072" t="str">
            <v>SANTIAGO M.</v>
          </cell>
        </row>
        <row r="1073">
          <cell r="C1073">
            <v>46100.698594444446</v>
          </cell>
          <cell r="D1073" t="str">
            <v>N25-3891</v>
          </cell>
          <cell r="G1073">
            <v>0</v>
          </cell>
          <cell r="I1073" t="str">
            <v>PREESCOLAR NIÑO</v>
          </cell>
          <cell r="J1073">
            <v>0</v>
          </cell>
          <cell r="M1073" t="str">
            <v>ROSADO</v>
          </cell>
          <cell r="N1073" t="str">
            <v>SANTIAGO M.</v>
          </cell>
        </row>
        <row r="1074">
          <cell r="C1074">
            <v>46100.701927430557</v>
          </cell>
          <cell r="D1074" t="str">
            <v>MIC-088</v>
          </cell>
          <cell r="G1074">
            <v>0</v>
          </cell>
          <cell r="I1074" t="str">
            <v>ESCOLAR NIÑO</v>
          </cell>
          <cell r="J1074">
            <v>0</v>
          </cell>
          <cell r="M1074" t="str">
            <v>ROSADO</v>
          </cell>
          <cell r="N1074" t="str">
            <v>SANTIAGO M.</v>
          </cell>
        </row>
        <row r="1075">
          <cell r="C1075">
            <v>46100.702653472224</v>
          </cell>
          <cell r="D1075" t="str">
            <v>AVA-075</v>
          </cell>
          <cell r="G1075">
            <v>0</v>
          </cell>
          <cell r="I1075" t="str">
            <v>ESCOLAR NIÑO</v>
          </cell>
          <cell r="J1075">
            <v>0</v>
          </cell>
          <cell r="M1075" t="str">
            <v>ROSADO</v>
          </cell>
          <cell r="N1075" t="str">
            <v>SANTIAGO M.</v>
          </cell>
        </row>
        <row r="1076">
          <cell r="C1076">
            <v>46100.706398726848</v>
          </cell>
          <cell r="D1076" t="str">
            <v>MIC-085</v>
          </cell>
          <cell r="G1076">
            <v>0</v>
          </cell>
          <cell r="I1076" t="str">
            <v>PREESCOLAR NIÑO</v>
          </cell>
          <cell r="J1076">
            <v>0</v>
          </cell>
          <cell r="M1076" t="str">
            <v>ROSADO</v>
          </cell>
          <cell r="N1076" t="str">
            <v>SANTIAGO M.</v>
          </cell>
        </row>
        <row r="1077">
          <cell r="C1077">
            <v>46104.327814699071</v>
          </cell>
          <cell r="D1077" t="str">
            <v>D26-4116.</v>
          </cell>
          <cell r="G1077">
            <v>0</v>
          </cell>
          <cell r="I1077" t="str">
            <v>DAMA</v>
          </cell>
          <cell r="J1077">
            <v>0</v>
          </cell>
          <cell r="M1077" t="str">
            <v>RM</v>
          </cell>
          <cell r="N1077" t="str">
            <v>GABRIELA D.</v>
          </cell>
        </row>
        <row r="1078">
          <cell r="C1078">
            <v>46104.328715625001</v>
          </cell>
          <cell r="D1078" t="str">
            <v>D25-3987</v>
          </cell>
          <cell r="G1078">
            <v>0</v>
          </cell>
          <cell r="I1078" t="str">
            <v>DAMA</v>
          </cell>
          <cell r="J1078">
            <v>0</v>
          </cell>
          <cell r="M1078" t="str">
            <v>RM</v>
          </cell>
          <cell r="N1078" t="str">
            <v>GABRIELA D.</v>
          </cell>
        </row>
        <row r="1079">
          <cell r="C1079">
            <v>46104.355912500003</v>
          </cell>
          <cell r="D1079" t="str">
            <v>G24-4886.</v>
          </cell>
          <cell r="G1079">
            <v>0</v>
          </cell>
          <cell r="I1079" t="str">
            <v>ESCOLAR NIÑA</v>
          </cell>
          <cell r="J1079">
            <v>0</v>
          </cell>
          <cell r="M1079" t="str">
            <v>RM</v>
          </cell>
          <cell r="N1079" t="str">
            <v>GABRIELA D.</v>
          </cell>
        </row>
        <row r="1080">
          <cell r="C1080">
            <v>46104.395073032407</v>
          </cell>
          <cell r="D1080" t="str">
            <v>D26-4170G</v>
          </cell>
          <cell r="G1080">
            <v>0</v>
          </cell>
          <cell r="I1080" t="str">
            <v>ESCOLAR NIÑA</v>
          </cell>
          <cell r="J1080">
            <v>0</v>
          </cell>
          <cell r="M1080" t="str">
            <v>RM</v>
          </cell>
          <cell r="N1080" t="str">
            <v>GABRIELA D.</v>
          </cell>
        </row>
        <row r="1081">
          <cell r="C1081">
            <v>46104.40315416667</v>
          </cell>
          <cell r="D1081" t="str">
            <v>D26-4171G</v>
          </cell>
          <cell r="G1081">
            <v>0</v>
          </cell>
          <cell r="I1081" t="str">
            <v>ESCOLAR NIÑA</v>
          </cell>
          <cell r="J1081">
            <v>0</v>
          </cell>
          <cell r="M1081" t="str">
            <v>RM</v>
          </cell>
          <cell r="N1081" t="str">
            <v>GABRIELA D.</v>
          </cell>
        </row>
        <row r="1082">
          <cell r="C1082">
            <v>46105.477657060183</v>
          </cell>
          <cell r="D1082" t="str">
            <v>N25-3885.</v>
          </cell>
          <cell r="G1082">
            <v>0</v>
          </cell>
          <cell r="I1082" t="str">
            <v>PREESCOLAR NIÑO</v>
          </cell>
          <cell r="J1082">
            <v>0</v>
          </cell>
          <cell r="M1082" t="str">
            <v>ROSADO</v>
          </cell>
          <cell r="N1082" t="str">
            <v>GABRIELA D.</v>
          </cell>
        </row>
        <row r="1083">
          <cell r="C1083">
            <v>46105.479274189813</v>
          </cell>
          <cell r="D1083" t="str">
            <v>G25-4976</v>
          </cell>
          <cell r="G1083">
            <v>0</v>
          </cell>
          <cell r="I1083" t="str">
            <v>PREESCOLAR NIÑO</v>
          </cell>
          <cell r="J1083">
            <v>0</v>
          </cell>
          <cell r="M1083" t="str">
            <v>ROSADO</v>
          </cell>
          <cell r="N1083" t="str">
            <v>GABRIELA D.</v>
          </cell>
        </row>
        <row r="1084">
          <cell r="C1084">
            <v>46105.482125000002</v>
          </cell>
          <cell r="D1084" t="str">
            <v>MIC-089.</v>
          </cell>
          <cell r="G1084">
            <v>0</v>
          </cell>
          <cell r="I1084" t="str">
            <v>PREESCOLAR NIÑO</v>
          </cell>
          <cell r="J1084">
            <v>0</v>
          </cell>
          <cell r="M1084" t="str">
            <v>ROSADO</v>
          </cell>
          <cell r="N1084" t="str">
            <v>GABRIELA D.</v>
          </cell>
        </row>
        <row r="1085">
          <cell r="C1085">
            <v>46105.484367824072</v>
          </cell>
          <cell r="D1085" t="str">
            <v>TOY-009.</v>
          </cell>
          <cell r="G1085">
            <v>0</v>
          </cell>
          <cell r="I1085" t="str">
            <v>PREESCOLAR NIÑO</v>
          </cell>
          <cell r="J1085">
            <v>0</v>
          </cell>
          <cell r="M1085" t="str">
            <v>ROSADO</v>
          </cell>
          <cell r="N1085" t="str">
            <v>GABRIELA D.</v>
          </cell>
        </row>
        <row r="1086">
          <cell r="C1086">
            <v>46105.486838425924</v>
          </cell>
          <cell r="D1086" t="str">
            <v>DALM-009.</v>
          </cell>
          <cell r="G1086">
            <v>0</v>
          </cell>
          <cell r="I1086" t="str">
            <v>PREESCOLAR NIÑA</v>
          </cell>
          <cell r="J1086">
            <v>0</v>
          </cell>
          <cell r="M1086" t="str">
            <v>ROSADO</v>
          </cell>
          <cell r="N1086" t="str">
            <v>GABRIELA D.</v>
          </cell>
        </row>
        <row r="1087">
          <cell r="C1087">
            <v>46105.489281249997</v>
          </cell>
          <cell r="D1087" t="str">
            <v>MOA-0003</v>
          </cell>
          <cell r="G1087">
            <v>0</v>
          </cell>
          <cell r="I1087" t="str">
            <v>PREESCOLAR NIÑA</v>
          </cell>
          <cell r="J1087">
            <v>0</v>
          </cell>
          <cell r="M1087" t="str">
            <v>ROSADO</v>
          </cell>
          <cell r="N1087" t="str">
            <v>GABRIELA D.</v>
          </cell>
        </row>
        <row r="1088">
          <cell r="C1088">
            <v>46111.555809837962</v>
          </cell>
          <cell r="D1088" t="str">
            <v>H26-3549N</v>
          </cell>
          <cell r="G1088">
            <v>0</v>
          </cell>
          <cell r="I1088" t="str">
            <v>ESCOLAR NIÑO</v>
          </cell>
          <cell r="J1088">
            <v>0</v>
          </cell>
          <cell r="M1088" t="str">
            <v>RM</v>
          </cell>
          <cell r="N1088" t="str">
            <v>SANTIAGO M.</v>
          </cell>
        </row>
        <row r="1089">
          <cell r="C1089">
            <v>46111.576520717594</v>
          </cell>
          <cell r="D1089" t="str">
            <v>H26-3550N</v>
          </cell>
          <cell r="G1089">
            <v>0</v>
          </cell>
          <cell r="I1089" t="str">
            <v>ESCOLAR NIÑO</v>
          </cell>
          <cell r="J1089">
            <v>0</v>
          </cell>
          <cell r="M1089" t="str">
            <v>RM</v>
          </cell>
          <cell r="N1089" t="str">
            <v>SANTIAGO M.</v>
          </cell>
        </row>
        <row r="1090">
          <cell r="C1090">
            <v>46111.576520717594</v>
          </cell>
          <cell r="D1090" t="str">
            <v>H26-3551N</v>
          </cell>
          <cell r="G1090">
            <v>0</v>
          </cell>
          <cell r="I1090" t="str">
            <v>ESCOLAR NIÑO</v>
          </cell>
          <cell r="J1090">
            <v>0</v>
          </cell>
          <cell r="M1090" t="str">
            <v>RM</v>
          </cell>
          <cell r="N1090" t="str">
            <v>SANTIAGO M.</v>
          </cell>
        </row>
        <row r="1091">
          <cell r="C1091">
            <v>46112.676094560185</v>
          </cell>
          <cell r="D1091" t="str">
            <v>D25-3957ESC</v>
          </cell>
          <cell r="G1091">
            <v>0</v>
          </cell>
          <cell r="I1091" t="str">
            <v>ESCOLAR NIÑA</v>
          </cell>
          <cell r="J1091">
            <v>0</v>
          </cell>
          <cell r="M1091" t="str">
            <v>CMO</v>
          </cell>
          <cell r="N1091" t="str">
            <v>GABRIELA D.</v>
          </cell>
        </row>
        <row r="1092">
          <cell r="C1092">
            <v>46120.380237037039</v>
          </cell>
          <cell r="D1092" t="str">
            <v>N26-4023.</v>
          </cell>
          <cell r="G1092">
            <v>0</v>
          </cell>
          <cell r="I1092" t="str">
            <v>ESCOLAR NIÑO</v>
          </cell>
          <cell r="J1092">
            <v>0</v>
          </cell>
          <cell r="M1092" t="str">
            <v>CMO</v>
          </cell>
          <cell r="N1092" t="str">
            <v>SANTIAGO M.</v>
          </cell>
        </row>
        <row r="1093">
          <cell r="C1093">
            <v>46125.404988425929</v>
          </cell>
          <cell r="D1093" t="str">
            <v>SPIYA-023</v>
          </cell>
          <cell r="G1093">
            <v>0</v>
          </cell>
          <cell r="I1093" t="str">
            <v>CABALLERO</v>
          </cell>
          <cell r="J1093">
            <v>0</v>
          </cell>
          <cell r="M1093" t="str">
            <v>RM</v>
          </cell>
          <cell r="N1093" t="str">
            <v>SANTIAGO M.</v>
          </cell>
        </row>
        <row r="1094">
          <cell r="C1094">
            <v>46125.405044675928</v>
          </cell>
          <cell r="D1094" t="str">
            <v>DEAYA-020</v>
          </cell>
          <cell r="G1094">
            <v>0</v>
          </cell>
          <cell r="I1094" t="str">
            <v>CABALLERO</v>
          </cell>
          <cell r="J1094">
            <v>0</v>
          </cell>
          <cell r="M1094" t="str">
            <v>RM</v>
          </cell>
          <cell r="N1094" t="str">
            <v>SANTIAGO M.</v>
          </cell>
        </row>
        <row r="1095">
          <cell r="C1095">
            <v>46126.676603125001</v>
          </cell>
          <cell r="D1095" t="str">
            <v>HT1</v>
          </cell>
          <cell r="G1095">
            <v>0</v>
          </cell>
          <cell r="I1095" t="str">
            <v>DAMA</v>
          </cell>
          <cell r="J1095">
            <v>0</v>
          </cell>
          <cell r="M1095" t="str">
            <v>CMO</v>
          </cell>
          <cell r="N1095" t="str">
            <v>GABRIELA D.</v>
          </cell>
        </row>
        <row r="1096">
          <cell r="C1096">
            <v>46126.676879050923</v>
          </cell>
          <cell r="D1096" t="str">
            <v>HT2</v>
          </cell>
          <cell r="G1096">
            <v>0</v>
          </cell>
          <cell r="I1096" t="str">
            <v>ESCOLAR NIÑA</v>
          </cell>
          <cell r="J1096">
            <v>0</v>
          </cell>
          <cell r="M1096" t="str">
            <v>CMO</v>
          </cell>
          <cell r="N1096" t="str">
            <v>GABRIELA D.</v>
          </cell>
        </row>
        <row r="1097">
          <cell r="C1097">
            <v>46126.731147685183</v>
          </cell>
          <cell r="D1097" t="str">
            <v>PRI-089.</v>
          </cell>
          <cell r="G1097">
            <v>0</v>
          </cell>
          <cell r="I1097" t="str">
            <v>ESCOLAR NIÑA</v>
          </cell>
          <cell r="J1097">
            <v>0</v>
          </cell>
          <cell r="M1097" t="str">
            <v>ROLAND</v>
          </cell>
          <cell r="N1097" t="str">
            <v>GABRIELA D.</v>
          </cell>
        </row>
        <row r="1098">
          <cell r="C1098">
            <v>46127.699856250001</v>
          </cell>
          <cell r="D1098" t="str">
            <v>H26-3569 AZUL</v>
          </cell>
          <cell r="G1098">
            <v>0</v>
          </cell>
          <cell r="I1098" t="str">
            <v>CABALLERO</v>
          </cell>
          <cell r="J1098">
            <v>0</v>
          </cell>
          <cell r="M1098" t="str">
            <v>ROLAND</v>
          </cell>
          <cell r="N1098" t="str">
            <v>SANTIAGO M.</v>
          </cell>
        </row>
        <row r="1099">
          <cell r="C1099">
            <v>46127.72017453704</v>
          </cell>
          <cell r="D1099" t="str">
            <v>H26-35710 CHOCOLATE</v>
          </cell>
          <cell r="G1099">
            <v>0</v>
          </cell>
          <cell r="I1099" t="str">
            <v>CABALLERO</v>
          </cell>
          <cell r="J1099">
            <v>0</v>
          </cell>
          <cell r="M1099" t="str">
            <v>ROLAND</v>
          </cell>
          <cell r="N1099" t="str">
            <v>SANTIAGO M.</v>
          </cell>
        </row>
        <row r="1100">
          <cell r="C1100">
            <v>46135.366480439814</v>
          </cell>
          <cell r="D1100" t="str">
            <v>D26-4169 CAFÉ</v>
          </cell>
          <cell r="G1100">
            <v>0</v>
          </cell>
          <cell r="I1100" t="str">
            <v>DAMA</v>
          </cell>
          <cell r="J1100">
            <v>0</v>
          </cell>
          <cell r="M1100" t="str">
            <v>ROLAND</v>
          </cell>
          <cell r="N1100" t="str">
            <v>GABRIELA D.</v>
          </cell>
        </row>
        <row r="1101">
          <cell r="C1101">
            <v>46135.667586574076</v>
          </cell>
          <cell r="D1101" t="str">
            <v>H26-3584 CAFÉ</v>
          </cell>
          <cell r="G1101">
            <v>0</v>
          </cell>
          <cell r="I1101" t="str">
            <v>CABALLERO</v>
          </cell>
          <cell r="J1101">
            <v>0</v>
          </cell>
          <cell r="M1101" t="str">
            <v>ROLAND</v>
          </cell>
          <cell r="N1101" t="str">
            <v>SANTIAGO M.</v>
          </cell>
        </row>
        <row r="1102">
          <cell r="C1102">
            <v>46136.680593055557</v>
          </cell>
          <cell r="D1102" t="str">
            <v>H26-3585 NEGRO</v>
          </cell>
          <cell r="G1102">
            <v>0</v>
          </cell>
          <cell r="I1102" t="str">
            <v>CABALLERO</v>
          </cell>
          <cell r="J1102">
            <v>0</v>
          </cell>
          <cell r="M1102" t="str">
            <v>SOCKIES</v>
          </cell>
          <cell r="N1102" t="str">
            <v>SANTIAGO M.</v>
          </cell>
        </row>
        <row r="1103">
          <cell r="C1103">
            <v>46136.684176388888</v>
          </cell>
          <cell r="D1103" t="str">
            <v>H26-3585 CAMEL</v>
          </cell>
          <cell r="G1103">
            <v>0</v>
          </cell>
          <cell r="I1103" t="str">
            <v>CABALLERO</v>
          </cell>
          <cell r="J1103">
            <v>0</v>
          </cell>
          <cell r="M1103" t="str">
            <v>SOCKIES</v>
          </cell>
          <cell r="N1103" t="str">
            <v>SANTIAGO M.</v>
          </cell>
        </row>
        <row r="1104">
          <cell r="C1104">
            <v>46136.698589930558</v>
          </cell>
          <cell r="D1104" t="str">
            <v>H26-3586 GRIS</v>
          </cell>
          <cell r="G1104">
            <v>0</v>
          </cell>
          <cell r="I1104" t="str">
            <v>CABALLERO</v>
          </cell>
          <cell r="J1104">
            <v>0</v>
          </cell>
          <cell r="M1104" t="str">
            <v>SOCKIES</v>
          </cell>
          <cell r="N1104" t="str">
            <v>SANTIAGO M.</v>
          </cell>
        </row>
        <row r="1105">
          <cell r="C1105">
            <v>46136.698668865742</v>
          </cell>
          <cell r="D1105" t="str">
            <v>H26-3586 AZUL</v>
          </cell>
          <cell r="G1105">
            <v>0</v>
          </cell>
          <cell r="I1105" t="str">
            <v>CABALLERO</v>
          </cell>
          <cell r="J1105">
            <v>0</v>
          </cell>
          <cell r="M1105" t="str">
            <v>SOCKIES</v>
          </cell>
          <cell r="N1105" t="str">
            <v>SANTIAGO M.</v>
          </cell>
        </row>
        <row r="1106">
          <cell r="C1106">
            <v>46136.698851967594</v>
          </cell>
          <cell r="D1106" t="str">
            <v>H26-3586 CAMEL</v>
          </cell>
          <cell r="G1106">
            <v>0</v>
          </cell>
          <cell r="I1106" t="str">
            <v>CABALLERO</v>
          </cell>
          <cell r="J1106">
            <v>0</v>
          </cell>
          <cell r="M1106" t="str">
            <v>SOCKIES</v>
          </cell>
          <cell r="N1106" t="str">
            <v>SANTIAGO M.</v>
          </cell>
        </row>
        <row r="1107">
          <cell r="C1107">
            <v>46139.477057638891</v>
          </cell>
          <cell r="D1107" t="str">
            <v>H26-3587 CELESTE</v>
          </cell>
          <cell r="G1107">
            <v>0</v>
          </cell>
          <cell r="I1107" t="str">
            <v>CABALLERO</v>
          </cell>
          <cell r="J1107">
            <v>0</v>
          </cell>
          <cell r="M1107" t="str">
            <v>ROLAND</v>
          </cell>
          <cell r="N1107" t="str">
            <v>SANTIAGO M.</v>
          </cell>
        </row>
        <row r="1108">
          <cell r="C1108">
            <v>46139.502829976853</v>
          </cell>
          <cell r="D1108" t="str">
            <v>H26-3588 GRIS CLARO</v>
          </cell>
          <cell r="G1108">
            <v>0</v>
          </cell>
          <cell r="I1108" t="str">
            <v>CABALLERO</v>
          </cell>
          <cell r="J1108">
            <v>0</v>
          </cell>
          <cell r="M1108" t="str">
            <v>ROLAND</v>
          </cell>
          <cell r="N1108" t="str">
            <v>SANTIAGO M.</v>
          </cell>
        </row>
        <row r="1109">
          <cell r="C1109">
            <v>46139.542942361113</v>
          </cell>
          <cell r="D1109" t="str">
            <v>D26-4192 ROSADO</v>
          </cell>
          <cell r="G1109">
            <v>0</v>
          </cell>
          <cell r="I1109" t="str">
            <v>DAMA</v>
          </cell>
          <cell r="J1109">
            <v>0</v>
          </cell>
          <cell r="M1109" t="str">
            <v>SOCKIES</v>
          </cell>
          <cell r="N1109" t="str">
            <v>SANTIAGO M.</v>
          </cell>
        </row>
        <row r="1110">
          <cell r="C1110">
            <v>46139.577854513889</v>
          </cell>
          <cell r="D1110" t="str">
            <v>D26-4192 AZUL</v>
          </cell>
          <cell r="G1110">
            <v>0</v>
          </cell>
          <cell r="I1110" t="str">
            <v>DAMA</v>
          </cell>
          <cell r="J1110">
            <v>0</v>
          </cell>
          <cell r="M1110" t="str">
            <v>SOCKIES</v>
          </cell>
          <cell r="N1110" t="str">
            <v>SANTIAGO M.</v>
          </cell>
        </row>
        <row r="1111">
          <cell r="C1111">
            <v>46139.587410879627</v>
          </cell>
          <cell r="D1111" t="str">
            <v>D26-4193 LILA</v>
          </cell>
          <cell r="G1111">
            <v>0</v>
          </cell>
          <cell r="I1111" t="str">
            <v>DAMA</v>
          </cell>
          <cell r="J1111">
            <v>0</v>
          </cell>
          <cell r="M1111" t="str">
            <v>SOCKIES</v>
          </cell>
          <cell r="N1111" t="str">
            <v>SANTIAGO M.</v>
          </cell>
        </row>
        <row r="1112">
          <cell r="C1112">
            <v>46139.588497685188</v>
          </cell>
          <cell r="D1112" t="str">
            <v>D26-5293 BEIGE</v>
          </cell>
          <cell r="G1112">
            <v>0</v>
          </cell>
          <cell r="I1112" t="str">
            <v>DAMA</v>
          </cell>
          <cell r="J1112">
            <v>0</v>
          </cell>
          <cell r="M1112" t="str">
            <v>SOCKIES</v>
          </cell>
          <cell r="N1112" t="str">
            <v>SANTIAGO M.</v>
          </cell>
        </row>
        <row r="1113">
          <cell r="C1113">
            <v>46139.612772106484</v>
          </cell>
          <cell r="D1113" t="str">
            <v>D26-4194 ROSA</v>
          </cell>
          <cell r="G1113">
            <v>0</v>
          </cell>
          <cell r="I1113" t="str">
            <v>DAMA</v>
          </cell>
          <cell r="J1113">
            <v>0</v>
          </cell>
          <cell r="M1113" t="str">
            <v>SOCKIES</v>
          </cell>
          <cell r="N1113" t="str">
            <v>SANTIAGO M.</v>
          </cell>
        </row>
        <row r="1114">
          <cell r="C1114">
            <v>46139.614978935184</v>
          </cell>
          <cell r="D1114" t="str">
            <v>D26-4194 GRIS CLARO</v>
          </cell>
          <cell r="G1114">
            <v>0</v>
          </cell>
          <cell r="I1114" t="str">
            <v>DAMA</v>
          </cell>
          <cell r="J1114">
            <v>0</v>
          </cell>
          <cell r="M1114" t="str">
            <v>SOCKIES</v>
          </cell>
          <cell r="N1114" t="str">
            <v>SANTIAGO M.</v>
          </cell>
        </row>
        <row r="1115">
          <cell r="C1115" t="str">
            <v/>
          </cell>
          <cell r="D1115">
            <v>0</v>
          </cell>
          <cell r="G1115">
            <v>0</v>
          </cell>
          <cell r="I1115">
            <v>0</v>
          </cell>
          <cell r="J1115">
            <v>0</v>
          </cell>
          <cell r="M1115">
            <v>0</v>
          </cell>
          <cell r="N1115">
            <v>0</v>
          </cell>
        </row>
        <row r="1116">
          <cell r="C1116" t="str">
            <v/>
          </cell>
          <cell r="D1116">
            <v>0</v>
          </cell>
          <cell r="G1116">
            <v>0</v>
          </cell>
          <cell r="I1116">
            <v>0</v>
          </cell>
          <cell r="J1116">
            <v>0</v>
          </cell>
          <cell r="M1116">
            <v>0</v>
          </cell>
          <cell r="N1116">
            <v>0</v>
          </cell>
        </row>
        <row r="1117">
          <cell r="C1117" t="str">
            <v/>
          </cell>
          <cell r="D1117">
            <v>0</v>
          </cell>
          <cell r="G1117">
            <v>0</v>
          </cell>
          <cell r="I1117">
            <v>0</v>
          </cell>
          <cell r="J1117">
            <v>0</v>
          </cell>
          <cell r="M1117">
            <v>0</v>
          </cell>
          <cell r="N1117">
            <v>0</v>
          </cell>
        </row>
        <row r="1118">
          <cell r="C1118" t="str">
            <v/>
          </cell>
          <cell r="D1118">
            <v>0</v>
          </cell>
          <cell r="G1118">
            <v>0</v>
          </cell>
          <cell r="I1118">
            <v>0</v>
          </cell>
          <cell r="J1118">
            <v>0</v>
          </cell>
          <cell r="M1118">
            <v>0</v>
          </cell>
          <cell r="N1118">
            <v>0</v>
          </cell>
        </row>
        <row r="1119">
          <cell r="C1119" t="str">
            <v/>
          </cell>
          <cell r="D1119">
            <v>0</v>
          </cell>
          <cell r="G1119">
            <v>0</v>
          </cell>
          <cell r="I1119">
            <v>0</v>
          </cell>
          <cell r="J1119">
            <v>0</v>
          </cell>
          <cell r="M1119">
            <v>0</v>
          </cell>
          <cell r="N1119">
            <v>0</v>
          </cell>
        </row>
        <row r="1120">
          <cell r="C1120" t="str">
            <v/>
          </cell>
          <cell r="D1120">
            <v>0</v>
          </cell>
          <cell r="G1120">
            <v>0</v>
          </cell>
          <cell r="I1120">
            <v>0</v>
          </cell>
          <cell r="J1120">
            <v>0</v>
          </cell>
          <cell r="M1120">
            <v>0</v>
          </cell>
          <cell r="N1120">
            <v>0</v>
          </cell>
        </row>
        <row r="1121">
          <cell r="C1121" t="str">
            <v/>
          </cell>
          <cell r="D1121">
            <v>0</v>
          </cell>
          <cell r="G1121">
            <v>0</v>
          </cell>
          <cell r="I1121">
            <v>0</v>
          </cell>
          <cell r="J1121">
            <v>0</v>
          </cell>
          <cell r="M1121">
            <v>0</v>
          </cell>
          <cell r="N1121">
            <v>0</v>
          </cell>
        </row>
        <row r="1122">
          <cell r="C1122" t="str">
            <v/>
          </cell>
          <cell r="D1122">
            <v>0</v>
          </cell>
          <cell r="G1122">
            <v>0</v>
          </cell>
          <cell r="I1122">
            <v>0</v>
          </cell>
          <cell r="J1122">
            <v>0</v>
          </cell>
          <cell r="M1122">
            <v>0</v>
          </cell>
          <cell r="N1122">
            <v>0</v>
          </cell>
        </row>
        <row r="1123">
          <cell r="C1123" t="str">
            <v/>
          </cell>
          <cell r="D1123">
            <v>0</v>
          </cell>
          <cell r="G1123">
            <v>0</v>
          </cell>
          <cell r="I1123">
            <v>0</v>
          </cell>
          <cell r="J1123">
            <v>0</v>
          </cell>
          <cell r="M1123">
            <v>0</v>
          </cell>
          <cell r="N1123">
            <v>0</v>
          </cell>
        </row>
        <row r="1124">
          <cell r="C1124" t="str">
            <v/>
          </cell>
          <cell r="D1124">
            <v>0</v>
          </cell>
          <cell r="G1124">
            <v>0</v>
          </cell>
          <cell r="I1124">
            <v>0</v>
          </cell>
          <cell r="J1124">
            <v>0</v>
          </cell>
          <cell r="M1124">
            <v>0</v>
          </cell>
          <cell r="N1124">
            <v>0</v>
          </cell>
        </row>
        <row r="1125">
          <cell r="C1125" t="str">
            <v/>
          </cell>
          <cell r="D1125">
            <v>0</v>
          </cell>
          <cell r="G1125">
            <v>0</v>
          </cell>
          <cell r="I1125">
            <v>0</v>
          </cell>
          <cell r="J1125">
            <v>0</v>
          </cell>
          <cell r="M1125">
            <v>0</v>
          </cell>
          <cell r="N1125">
            <v>0</v>
          </cell>
        </row>
        <row r="1126">
          <cell r="C1126" t="str">
            <v/>
          </cell>
          <cell r="D1126">
            <v>0</v>
          </cell>
          <cell r="G1126">
            <v>0</v>
          </cell>
          <cell r="I1126">
            <v>0</v>
          </cell>
          <cell r="J1126">
            <v>0</v>
          </cell>
          <cell r="M1126">
            <v>0</v>
          </cell>
          <cell r="N1126">
            <v>0</v>
          </cell>
        </row>
        <row r="1127">
          <cell r="C1127" t="str">
            <v/>
          </cell>
          <cell r="D1127">
            <v>0</v>
          </cell>
          <cell r="G1127">
            <v>0</v>
          </cell>
          <cell r="I1127">
            <v>0</v>
          </cell>
          <cell r="J1127">
            <v>0</v>
          </cell>
          <cell r="M1127">
            <v>0</v>
          </cell>
          <cell r="N1127">
            <v>0</v>
          </cell>
        </row>
        <row r="1128">
          <cell r="C1128" t="str">
            <v/>
          </cell>
          <cell r="D1128">
            <v>0</v>
          </cell>
          <cell r="G1128">
            <v>0</v>
          </cell>
          <cell r="I1128">
            <v>0</v>
          </cell>
          <cell r="J1128">
            <v>0</v>
          </cell>
          <cell r="M1128">
            <v>0</v>
          </cell>
          <cell r="N1128">
            <v>0</v>
          </cell>
        </row>
        <row r="1129">
          <cell r="C1129" t="str">
            <v/>
          </cell>
          <cell r="D1129">
            <v>0</v>
          </cell>
          <cell r="G1129">
            <v>0</v>
          </cell>
          <cell r="I1129">
            <v>0</v>
          </cell>
          <cell r="J1129">
            <v>0</v>
          </cell>
          <cell r="M1129">
            <v>0</v>
          </cell>
          <cell r="N1129">
            <v>0</v>
          </cell>
        </row>
        <row r="1130">
          <cell r="C1130" t="str">
            <v/>
          </cell>
          <cell r="D1130">
            <v>0</v>
          </cell>
          <cell r="G1130">
            <v>0</v>
          </cell>
          <cell r="I1130">
            <v>0</v>
          </cell>
          <cell r="J1130">
            <v>0</v>
          </cell>
          <cell r="M1130">
            <v>0</v>
          </cell>
          <cell r="N1130">
            <v>0</v>
          </cell>
        </row>
        <row r="1131">
          <cell r="C1131" t="str">
            <v/>
          </cell>
          <cell r="D1131">
            <v>0</v>
          </cell>
          <cell r="G1131">
            <v>0</v>
          </cell>
          <cell r="I1131">
            <v>0</v>
          </cell>
          <cell r="J1131">
            <v>0</v>
          </cell>
          <cell r="M1131">
            <v>0</v>
          </cell>
          <cell r="N1131">
            <v>0</v>
          </cell>
        </row>
        <row r="1132">
          <cell r="C1132" t="str">
            <v/>
          </cell>
          <cell r="D1132">
            <v>0</v>
          </cell>
          <cell r="G1132">
            <v>0</v>
          </cell>
          <cell r="I1132">
            <v>0</v>
          </cell>
          <cell r="J1132">
            <v>0</v>
          </cell>
          <cell r="M1132">
            <v>0</v>
          </cell>
          <cell r="N1132">
            <v>0</v>
          </cell>
        </row>
        <row r="1133">
          <cell r="C1133" t="str">
            <v/>
          </cell>
          <cell r="D1133">
            <v>0</v>
          </cell>
          <cell r="G1133">
            <v>0</v>
          </cell>
          <cell r="I1133">
            <v>0</v>
          </cell>
          <cell r="J1133">
            <v>0</v>
          </cell>
          <cell r="M1133">
            <v>0</v>
          </cell>
          <cell r="N1133">
            <v>0</v>
          </cell>
        </row>
        <row r="1134">
          <cell r="C1134" t="str">
            <v/>
          </cell>
          <cell r="D1134">
            <v>0</v>
          </cell>
          <cell r="G1134">
            <v>0</v>
          </cell>
          <cell r="I1134">
            <v>0</v>
          </cell>
          <cell r="J1134">
            <v>0</v>
          </cell>
          <cell r="M1134">
            <v>0</v>
          </cell>
          <cell r="N1134">
            <v>0</v>
          </cell>
        </row>
        <row r="1135">
          <cell r="C1135" t="str">
            <v/>
          </cell>
          <cell r="D1135">
            <v>0</v>
          </cell>
          <cell r="G1135">
            <v>0</v>
          </cell>
          <cell r="I1135">
            <v>0</v>
          </cell>
          <cell r="J1135">
            <v>0</v>
          </cell>
          <cell r="M1135">
            <v>0</v>
          </cell>
          <cell r="N1135">
            <v>0</v>
          </cell>
        </row>
        <row r="1136">
          <cell r="C1136" t="str">
            <v/>
          </cell>
          <cell r="D1136">
            <v>0</v>
          </cell>
          <cell r="G1136">
            <v>0</v>
          </cell>
          <cell r="I1136">
            <v>0</v>
          </cell>
          <cell r="J1136">
            <v>0</v>
          </cell>
          <cell r="M1136">
            <v>0</v>
          </cell>
          <cell r="N1136">
            <v>0</v>
          </cell>
        </row>
        <row r="1137">
          <cell r="C1137" t="str">
            <v/>
          </cell>
          <cell r="D1137">
            <v>0</v>
          </cell>
          <cell r="G1137">
            <v>0</v>
          </cell>
          <cell r="I1137">
            <v>0</v>
          </cell>
          <cell r="J1137">
            <v>0</v>
          </cell>
          <cell r="M1137">
            <v>0</v>
          </cell>
          <cell r="N1137">
            <v>0</v>
          </cell>
        </row>
        <row r="1138">
          <cell r="C1138" t="str">
            <v/>
          </cell>
          <cell r="D1138">
            <v>0</v>
          </cell>
          <cell r="G1138">
            <v>0</v>
          </cell>
          <cell r="I1138">
            <v>0</v>
          </cell>
          <cell r="J1138">
            <v>0</v>
          </cell>
          <cell r="M1138">
            <v>0</v>
          </cell>
          <cell r="N1138">
            <v>0</v>
          </cell>
        </row>
        <row r="1139">
          <cell r="C1139" t="str">
            <v/>
          </cell>
          <cell r="D1139">
            <v>0</v>
          </cell>
          <cell r="G1139">
            <v>0</v>
          </cell>
          <cell r="I1139">
            <v>0</v>
          </cell>
          <cell r="J1139">
            <v>0</v>
          </cell>
          <cell r="M1139">
            <v>0</v>
          </cell>
          <cell r="N1139">
            <v>0</v>
          </cell>
        </row>
        <row r="1140">
          <cell r="C1140" t="str">
            <v/>
          </cell>
          <cell r="D1140">
            <v>0</v>
          </cell>
          <cell r="G1140">
            <v>0</v>
          </cell>
          <cell r="I1140">
            <v>0</v>
          </cell>
          <cell r="J1140">
            <v>0</v>
          </cell>
          <cell r="M1140">
            <v>0</v>
          </cell>
          <cell r="N1140">
            <v>0</v>
          </cell>
        </row>
        <row r="1141">
          <cell r="C1141" t="str">
            <v/>
          </cell>
          <cell r="D1141">
            <v>0</v>
          </cell>
          <cell r="G1141">
            <v>0</v>
          </cell>
          <cell r="I1141">
            <v>0</v>
          </cell>
          <cell r="J1141">
            <v>0</v>
          </cell>
          <cell r="M1141">
            <v>0</v>
          </cell>
          <cell r="N1141">
            <v>0</v>
          </cell>
        </row>
        <row r="1142">
          <cell r="C1142" t="str">
            <v/>
          </cell>
          <cell r="D1142">
            <v>0</v>
          </cell>
          <cell r="G1142">
            <v>0</v>
          </cell>
          <cell r="I1142">
            <v>0</v>
          </cell>
          <cell r="J1142">
            <v>0</v>
          </cell>
          <cell r="M1142">
            <v>0</v>
          </cell>
          <cell r="N1142">
            <v>0</v>
          </cell>
        </row>
        <row r="1143">
          <cell r="C1143" t="str">
            <v/>
          </cell>
          <cell r="D1143">
            <v>0</v>
          </cell>
          <cell r="G1143">
            <v>0</v>
          </cell>
          <cell r="I1143">
            <v>0</v>
          </cell>
          <cell r="J1143">
            <v>0</v>
          </cell>
          <cell r="M1143">
            <v>0</v>
          </cell>
          <cell r="N1143">
            <v>0</v>
          </cell>
        </row>
        <row r="1144">
          <cell r="C1144" t="str">
            <v/>
          </cell>
          <cell r="D1144">
            <v>0</v>
          </cell>
          <cell r="G1144">
            <v>0</v>
          </cell>
          <cell r="I1144">
            <v>0</v>
          </cell>
          <cell r="J1144">
            <v>0</v>
          </cell>
          <cell r="M1144">
            <v>0</v>
          </cell>
          <cell r="N1144">
            <v>0</v>
          </cell>
        </row>
        <row r="1145">
          <cell r="C1145" t="str">
            <v/>
          </cell>
          <cell r="D1145">
            <v>0</v>
          </cell>
          <cell r="G1145">
            <v>0</v>
          </cell>
          <cell r="I1145">
            <v>0</v>
          </cell>
          <cell r="J1145">
            <v>0</v>
          </cell>
          <cell r="M1145">
            <v>0</v>
          </cell>
          <cell r="N1145">
            <v>0</v>
          </cell>
        </row>
        <row r="1146">
          <cell r="C1146" t="str">
            <v/>
          </cell>
          <cell r="D1146">
            <v>0</v>
          </cell>
          <cell r="G1146">
            <v>0</v>
          </cell>
          <cell r="I1146">
            <v>0</v>
          </cell>
          <cell r="J1146">
            <v>0</v>
          </cell>
          <cell r="M1146">
            <v>0</v>
          </cell>
          <cell r="N1146">
            <v>0</v>
          </cell>
        </row>
        <row r="1147">
          <cell r="C1147" t="str">
            <v/>
          </cell>
          <cell r="D1147">
            <v>0</v>
          </cell>
          <cell r="G1147">
            <v>0</v>
          </cell>
          <cell r="I1147">
            <v>0</v>
          </cell>
          <cell r="J1147">
            <v>0</v>
          </cell>
          <cell r="M1147">
            <v>0</v>
          </cell>
          <cell r="N1147">
            <v>0</v>
          </cell>
        </row>
        <row r="1148">
          <cell r="C1148" t="str">
            <v/>
          </cell>
          <cell r="D1148">
            <v>0</v>
          </cell>
          <cell r="G1148">
            <v>0</v>
          </cell>
          <cell r="I1148">
            <v>0</v>
          </cell>
          <cell r="J1148">
            <v>0</v>
          </cell>
          <cell r="M1148">
            <v>0</v>
          </cell>
          <cell r="N1148">
            <v>0</v>
          </cell>
        </row>
        <row r="1149">
          <cell r="C1149" t="str">
            <v/>
          </cell>
          <cell r="D1149">
            <v>0</v>
          </cell>
          <cell r="G1149">
            <v>0</v>
          </cell>
          <cell r="I1149">
            <v>0</v>
          </cell>
          <cell r="J1149">
            <v>0</v>
          </cell>
          <cell r="M1149">
            <v>0</v>
          </cell>
          <cell r="N1149">
            <v>0</v>
          </cell>
        </row>
        <row r="1150">
          <cell r="C1150" t="str">
            <v/>
          </cell>
          <cell r="D1150">
            <v>0</v>
          </cell>
          <cell r="G1150">
            <v>0</v>
          </cell>
          <cell r="I1150">
            <v>0</v>
          </cell>
          <cell r="J1150">
            <v>0</v>
          </cell>
          <cell r="M1150">
            <v>0</v>
          </cell>
          <cell r="N1150">
            <v>0</v>
          </cell>
        </row>
        <row r="1151">
          <cell r="C1151" t="str">
            <v/>
          </cell>
          <cell r="D1151">
            <v>0</v>
          </cell>
          <cell r="G1151">
            <v>0</v>
          </cell>
          <cell r="I1151">
            <v>0</v>
          </cell>
          <cell r="J1151">
            <v>0</v>
          </cell>
          <cell r="M1151">
            <v>0</v>
          </cell>
          <cell r="N1151">
            <v>0</v>
          </cell>
        </row>
        <row r="1152">
          <cell r="C1152" t="str">
            <v/>
          </cell>
          <cell r="D1152">
            <v>0</v>
          </cell>
          <cell r="G1152">
            <v>0</v>
          </cell>
          <cell r="I1152">
            <v>0</v>
          </cell>
          <cell r="J1152">
            <v>0</v>
          </cell>
          <cell r="M1152">
            <v>0</v>
          </cell>
          <cell r="N1152">
            <v>0</v>
          </cell>
        </row>
        <row r="1153">
          <cell r="C1153" t="str">
            <v/>
          </cell>
          <cell r="D1153">
            <v>0</v>
          </cell>
          <cell r="G1153">
            <v>0</v>
          </cell>
          <cell r="I1153">
            <v>0</v>
          </cell>
          <cell r="J1153">
            <v>0</v>
          </cell>
          <cell r="M1153">
            <v>0</v>
          </cell>
          <cell r="N1153">
            <v>0</v>
          </cell>
        </row>
        <row r="1154">
          <cell r="C1154" t="str">
            <v/>
          </cell>
          <cell r="D1154">
            <v>0</v>
          </cell>
          <cell r="G1154">
            <v>0</v>
          </cell>
          <cell r="I1154">
            <v>0</v>
          </cell>
          <cell r="J1154">
            <v>0</v>
          </cell>
          <cell r="M1154">
            <v>0</v>
          </cell>
          <cell r="N1154">
            <v>0</v>
          </cell>
        </row>
        <row r="1155">
          <cell r="C1155" t="str">
            <v/>
          </cell>
          <cell r="D1155">
            <v>0</v>
          </cell>
          <cell r="G1155">
            <v>0</v>
          </cell>
          <cell r="I1155">
            <v>0</v>
          </cell>
          <cell r="J1155">
            <v>0</v>
          </cell>
          <cell r="M1155">
            <v>0</v>
          </cell>
          <cell r="N1155">
            <v>0</v>
          </cell>
        </row>
        <row r="1156">
          <cell r="C1156" t="str">
            <v/>
          </cell>
          <cell r="D1156">
            <v>0</v>
          </cell>
          <cell r="G1156">
            <v>0</v>
          </cell>
          <cell r="I1156">
            <v>0</v>
          </cell>
          <cell r="J1156">
            <v>0</v>
          </cell>
          <cell r="M1156">
            <v>0</v>
          </cell>
          <cell r="N1156">
            <v>0</v>
          </cell>
        </row>
        <row r="1157">
          <cell r="C1157" t="str">
            <v/>
          </cell>
          <cell r="D1157">
            <v>0</v>
          </cell>
          <cell r="G1157">
            <v>0</v>
          </cell>
          <cell r="I1157">
            <v>0</v>
          </cell>
          <cell r="J1157">
            <v>0</v>
          </cell>
          <cell r="M1157">
            <v>0</v>
          </cell>
          <cell r="N1157">
            <v>0</v>
          </cell>
        </row>
        <row r="1158">
          <cell r="C1158" t="str">
            <v/>
          </cell>
          <cell r="D1158">
            <v>0</v>
          </cell>
          <cell r="G1158">
            <v>0</v>
          </cell>
          <cell r="I1158">
            <v>0</v>
          </cell>
          <cell r="J1158">
            <v>0</v>
          </cell>
          <cell r="M1158">
            <v>0</v>
          </cell>
          <cell r="N1158">
            <v>0</v>
          </cell>
        </row>
        <row r="1159">
          <cell r="C1159" t="str">
            <v/>
          </cell>
          <cell r="D1159">
            <v>0</v>
          </cell>
          <cell r="G1159">
            <v>0</v>
          </cell>
          <cell r="I1159">
            <v>0</v>
          </cell>
          <cell r="J1159">
            <v>0</v>
          </cell>
          <cell r="M1159">
            <v>0</v>
          </cell>
          <cell r="N1159">
            <v>0</v>
          </cell>
        </row>
        <row r="1160">
          <cell r="C1160" t="str">
            <v/>
          </cell>
          <cell r="D1160">
            <v>0</v>
          </cell>
          <cell r="G1160">
            <v>0</v>
          </cell>
          <cell r="I1160">
            <v>0</v>
          </cell>
          <cell r="J1160">
            <v>0</v>
          </cell>
          <cell r="M1160">
            <v>0</v>
          </cell>
          <cell r="N1160">
            <v>0</v>
          </cell>
        </row>
        <row r="1161">
          <cell r="C1161" t="str">
            <v/>
          </cell>
          <cell r="D1161">
            <v>0</v>
          </cell>
          <cell r="G1161">
            <v>0</v>
          </cell>
          <cell r="I1161">
            <v>0</v>
          </cell>
          <cell r="J1161">
            <v>0</v>
          </cell>
          <cell r="M1161">
            <v>0</v>
          </cell>
          <cell r="N1161">
            <v>0</v>
          </cell>
        </row>
        <row r="1162">
          <cell r="C1162" t="str">
            <v/>
          </cell>
          <cell r="D1162">
            <v>0</v>
          </cell>
          <cell r="G1162">
            <v>0</v>
          </cell>
          <cell r="I1162">
            <v>0</v>
          </cell>
          <cell r="J1162">
            <v>0</v>
          </cell>
          <cell r="M1162">
            <v>0</v>
          </cell>
          <cell r="N1162">
            <v>0</v>
          </cell>
        </row>
        <row r="1163">
          <cell r="C1163" t="str">
            <v/>
          </cell>
          <cell r="D1163">
            <v>0</v>
          </cell>
          <cell r="G1163">
            <v>0</v>
          </cell>
          <cell r="I1163">
            <v>0</v>
          </cell>
          <cell r="J1163">
            <v>0</v>
          </cell>
          <cell r="M1163">
            <v>0</v>
          </cell>
          <cell r="N1163">
            <v>0</v>
          </cell>
        </row>
        <row r="1164">
          <cell r="C1164" t="str">
            <v/>
          </cell>
          <cell r="D1164">
            <v>0</v>
          </cell>
          <cell r="G1164">
            <v>0</v>
          </cell>
          <cell r="I1164">
            <v>0</v>
          </cell>
          <cell r="J1164">
            <v>0</v>
          </cell>
          <cell r="M1164">
            <v>0</v>
          </cell>
          <cell r="N1164">
            <v>0</v>
          </cell>
        </row>
        <row r="1165">
          <cell r="C1165" t="str">
            <v/>
          </cell>
          <cell r="D1165">
            <v>0</v>
          </cell>
          <cell r="G1165">
            <v>0</v>
          </cell>
          <cell r="I1165">
            <v>0</v>
          </cell>
          <cell r="J1165">
            <v>0</v>
          </cell>
          <cell r="M1165">
            <v>0</v>
          </cell>
          <cell r="N1165">
            <v>0</v>
          </cell>
        </row>
        <row r="1166">
          <cell r="C1166" t="str">
            <v/>
          </cell>
          <cell r="D1166">
            <v>0</v>
          </cell>
          <cell r="G1166">
            <v>0</v>
          </cell>
          <cell r="I1166">
            <v>0</v>
          </cell>
          <cell r="J1166">
            <v>0</v>
          </cell>
          <cell r="M1166">
            <v>0</v>
          </cell>
          <cell r="N1166">
            <v>0</v>
          </cell>
        </row>
        <row r="1167">
          <cell r="C1167" t="str">
            <v/>
          </cell>
          <cell r="D1167">
            <v>0</v>
          </cell>
          <cell r="G1167">
            <v>0</v>
          </cell>
          <cell r="I1167">
            <v>0</v>
          </cell>
          <cell r="J1167">
            <v>0</v>
          </cell>
          <cell r="M1167">
            <v>0</v>
          </cell>
          <cell r="N1167">
            <v>0</v>
          </cell>
        </row>
        <row r="1168">
          <cell r="C1168" t="str">
            <v/>
          </cell>
          <cell r="D1168">
            <v>0</v>
          </cell>
          <cell r="G1168">
            <v>0</v>
          </cell>
          <cell r="I1168">
            <v>0</v>
          </cell>
          <cell r="J1168">
            <v>0</v>
          </cell>
          <cell r="M1168">
            <v>0</v>
          </cell>
          <cell r="N1168">
            <v>0</v>
          </cell>
        </row>
        <row r="1169">
          <cell r="C1169" t="str">
            <v/>
          </cell>
          <cell r="D1169">
            <v>0</v>
          </cell>
          <cell r="G1169">
            <v>0</v>
          </cell>
          <cell r="I1169">
            <v>0</v>
          </cell>
          <cell r="J1169">
            <v>0</v>
          </cell>
          <cell r="M1169">
            <v>0</v>
          </cell>
          <cell r="N1169">
            <v>0</v>
          </cell>
        </row>
        <row r="1170">
          <cell r="C1170" t="str">
            <v/>
          </cell>
          <cell r="D1170">
            <v>0</v>
          </cell>
          <cell r="G1170">
            <v>0</v>
          </cell>
          <cell r="I1170">
            <v>0</v>
          </cell>
          <cell r="J1170">
            <v>0</v>
          </cell>
          <cell r="M1170">
            <v>0</v>
          </cell>
          <cell r="N1170">
            <v>0</v>
          </cell>
        </row>
        <row r="1171">
          <cell r="C1171" t="str">
            <v/>
          </cell>
          <cell r="D1171">
            <v>0</v>
          </cell>
          <cell r="G1171">
            <v>0</v>
          </cell>
          <cell r="I1171">
            <v>0</v>
          </cell>
          <cell r="J1171">
            <v>0</v>
          </cell>
          <cell r="M1171">
            <v>0</v>
          </cell>
          <cell r="N1171">
            <v>0</v>
          </cell>
        </row>
        <row r="1172">
          <cell r="C1172" t="str">
            <v/>
          </cell>
          <cell r="D1172">
            <v>0</v>
          </cell>
          <cell r="G1172">
            <v>0</v>
          </cell>
          <cell r="I1172">
            <v>0</v>
          </cell>
          <cell r="J1172">
            <v>0</v>
          </cell>
          <cell r="M1172">
            <v>0</v>
          </cell>
          <cell r="N1172">
            <v>0</v>
          </cell>
        </row>
        <row r="1173">
          <cell r="C1173" t="str">
            <v/>
          </cell>
          <cell r="D1173">
            <v>0</v>
          </cell>
          <cell r="G1173">
            <v>0</v>
          </cell>
          <cell r="I1173">
            <v>0</v>
          </cell>
          <cell r="J1173">
            <v>0</v>
          </cell>
          <cell r="M1173">
            <v>0</v>
          </cell>
          <cell r="N1173">
            <v>0</v>
          </cell>
        </row>
        <row r="1174">
          <cell r="C1174" t="str">
            <v/>
          </cell>
          <cell r="D1174">
            <v>0</v>
          </cell>
          <cell r="G1174">
            <v>0</v>
          </cell>
          <cell r="I1174">
            <v>0</v>
          </cell>
          <cell r="J1174">
            <v>0</v>
          </cell>
          <cell r="M1174">
            <v>0</v>
          </cell>
          <cell r="N1174">
            <v>0</v>
          </cell>
        </row>
        <row r="1175">
          <cell r="C1175" t="str">
            <v/>
          </cell>
          <cell r="D1175">
            <v>0</v>
          </cell>
          <cell r="G1175">
            <v>0</v>
          </cell>
          <cell r="I1175">
            <v>0</v>
          </cell>
          <cell r="J1175">
            <v>0</v>
          </cell>
          <cell r="M1175">
            <v>0</v>
          </cell>
          <cell r="N1175">
            <v>0</v>
          </cell>
        </row>
        <row r="1176">
          <cell r="C1176" t="str">
            <v/>
          </cell>
          <cell r="D1176">
            <v>0</v>
          </cell>
          <cell r="G1176">
            <v>0</v>
          </cell>
          <cell r="I1176">
            <v>0</v>
          </cell>
          <cell r="J1176">
            <v>0</v>
          </cell>
          <cell r="M1176">
            <v>0</v>
          </cell>
          <cell r="N1176">
            <v>0</v>
          </cell>
        </row>
        <row r="1177">
          <cell r="C1177" t="str">
            <v/>
          </cell>
          <cell r="D1177">
            <v>0</v>
          </cell>
          <cell r="G1177">
            <v>0</v>
          </cell>
          <cell r="I1177">
            <v>0</v>
          </cell>
          <cell r="J1177">
            <v>0</v>
          </cell>
          <cell r="M1177">
            <v>0</v>
          </cell>
          <cell r="N1177">
            <v>0</v>
          </cell>
        </row>
        <row r="1178">
          <cell r="C1178" t="str">
            <v/>
          </cell>
          <cell r="D1178">
            <v>0</v>
          </cell>
          <cell r="G1178">
            <v>0</v>
          </cell>
          <cell r="I1178">
            <v>0</v>
          </cell>
          <cell r="J1178">
            <v>0</v>
          </cell>
          <cell r="M1178">
            <v>0</v>
          </cell>
          <cell r="N1178">
            <v>0</v>
          </cell>
        </row>
        <row r="1179">
          <cell r="C1179" t="str">
            <v/>
          </cell>
          <cell r="D1179">
            <v>0</v>
          </cell>
          <cell r="G1179">
            <v>0</v>
          </cell>
          <cell r="I1179">
            <v>0</v>
          </cell>
          <cell r="J1179">
            <v>0</v>
          </cell>
          <cell r="M1179">
            <v>0</v>
          </cell>
          <cell r="N1179">
            <v>0</v>
          </cell>
        </row>
        <row r="1180">
          <cell r="C1180" t="str">
            <v/>
          </cell>
          <cell r="D1180">
            <v>0</v>
          </cell>
          <cell r="G1180">
            <v>0</v>
          </cell>
          <cell r="I1180">
            <v>0</v>
          </cell>
          <cell r="J1180">
            <v>0</v>
          </cell>
          <cell r="M1180">
            <v>0</v>
          </cell>
          <cell r="N1180">
            <v>0</v>
          </cell>
        </row>
        <row r="1181">
          <cell r="C1181" t="str">
            <v/>
          </cell>
          <cell r="D1181">
            <v>0</v>
          </cell>
          <cell r="G1181">
            <v>0</v>
          </cell>
          <cell r="I1181">
            <v>0</v>
          </cell>
          <cell r="J1181">
            <v>0</v>
          </cell>
          <cell r="M1181">
            <v>0</v>
          </cell>
          <cell r="N1181">
            <v>0</v>
          </cell>
        </row>
        <row r="1182">
          <cell r="C1182" t="str">
            <v/>
          </cell>
          <cell r="D1182">
            <v>0</v>
          </cell>
          <cell r="G1182">
            <v>0</v>
          </cell>
          <cell r="I1182">
            <v>0</v>
          </cell>
          <cell r="J1182">
            <v>0</v>
          </cell>
          <cell r="M1182">
            <v>0</v>
          </cell>
          <cell r="N1182">
            <v>0</v>
          </cell>
        </row>
        <row r="1183">
          <cell r="C1183" t="str">
            <v/>
          </cell>
          <cell r="D1183">
            <v>0</v>
          </cell>
          <cell r="G1183">
            <v>0</v>
          </cell>
          <cell r="I1183">
            <v>0</v>
          </cell>
          <cell r="J1183">
            <v>0</v>
          </cell>
          <cell r="M1183">
            <v>0</v>
          </cell>
          <cell r="N1183">
            <v>0</v>
          </cell>
        </row>
        <row r="1184">
          <cell r="C1184" t="str">
            <v/>
          </cell>
          <cell r="D1184">
            <v>0</v>
          </cell>
          <cell r="G1184">
            <v>0</v>
          </cell>
          <cell r="I1184">
            <v>0</v>
          </cell>
          <cell r="J1184">
            <v>0</v>
          </cell>
          <cell r="M1184">
            <v>0</v>
          </cell>
          <cell r="N1184">
            <v>0</v>
          </cell>
        </row>
        <row r="1185">
          <cell r="C1185" t="str">
            <v/>
          </cell>
          <cell r="D1185">
            <v>0</v>
          </cell>
          <cell r="G1185">
            <v>0</v>
          </cell>
          <cell r="I1185">
            <v>0</v>
          </cell>
          <cell r="J1185">
            <v>0</v>
          </cell>
          <cell r="M1185">
            <v>0</v>
          </cell>
          <cell r="N1185">
            <v>0</v>
          </cell>
        </row>
        <row r="1186">
          <cell r="C1186" t="str">
            <v/>
          </cell>
          <cell r="D1186">
            <v>0</v>
          </cell>
          <cell r="G1186">
            <v>0</v>
          </cell>
          <cell r="I1186">
            <v>0</v>
          </cell>
          <cell r="J1186">
            <v>0</v>
          </cell>
          <cell r="M1186">
            <v>0</v>
          </cell>
          <cell r="N1186">
            <v>0</v>
          </cell>
        </row>
        <row r="1187">
          <cell r="C1187" t="str">
            <v/>
          </cell>
          <cell r="D1187">
            <v>0</v>
          </cell>
          <cell r="G1187">
            <v>0</v>
          </cell>
          <cell r="I1187">
            <v>0</v>
          </cell>
          <cell r="J1187">
            <v>0</v>
          </cell>
          <cell r="M1187">
            <v>0</v>
          </cell>
          <cell r="N1187">
            <v>0</v>
          </cell>
        </row>
        <row r="1188">
          <cell r="C1188" t="str">
            <v/>
          </cell>
          <cell r="D1188">
            <v>0</v>
          </cell>
          <cell r="G1188">
            <v>0</v>
          </cell>
          <cell r="I1188">
            <v>0</v>
          </cell>
          <cell r="J1188">
            <v>0</v>
          </cell>
          <cell r="M1188">
            <v>0</v>
          </cell>
          <cell r="N1188">
            <v>0</v>
          </cell>
        </row>
        <row r="1189">
          <cell r="C1189" t="str">
            <v/>
          </cell>
          <cell r="D1189">
            <v>0</v>
          </cell>
          <cell r="G1189">
            <v>0</v>
          </cell>
          <cell r="I1189">
            <v>0</v>
          </cell>
          <cell r="J1189">
            <v>0</v>
          </cell>
          <cell r="M1189">
            <v>0</v>
          </cell>
          <cell r="N1189">
            <v>0</v>
          </cell>
        </row>
        <row r="1190">
          <cell r="C1190" t="str">
            <v/>
          </cell>
          <cell r="D1190">
            <v>0</v>
          </cell>
          <cell r="G1190">
            <v>0</v>
          </cell>
          <cell r="I1190">
            <v>0</v>
          </cell>
          <cell r="J1190">
            <v>0</v>
          </cell>
          <cell r="M1190">
            <v>0</v>
          </cell>
          <cell r="N1190">
            <v>0</v>
          </cell>
        </row>
        <row r="1191">
          <cell r="C1191" t="str">
            <v/>
          </cell>
          <cell r="D1191">
            <v>0</v>
          </cell>
          <cell r="G1191">
            <v>0</v>
          </cell>
          <cell r="I1191">
            <v>0</v>
          </cell>
          <cell r="J1191">
            <v>0</v>
          </cell>
          <cell r="M1191">
            <v>0</v>
          </cell>
          <cell r="N1191">
            <v>0</v>
          </cell>
        </row>
        <row r="1192">
          <cell r="C1192" t="str">
            <v/>
          </cell>
          <cell r="D1192">
            <v>0</v>
          </cell>
          <cell r="G1192">
            <v>0</v>
          </cell>
          <cell r="I1192">
            <v>0</v>
          </cell>
          <cell r="J1192">
            <v>0</v>
          </cell>
          <cell r="M1192">
            <v>0</v>
          </cell>
          <cell r="N1192">
            <v>0</v>
          </cell>
        </row>
        <row r="1193">
          <cell r="C1193" t="str">
            <v/>
          </cell>
          <cell r="D1193">
            <v>0</v>
          </cell>
          <cell r="G1193">
            <v>0</v>
          </cell>
          <cell r="I1193">
            <v>0</v>
          </cell>
          <cell r="J1193">
            <v>0</v>
          </cell>
          <cell r="M1193">
            <v>0</v>
          </cell>
          <cell r="N1193">
            <v>0</v>
          </cell>
        </row>
        <row r="1194">
          <cell r="C1194" t="str">
            <v/>
          </cell>
          <cell r="D1194">
            <v>0</v>
          </cell>
          <cell r="G1194">
            <v>0</v>
          </cell>
          <cell r="I1194">
            <v>0</v>
          </cell>
          <cell r="J1194">
            <v>0</v>
          </cell>
          <cell r="M1194">
            <v>0</v>
          </cell>
          <cell r="N1194">
            <v>0</v>
          </cell>
        </row>
        <row r="1195">
          <cell r="C1195" t="str">
            <v/>
          </cell>
          <cell r="D1195">
            <v>0</v>
          </cell>
          <cell r="G1195">
            <v>0</v>
          </cell>
          <cell r="I1195">
            <v>0</v>
          </cell>
          <cell r="J1195">
            <v>0</v>
          </cell>
          <cell r="M1195">
            <v>0</v>
          </cell>
          <cell r="N1195">
            <v>0</v>
          </cell>
        </row>
        <row r="1196">
          <cell r="C1196" t="str">
            <v/>
          </cell>
          <cell r="D1196">
            <v>0</v>
          </cell>
          <cell r="G1196">
            <v>0</v>
          </cell>
          <cell r="I1196">
            <v>0</v>
          </cell>
          <cell r="J1196">
            <v>0</v>
          </cell>
          <cell r="M1196">
            <v>0</v>
          </cell>
          <cell r="N1196">
            <v>0</v>
          </cell>
        </row>
        <row r="1197">
          <cell r="C1197" t="str">
            <v/>
          </cell>
          <cell r="D1197">
            <v>0</v>
          </cell>
          <cell r="G1197">
            <v>0</v>
          </cell>
          <cell r="I1197">
            <v>0</v>
          </cell>
          <cell r="J1197">
            <v>0</v>
          </cell>
          <cell r="M1197">
            <v>0</v>
          </cell>
          <cell r="N1197">
            <v>0</v>
          </cell>
        </row>
        <row r="1198">
          <cell r="C1198" t="str">
            <v/>
          </cell>
          <cell r="D1198">
            <v>0</v>
          </cell>
          <cell r="G1198">
            <v>0</v>
          </cell>
          <cell r="I1198">
            <v>0</v>
          </cell>
          <cell r="J1198">
            <v>0</v>
          </cell>
          <cell r="M1198">
            <v>0</v>
          </cell>
          <cell r="N1198">
            <v>0</v>
          </cell>
        </row>
        <row r="1199">
          <cell r="C1199" t="str">
            <v/>
          </cell>
          <cell r="D1199">
            <v>0</v>
          </cell>
          <cell r="G1199">
            <v>0</v>
          </cell>
          <cell r="I1199">
            <v>0</v>
          </cell>
          <cell r="J1199">
            <v>0</v>
          </cell>
          <cell r="M1199">
            <v>0</v>
          </cell>
          <cell r="N1199">
            <v>0</v>
          </cell>
        </row>
        <row r="1200">
          <cell r="C1200" t="str">
            <v/>
          </cell>
          <cell r="D1200">
            <v>0</v>
          </cell>
          <cell r="G1200">
            <v>0</v>
          </cell>
          <cell r="I1200">
            <v>0</v>
          </cell>
          <cell r="J1200">
            <v>0</v>
          </cell>
          <cell r="M1200">
            <v>0</v>
          </cell>
          <cell r="N1200">
            <v>0</v>
          </cell>
        </row>
        <row r="1201">
          <cell r="C1201" t="str">
            <v/>
          </cell>
          <cell r="D1201">
            <v>0</v>
          </cell>
          <cell r="G1201">
            <v>0</v>
          </cell>
          <cell r="I1201">
            <v>0</v>
          </cell>
          <cell r="J1201">
            <v>0</v>
          </cell>
          <cell r="M1201">
            <v>0</v>
          </cell>
          <cell r="N1201">
            <v>0</v>
          </cell>
        </row>
        <row r="1202">
          <cell r="C1202" t="str">
            <v/>
          </cell>
          <cell r="D1202">
            <v>0</v>
          </cell>
          <cell r="G1202">
            <v>0</v>
          </cell>
          <cell r="I1202">
            <v>0</v>
          </cell>
          <cell r="J1202">
            <v>0</v>
          </cell>
          <cell r="M1202">
            <v>0</v>
          </cell>
          <cell r="N1202">
            <v>0</v>
          </cell>
        </row>
        <row r="1203">
          <cell r="C1203" t="str">
            <v/>
          </cell>
          <cell r="D1203">
            <v>0</v>
          </cell>
          <cell r="G1203">
            <v>0</v>
          </cell>
          <cell r="I1203">
            <v>0</v>
          </cell>
          <cell r="J1203">
            <v>0</v>
          </cell>
          <cell r="M1203">
            <v>0</v>
          </cell>
          <cell r="N1203">
            <v>0</v>
          </cell>
        </row>
        <row r="1204">
          <cell r="C1204" t="str">
            <v/>
          </cell>
          <cell r="D1204">
            <v>0</v>
          </cell>
          <cell r="G1204">
            <v>0</v>
          </cell>
          <cell r="I1204">
            <v>0</v>
          </cell>
          <cell r="J1204">
            <v>0</v>
          </cell>
          <cell r="M1204">
            <v>0</v>
          </cell>
          <cell r="N1204">
            <v>0</v>
          </cell>
        </row>
        <row r="1205">
          <cell r="C1205" t="str">
            <v/>
          </cell>
          <cell r="D1205">
            <v>0</v>
          </cell>
          <cell r="G1205">
            <v>0</v>
          </cell>
          <cell r="I1205">
            <v>0</v>
          </cell>
          <cell r="J1205">
            <v>0</v>
          </cell>
          <cell r="M1205">
            <v>0</v>
          </cell>
          <cell r="N1205">
            <v>0</v>
          </cell>
        </row>
        <row r="1206">
          <cell r="C1206" t="str">
            <v/>
          </cell>
          <cell r="D1206">
            <v>0</v>
          </cell>
          <cell r="G1206">
            <v>0</v>
          </cell>
          <cell r="I1206">
            <v>0</v>
          </cell>
          <cell r="J1206">
            <v>0</v>
          </cell>
          <cell r="M1206">
            <v>0</v>
          </cell>
          <cell r="N1206">
            <v>0</v>
          </cell>
        </row>
        <row r="1207">
          <cell r="C1207" t="str">
            <v/>
          </cell>
          <cell r="D1207">
            <v>0</v>
          </cell>
          <cell r="G1207">
            <v>0</v>
          </cell>
          <cell r="I1207">
            <v>0</v>
          </cell>
          <cell r="J1207">
            <v>0</v>
          </cell>
          <cell r="M1207">
            <v>0</v>
          </cell>
          <cell r="N1207">
            <v>0</v>
          </cell>
        </row>
        <row r="1208">
          <cell r="C1208" t="str">
            <v/>
          </cell>
          <cell r="D1208">
            <v>0</v>
          </cell>
          <cell r="G1208">
            <v>0</v>
          </cell>
          <cell r="I1208">
            <v>0</v>
          </cell>
          <cell r="J1208">
            <v>0</v>
          </cell>
          <cell r="M1208">
            <v>0</v>
          </cell>
          <cell r="N1208">
            <v>0</v>
          </cell>
        </row>
        <row r="1209">
          <cell r="C1209" t="str">
            <v/>
          </cell>
          <cell r="D1209">
            <v>0</v>
          </cell>
          <cell r="G1209">
            <v>0</v>
          </cell>
          <cell r="I1209">
            <v>0</v>
          </cell>
          <cell r="J1209">
            <v>0</v>
          </cell>
          <cell r="M1209">
            <v>0</v>
          </cell>
          <cell r="N1209">
            <v>0</v>
          </cell>
        </row>
        <row r="1210">
          <cell r="C1210" t="str">
            <v/>
          </cell>
          <cell r="D1210">
            <v>0</v>
          </cell>
          <cell r="G1210">
            <v>0</v>
          </cell>
          <cell r="I1210">
            <v>0</v>
          </cell>
          <cell r="J1210">
            <v>0</v>
          </cell>
          <cell r="M1210">
            <v>0</v>
          </cell>
          <cell r="N1210">
            <v>0</v>
          </cell>
        </row>
        <row r="1211">
          <cell r="C1211" t="str">
            <v/>
          </cell>
          <cell r="D1211">
            <v>0</v>
          </cell>
          <cell r="G1211">
            <v>0</v>
          </cell>
          <cell r="I1211">
            <v>0</v>
          </cell>
          <cell r="J1211">
            <v>0</v>
          </cell>
          <cell r="M1211">
            <v>0</v>
          </cell>
          <cell r="N1211">
            <v>0</v>
          </cell>
        </row>
        <row r="1212">
          <cell r="C1212" t="str">
            <v/>
          </cell>
          <cell r="D1212">
            <v>0</v>
          </cell>
          <cell r="G1212">
            <v>0</v>
          </cell>
          <cell r="I1212">
            <v>0</v>
          </cell>
          <cell r="J1212">
            <v>0</v>
          </cell>
          <cell r="M1212">
            <v>0</v>
          </cell>
          <cell r="N1212">
            <v>0</v>
          </cell>
        </row>
        <row r="1213">
          <cell r="C1213" t="str">
            <v/>
          </cell>
          <cell r="D1213">
            <v>0</v>
          </cell>
          <cell r="G1213">
            <v>0</v>
          </cell>
          <cell r="I1213">
            <v>0</v>
          </cell>
          <cell r="J1213">
            <v>0</v>
          </cell>
          <cell r="M1213">
            <v>0</v>
          </cell>
          <cell r="N1213">
            <v>0</v>
          </cell>
        </row>
        <row r="1214">
          <cell r="C1214" t="str">
            <v/>
          </cell>
          <cell r="D1214">
            <v>0</v>
          </cell>
          <cell r="G1214">
            <v>0</v>
          </cell>
          <cell r="I1214">
            <v>0</v>
          </cell>
          <cell r="J1214">
            <v>0</v>
          </cell>
          <cell r="M1214">
            <v>0</v>
          </cell>
          <cell r="N1214">
            <v>0</v>
          </cell>
        </row>
        <row r="1215">
          <cell r="C1215" t="str">
            <v/>
          </cell>
          <cell r="D1215">
            <v>0</v>
          </cell>
          <cell r="G1215">
            <v>0</v>
          </cell>
          <cell r="I1215">
            <v>0</v>
          </cell>
          <cell r="J1215">
            <v>0</v>
          </cell>
          <cell r="M1215">
            <v>0</v>
          </cell>
          <cell r="N1215">
            <v>0</v>
          </cell>
        </row>
        <row r="1216">
          <cell r="C1216" t="str">
            <v/>
          </cell>
          <cell r="D1216">
            <v>0</v>
          </cell>
          <cell r="G1216">
            <v>0</v>
          </cell>
          <cell r="I1216">
            <v>0</v>
          </cell>
          <cell r="J1216">
            <v>0</v>
          </cell>
          <cell r="M1216">
            <v>0</v>
          </cell>
          <cell r="N1216">
            <v>0</v>
          </cell>
        </row>
        <row r="1217">
          <cell r="C1217" t="str">
            <v/>
          </cell>
          <cell r="D1217">
            <v>0</v>
          </cell>
          <cell r="G1217">
            <v>0</v>
          </cell>
          <cell r="I1217">
            <v>0</v>
          </cell>
          <cell r="J1217">
            <v>0</v>
          </cell>
          <cell r="M1217">
            <v>0</v>
          </cell>
          <cell r="N1217">
            <v>0</v>
          </cell>
        </row>
        <row r="1218">
          <cell r="C1218" t="str">
            <v/>
          </cell>
          <cell r="D1218">
            <v>0</v>
          </cell>
          <cell r="G1218">
            <v>0</v>
          </cell>
          <cell r="I1218">
            <v>0</v>
          </cell>
          <cell r="J1218">
            <v>0</v>
          </cell>
          <cell r="M1218">
            <v>0</v>
          </cell>
          <cell r="N1218">
            <v>0</v>
          </cell>
        </row>
        <row r="1219">
          <cell r="C1219" t="str">
            <v/>
          </cell>
          <cell r="D1219">
            <v>0</v>
          </cell>
          <cell r="G1219">
            <v>0</v>
          </cell>
          <cell r="I1219">
            <v>0</v>
          </cell>
          <cell r="J1219">
            <v>0</v>
          </cell>
          <cell r="M1219">
            <v>0</v>
          </cell>
          <cell r="N1219">
            <v>0</v>
          </cell>
        </row>
        <row r="1220">
          <cell r="C1220" t="str">
            <v/>
          </cell>
          <cell r="D1220">
            <v>0</v>
          </cell>
          <cell r="G1220">
            <v>0</v>
          </cell>
          <cell r="I1220">
            <v>0</v>
          </cell>
          <cell r="J1220">
            <v>0</v>
          </cell>
          <cell r="M1220">
            <v>0</v>
          </cell>
          <cell r="N1220">
            <v>0</v>
          </cell>
        </row>
        <row r="1221">
          <cell r="C1221" t="str">
            <v/>
          </cell>
          <cell r="D1221">
            <v>0</v>
          </cell>
          <cell r="G1221">
            <v>0</v>
          </cell>
          <cell r="I1221">
            <v>0</v>
          </cell>
          <cell r="J1221">
            <v>0</v>
          </cell>
          <cell r="M1221">
            <v>0</v>
          </cell>
          <cell r="N1221">
            <v>0</v>
          </cell>
        </row>
        <row r="1222">
          <cell r="C1222" t="str">
            <v/>
          </cell>
          <cell r="D1222">
            <v>0</v>
          </cell>
          <cell r="G1222">
            <v>0</v>
          </cell>
          <cell r="I1222">
            <v>0</v>
          </cell>
          <cell r="J1222">
            <v>0</v>
          </cell>
          <cell r="M1222">
            <v>0</v>
          </cell>
          <cell r="N1222">
            <v>0</v>
          </cell>
        </row>
        <row r="1223">
          <cell r="C1223" t="str">
            <v/>
          </cell>
          <cell r="D1223">
            <v>0</v>
          </cell>
          <cell r="G1223">
            <v>0</v>
          </cell>
          <cell r="I1223">
            <v>0</v>
          </cell>
          <cell r="J1223">
            <v>0</v>
          </cell>
          <cell r="M1223">
            <v>0</v>
          </cell>
          <cell r="N1223">
            <v>0</v>
          </cell>
        </row>
        <row r="1224">
          <cell r="C1224" t="str">
            <v/>
          </cell>
          <cell r="D1224">
            <v>0</v>
          </cell>
          <cell r="G1224">
            <v>0</v>
          </cell>
          <cell r="I1224">
            <v>0</v>
          </cell>
          <cell r="J1224">
            <v>0</v>
          </cell>
          <cell r="M1224">
            <v>0</v>
          </cell>
          <cell r="N1224">
            <v>0</v>
          </cell>
        </row>
        <row r="1225">
          <cell r="C1225" t="str">
            <v/>
          </cell>
          <cell r="D1225">
            <v>0</v>
          </cell>
          <cell r="G1225">
            <v>0</v>
          </cell>
          <cell r="I1225">
            <v>0</v>
          </cell>
          <cell r="J1225">
            <v>0</v>
          </cell>
          <cell r="M1225">
            <v>0</v>
          </cell>
          <cell r="N1225">
            <v>0</v>
          </cell>
        </row>
        <row r="1226">
          <cell r="C1226" t="str">
            <v/>
          </cell>
          <cell r="D1226">
            <v>0</v>
          </cell>
          <cell r="G1226">
            <v>0</v>
          </cell>
          <cell r="I1226">
            <v>0</v>
          </cell>
          <cell r="J1226">
            <v>0</v>
          </cell>
          <cell r="M1226">
            <v>0</v>
          </cell>
          <cell r="N1226">
            <v>0</v>
          </cell>
        </row>
        <row r="1227">
          <cell r="C1227" t="str">
            <v/>
          </cell>
          <cell r="D1227">
            <v>0</v>
          </cell>
          <cell r="G1227">
            <v>0</v>
          </cell>
          <cell r="I1227">
            <v>0</v>
          </cell>
          <cell r="J1227">
            <v>0</v>
          </cell>
          <cell r="M1227">
            <v>0</v>
          </cell>
          <cell r="N1227">
            <v>0</v>
          </cell>
        </row>
        <row r="1228">
          <cell r="C1228" t="str">
            <v/>
          </cell>
          <cell r="D1228">
            <v>0</v>
          </cell>
          <cell r="G1228">
            <v>0</v>
          </cell>
          <cell r="I1228">
            <v>0</v>
          </cell>
          <cell r="J1228">
            <v>0</v>
          </cell>
          <cell r="M1228">
            <v>0</v>
          </cell>
          <cell r="N1228">
            <v>0</v>
          </cell>
        </row>
        <row r="1229">
          <cell r="C1229" t="str">
            <v/>
          </cell>
          <cell r="D1229">
            <v>0</v>
          </cell>
          <cell r="G1229">
            <v>0</v>
          </cell>
          <cell r="I1229">
            <v>0</v>
          </cell>
          <cell r="J1229">
            <v>0</v>
          </cell>
          <cell r="M1229">
            <v>0</v>
          </cell>
          <cell r="N1229">
            <v>0</v>
          </cell>
        </row>
        <row r="1230">
          <cell r="C1230" t="str">
            <v/>
          </cell>
          <cell r="D1230">
            <v>0</v>
          </cell>
          <cell r="G1230">
            <v>0</v>
          </cell>
          <cell r="I1230">
            <v>0</v>
          </cell>
          <cell r="J1230">
            <v>0</v>
          </cell>
          <cell r="M1230">
            <v>0</v>
          </cell>
          <cell r="N1230">
            <v>0</v>
          </cell>
        </row>
        <row r="1231">
          <cell r="C1231" t="str">
            <v/>
          </cell>
          <cell r="D1231">
            <v>0</v>
          </cell>
          <cell r="G1231">
            <v>0</v>
          </cell>
          <cell r="I1231">
            <v>0</v>
          </cell>
          <cell r="J1231">
            <v>0</v>
          </cell>
          <cell r="M1231">
            <v>0</v>
          </cell>
          <cell r="N1231">
            <v>0</v>
          </cell>
        </row>
        <row r="1232">
          <cell r="C1232" t="str">
            <v/>
          </cell>
          <cell r="D1232">
            <v>0</v>
          </cell>
          <cell r="G1232">
            <v>0</v>
          </cell>
          <cell r="I1232">
            <v>0</v>
          </cell>
          <cell r="J1232">
            <v>0</v>
          </cell>
          <cell r="M1232">
            <v>0</v>
          </cell>
          <cell r="N1232">
            <v>0</v>
          </cell>
        </row>
        <row r="1233">
          <cell r="C1233" t="str">
            <v/>
          </cell>
          <cell r="D1233">
            <v>0</v>
          </cell>
          <cell r="G1233">
            <v>0</v>
          </cell>
          <cell r="I1233">
            <v>0</v>
          </cell>
          <cell r="J1233">
            <v>0</v>
          </cell>
          <cell r="M1233">
            <v>0</v>
          </cell>
          <cell r="N1233">
            <v>0</v>
          </cell>
        </row>
        <row r="1234">
          <cell r="C1234" t="str">
            <v/>
          </cell>
          <cell r="D1234">
            <v>0</v>
          </cell>
          <cell r="G1234">
            <v>0</v>
          </cell>
          <cell r="I1234">
            <v>0</v>
          </cell>
          <cell r="J1234">
            <v>0</v>
          </cell>
          <cell r="M1234">
            <v>0</v>
          </cell>
          <cell r="N1234">
            <v>0</v>
          </cell>
        </row>
        <row r="1235">
          <cell r="C1235" t="str">
            <v/>
          </cell>
          <cell r="D1235">
            <v>0</v>
          </cell>
          <cell r="G1235">
            <v>0</v>
          </cell>
          <cell r="I1235">
            <v>0</v>
          </cell>
          <cell r="J1235">
            <v>0</v>
          </cell>
          <cell r="M1235">
            <v>0</v>
          </cell>
          <cell r="N1235">
            <v>0</v>
          </cell>
        </row>
        <row r="1236">
          <cell r="C1236" t="str">
            <v/>
          </cell>
          <cell r="D1236">
            <v>0</v>
          </cell>
          <cell r="G1236">
            <v>0</v>
          </cell>
          <cell r="I1236">
            <v>0</v>
          </cell>
          <cell r="J1236">
            <v>0</v>
          </cell>
          <cell r="M1236">
            <v>0</v>
          </cell>
          <cell r="N1236">
            <v>0</v>
          </cell>
        </row>
        <row r="1237">
          <cell r="C1237" t="str">
            <v/>
          </cell>
          <cell r="D1237">
            <v>0</v>
          </cell>
          <cell r="G1237">
            <v>0</v>
          </cell>
          <cell r="I1237">
            <v>0</v>
          </cell>
          <cell r="J1237">
            <v>0</v>
          </cell>
          <cell r="M1237">
            <v>0</v>
          </cell>
          <cell r="N1237">
            <v>0</v>
          </cell>
        </row>
        <row r="1238">
          <cell r="C1238" t="str">
            <v/>
          </cell>
          <cell r="D1238">
            <v>0</v>
          </cell>
          <cell r="G1238">
            <v>0</v>
          </cell>
          <cell r="I1238">
            <v>0</v>
          </cell>
          <cell r="J1238">
            <v>0</v>
          </cell>
          <cell r="M1238">
            <v>0</v>
          </cell>
          <cell r="N1238">
            <v>0</v>
          </cell>
        </row>
        <row r="1239">
          <cell r="C1239" t="str">
            <v/>
          </cell>
          <cell r="D1239">
            <v>0</v>
          </cell>
          <cell r="G1239">
            <v>0</v>
          </cell>
          <cell r="I1239">
            <v>0</v>
          </cell>
          <cell r="J1239">
            <v>0</v>
          </cell>
          <cell r="M1239">
            <v>0</v>
          </cell>
          <cell r="N1239">
            <v>0</v>
          </cell>
        </row>
        <row r="1240">
          <cell r="C1240" t="str">
            <v/>
          </cell>
          <cell r="D1240">
            <v>0</v>
          </cell>
          <cell r="G1240">
            <v>0</v>
          </cell>
          <cell r="I1240">
            <v>0</v>
          </cell>
          <cell r="J1240">
            <v>0</v>
          </cell>
          <cell r="M1240">
            <v>0</v>
          </cell>
          <cell r="N1240">
            <v>0</v>
          </cell>
        </row>
        <row r="1241">
          <cell r="C1241" t="str">
            <v/>
          </cell>
          <cell r="D1241">
            <v>0</v>
          </cell>
          <cell r="G1241">
            <v>0</v>
          </cell>
          <cell r="I1241">
            <v>0</v>
          </cell>
          <cell r="J1241">
            <v>0</v>
          </cell>
          <cell r="M1241">
            <v>0</v>
          </cell>
          <cell r="N1241">
            <v>0</v>
          </cell>
        </row>
        <row r="1242">
          <cell r="C1242" t="str">
            <v/>
          </cell>
          <cell r="D1242">
            <v>0</v>
          </cell>
          <cell r="G1242">
            <v>0</v>
          </cell>
          <cell r="I1242">
            <v>0</v>
          </cell>
          <cell r="J1242">
            <v>0</v>
          </cell>
          <cell r="M1242">
            <v>0</v>
          </cell>
          <cell r="N1242">
            <v>0</v>
          </cell>
        </row>
        <row r="1243">
          <cell r="C1243" t="str">
            <v/>
          </cell>
          <cell r="D1243">
            <v>0</v>
          </cell>
          <cell r="G1243">
            <v>0</v>
          </cell>
          <cell r="I1243">
            <v>0</v>
          </cell>
          <cell r="J1243">
            <v>0</v>
          </cell>
          <cell r="M1243">
            <v>0</v>
          </cell>
          <cell r="N1243">
            <v>0</v>
          </cell>
        </row>
        <row r="1244">
          <cell r="C1244" t="str">
            <v/>
          </cell>
          <cell r="D1244">
            <v>0</v>
          </cell>
          <cell r="G1244">
            <v>0</v>
          </cell>
          <cell r="I1244">
            <v>0</v>
          </cell>
          <cell r="J1244">
            <v>0</v>
          </cell>
          <cell r="M1244">
            <v>0</v>
          </cell>
          <cell r="N1244">
            <v>0</v>
          </cell>
        </row>
        <row r="1245">
          <cell r="C1245" t="str">
            <v/>
          </cell>
          <cell r="D1245">
            <v>0</v>
          </cell>
          <cell r="G1245">
            <v>0</v>
          </cell>
          <cell r="I1245">
            <v>0</v>
          </cell>
          <cell r="J1245">
            <v>0</v>
          </cell>
          <cell r="M1245">
            <v>0</v>
          </cell>
          <cell r="N1245">
            <v>0</v>
          </cell>
        </row>
        <row r="1246">
          <cell r="C1246" t="str">
            <v/>
          </cell>
          <cell r="D1246">
            <v>0</v>
          </cell>
          <cell r="G1246">
            <v>0</v>
          </cell>
          <cell r="I1246">
            <v>0</v>
          </cell>
          <cell r="J1246">
            <v>0</v>
          </cell>
          <cell r="M1246">
            <v>0</v>
          </cell>
          <cell r="N1246">
            <v>0</v>
          </cell>
        </row>
        <row r="1247">
          <cell r="C1247" t="str">
            <v/>
          </cell>
          <cell r="D1247">
            <v>0</v>
          </cell>
          <cell r="G1247">
            <v>0</v>
          </cell>
          <cell r="I1247">
            <v>0</v>
          </cell>
          <cell r="J1247">
            <v>0</v>
          </cell>
          <cell r="M1247">
            <v>0</v>
          </cell>
          <cell r="N1247">
            <v>0</v>
          </cell>
        </row>
        <row r="1248">
          <cell r="C1248" t="str">
            <v/>
          </cell>
          <cell r="D1248">
            <v>0</v>
          </cell>
          <cell r="G1248">
            <v>0</v>
          </cell>
          <cell r="I1248">
            <v>0</v>
          </cell>
          <cell r="J1248">
            <v>0</v>
          </cell>
          <cell r="M1248">
            <v>0</v>
          </cell>
          <cell r="N1248">
            <v>0</v>
          </cell>
        </row>
        <row r="1249">
          <cell r="C1249" t="str">
            <v/>
          </cell>
          <cell r="D1249">
            <v>0</v>
          </cell>
          <cell r="G1249">
            <v>0</v>
          </cell>
          <cell r="I1249">
            <v>0</v>
          </cell>
          <cell r="J1249">
            <v>0</v>
          </cell>
          <cell r="M1249">
            <v>0</v>
          </cell>
          <cell r="N1249">
            <v>0</v>
          </cell>
        </row>
        <row r="1250">
          <cell r="C1250" t="str">
            <v/>
          </cell>
          <cell r="D1250">
            <v>0</v>
          </cell>
          <cell r="G1250">
            <v>0</v>
          </cell>
          <cell r="I1250">
            <v>0</v>
          </cell>
          <cell r="J1250">
            <v>0</v>
          </cell>
          <cell r="M1250">
            <v>0</v>
          </cell>
          <cell r="N1250">
            <v>0</v>
          </cell>
        </row>
        <row r="1251">
          <cell r="C1251" t="str">
            <v/>
          </cell>
          <cell r="D1251">
            <v>0</v>
          </cell>
          <cell r="G1251">
            <v>0</v>
          </cell>
          <cell r="I1251">
            <v>0</v>
          </cell>
          <cell r="J1251">
            <v>0</v>
          </cell>
          <cell r="M1251">
            <v>0</v>
          </cell>
          <cell r="N1251">
            <v>0</v>
          </cell>
        </row>
        <row r="1252">
          <cell r="C1252" t="str">
            <v/>
          </cell>
          <cell r="D1252">
            <v>0</v>
          </cell>
          <cell r="G1252">
            <v>0</v>
          </cell>
          <cell r="I1252">
            <v>0</v>
          </cell>
          <cell r="J1252">
            <v>0</v>
          </cell>
          <cell r="M1252">
            <v>0</v>
          </cell>
          <cell r="N1252">
            <v>0</v>
          </cell>
        </row>
        <row r="1253">
          <cell r="C1253" t="str">
            <v/>
          </cell>
          <cell r="D1253">
            <v>0</v>
          </cell>
          <cell r="G1253">
            <v>0</v>
          </cell>
          <cell r="I1253">
            <v>0</v>
          </cell>
          <cell r="J1253">
            <v>0</v>
          </cell>
          <cell r="M1253">
            <v>0</v>
          </cell>
          <cell r="N1253">
            <v>0</v>
          </cell>
        </row>
        <row r="1254">
          <cell r="C1254" t="str">
            <v/>
          </cell>
          <cell r="D1254">
            <v>0</v>
          </cell>
          <cell r="G1254">
            <v>0</v>
          </cell>
          <cell r="I1254">
            <v>0</v>
          </cell>
          <cell r="J1254">
            <v>0</v>
          </cell>
          <cell r="M1254">
            <v>0</v>
          </cell>
          <cell r="N1254">
            <v>0</v>
          </cell>
        </row>
        <row r="1255">
          <cell r="C1255" t="str">
            <v/>
          </cell>
          <cell r="D1255">
            <v>0</v>
          </cell>
          <cell r="G1255">
            <v>0</v>
          </cell>
          <cell r="I1255">
            <v>0</v>
          </cell>
          <cell r="J1255">
            <v>0</v>
          </cell>
          <cell r="M1255">
            <v>0</v>
          </cell>
          <cell r="N1255">
            <v>0</v>
          </cell>
        </row>
        <row r="1256">
          <cell r="C1256" t="str">
            <v/>
          </cell>
          <cell r="D1256">
            <v>0</v>
          </cell>
          <cell r="G1256">
            <v>0</v>
          </cell>
          <cell r="I1256">
            <v>0</v>
          </cell>
          <cell r="J1256">
            <v>0</v>
          </cell>
          <cell r="M1256">
            <v>0</v>
          </cell>
          <cell r="N1256">
            <v>0</v>
          </cell>
        </row>
        <row r="1257">
          <cell r="C1257" t="str">
            <v/>
          </cell>
          <cell r="D1257">
            <v>0</v>
          </cell>
          <cell r="G1257">
            <v>0</v>
          </cell>
          <cell r="I1257">
            <v>0</v>
          </cell>
          <cell r="J1257">
            <v>0</v>
          </cell>
          <cell r="M1257">
            <v>0</v>
          </cell>
          <cell r="N1257">
            <v>0</v>
          </cell>
        </row>
        <row r="1258">
          <cell r="C1258" t="str">
            <v/>
          </cell>
          <cell r="D1258">
            <v>0</v>
          </cell>
          <cell r="G1258">
            <v>0</v>
          </cell>
          <cell r="I1258">
            <v>0</v>
          </cell>
          <cell r="J1258">
            <v>0</v>
          </cell>
          <cell r="M1258">
            <v>0</v>
          </cell>
          <cell r="N1258">
            <v>0</v>
          </cell>
        </row>
        <row r="1259">
          <cell r="C1259" t="str">
            <v/>
          </cell>
          <cell r="D1259">
            <v>0</v>
          </cell>
          <cell r="G1259">
            <v>0</v>
          </cell>
          <cell r="I1259">
            <v>0</v>
          </cell>
          <cell r="J1259">
            <v>0</v>
          </cell>
          <cell r="M1259">
            <v>0</v>
          </cell>
          <cell r="N1259">
            <v>0</v>
          </cell>
        </row>
        <row r="1260">
          <cell r="C1260" t="str">
            <v/>
          </cell>
          <cell r="D1260">
            <v>0</v>
          </cell>
          <cell r="G1260">
            <v>0</v>
          </cell>
          <cell r="I1260">
            <v>0</v>
          </cell>
          <cell r="J1260">
            <v>0</v>
          </cell>
          <cell r="M1260">
            <v>0</v>
          </cell>
          <cell r="N1260">
            <v>0</v>
          </cell>
        </row>
        <row r="1261">
          <cell r="C1261" t="str">
            <v/>
          </cell>
          <cell r="D1261">
            <v>0</v>
          </cell>
          <cell r="G1261">
            <v>0</v>
          </cell>
          <cell r="I1261">
            <v>0</v>
          </cell>
          <cell r="J1261">
            <v>0</v>
          </cell>
          <cell r="M1261">
            <v>0</v>
          </cell>
          <cell r="N1261">
            <v>0</v>
          </cell>
        </row>
        <row r="1262">
          <cell r="C1262" t="str">
            <v/>
          </cell>
          <cell r="D1262">
            <v>0</v>
          </cell>
          <cell r="G1262">
            <v>0</v>
          </cell>
          <cell r="I1262">
            <v>0</v>
          </cell>
          <cell r="J1262">
            <v>0</v>
          </cell>
          <cell r="M1262">
            <v>0</v>
          </cell>
          <cell r="N1262">
            <v>0</v>
          </cell>
        </row>
        <row r="1263">
          <cell r="C1263" t="str">
            <v/>
          </cell>
          <cell r="D1263">
            <v>0</v>
          </cell>
          <cell r="G1263">
            <v>0</v>
          </cell>
          <cell r="I1263">
            <v>0</v>
          </cell>
          <cell r="J1263">
            <v>0</v>
          </cell>
          <cell r="M1263">
            <v>0</v>
          </cell>
          <cell r="N1263">
            <v>0</v>
          </cell>
        </row>
        <row r="1264">
          <cell r="C1264" t="str">
            <v/>
          </cell>
          <cell r="D1264">
            <v>0</v>
          </cell>
          <cell r="G1264">
            <v>0</v>
          </cell>
          <cell r="I1264">
            <v>0</v>
          </cell>
          <cell r="J1264">
            <v>0</v>
          </cell>
          <cell r="M1264">
            <v>0</v>
          </cell>
          <cell r="N1264">
            <v>0</v>
          </cell>
        </row>
        <row r="1265">
          <cell r="C1265" t="str">
            <v/>
          </cell>
          <cell r="D1265">
            <v>0</v>
          </cell>
          <cell r="G1265">
            <v>0</v>
          </cell>
          <cell r="I1265">
            <v>0</v>
          </cell>
          <cell r="J1265">
            <v>0</v>
          </cell>
          <cell r="M1265">
            <v>0</v>
          </cell>
          <cell r="N1265">
            <v>0</v>
          </cell>
        </row>
        <row r="1266">
          <cell r="C1266" t="str">
            <v/>
          </cell>
          <cell r="D1266">
            <v>0</v>
          </cell>
          <cell r="G1266">
            <v>0</v>
          </cell>
          <cell r="I1266">
            <v>0</v>
          </cell>
          <cell r="J1266">
            <v>0</v>
          </cell>
          <cell r="M1266">
            <v>0</v>
          </cell>
          <cell r="N1266">
            <v>0</v>
          </cell>
        </row>
        <row r="1267">
          <cell r="C1267" t="str">
            <v/>
          </cell>
          <cell r="D1267">
            <v>0</v>
          </cell>
          <cell r="G1267">
            <v>0</v>
          </cell>
          <cell r="I1267">
            <v>0</v>
          </cell>
          <cell r="J1267">
            <v>0</v>
          </cell>
          <cell r="M1267">
            <v>0</v>
          </cell>
          <cell r="N1267">
            <v>0</v>
          </cell>
        </row>
        <row r="1268">
          <cell r="C1268" t="str">
            <v/>
          </cell>
          <cell r="D1268">
            <v>0</v>
          </cell>
          <cell r="G1268">
            <v>0</v>
          </cell>
          <cell r="I1268">
            <v>0</v>
          </cell>
          <cell r="J1268">
            <v>0</v>
          </cell>
          <cell r="M1268">
            <v>0</v>
          </cell>
          <cell r="N1268">
            <v>0</v>
          </cell>
        </row>
        <row r="1269">
          <cell r="C1269" t="str">
            <v/>
          </cell>
          <cell r="D1269">
            <v>0</v>
          </cell>
          <cell r="G1269">
            <v>0</v>
          </cell>
          <cell r="I1269">
            <v>0</v>
          </cell>
          <cell r="J1269">
            <v>0</v>
          </cell>
          <cell r="M1269">
            <v>0</v>
          </cell>
          <cell r="N1269">
            <v>0</v>
          </cell>
        </row>
        <row r="1270">
          <cell r="C1270" t="str">
            <v/>
          </cell>
          <cell r="D1270">
            <v>0</v>
          </cell>
          <cell r="G1270">
            <v>0</v>
          </cell>
          <cell r="I1270">
            <v>0</v>
          </cell>
          <cell r="J1270">
            <v>0</v>
          </cell>
          <cell r="M1270">
            <v>0</v>
          </cell>
          <cell r="N1270">
            <v>0</v>
          </cell>
        </row>
        <row r="1271">
          <cell r="C1271" t="str">
            <v/>
          </cell>
          <cell r="D1271">
            <v>0</v>
          </cell>
          <cell r="G1271">
            <v>0</v>
          </cell>
          <cell r="I1271">
            <v>0</v>
          </cell>
          <cell r="J1271">
            <v>0</v>
          </cell>
          <cell r="M1271">
            <v>0</v>
          </cell>
          <cell r="N1271">
            <v>0</v>
          </cell>
        </row>
        <row r="1272">
          <cell r="C1272" t="str">
            <v/>
          </cell>
          <cell r="D1272">
            <v>0</v>
          </cell>
          <cell r="G1272">
            <v>0</v>
          </cell>
          <cell r="I1272">
            <v>0</v>
          </cell>
          <cell r="J1272">
            <v>0</v>
          </cell>
          <cell r="M1272">
            <v>0</v>
          </cell>
          <cell r="N1272">
            <v>0</v>
          </cell>
        </row>
        <row r="1273">
          <cell r="C1273" t="str">
            <v/>
          </cell>
          <cell r="D1273">
            <v>0</v>
          </cell>
          <cell r="G1273">
            <v>0</v>
          </cell>
          <cell r="I1273">
            <v>0</v>
          </cell>
          <cell r="J1273">
            <v>0</v>
          </cell>
          <cell r="M1273">
            <v>0</v>
          </cell>
          <cell r="N1273">
            <v>0</v>
          </cell>
        </row>
        <row r="1274">
          <cell r="C1274" t="str">
            <v/>
          </cell>
          <cell r="D1274">
            <v>0</v>
          </cell>
          <cell r="G1274">
            <v>0</v>
          </cell>
          <cell r="I1274">
            <v>0</v>
          </cell>
          <cell r="J1274">
            <v>0</v>
          </cell>
          <cell r="M1274">
            <v>0</v>
          </cell>
          <cell r="N1274">
            <v>0</v>
          </cell>
        </row>
        <row r="1275">
          <cell r="C1275" t="str">
            <v/>
          </cell>
          <cell r="D1275">
            <v>0</v>
          </cell>
          <cell r="G1275">
            <v>0</v>
          </cell>
          <cell r="I1275">
            <v>0</v>
          </cell>
          <cell r="J1275">
            <v>0</v>
          </cell>
          <cell r="M1275">
            <v>0</v>
          </cell>
          <cell r="N1275">
            <v>0</v>
          </cell>
        </row>
        <row r="1276">
          <cell r="C1276" t="str">
            <v/>
          </cell>
          <cell r="D1276">
            <v>0</v>
          </cell>
          <cell r="G1276">
            <v>0</v>
          </cell>
          <cell r="I1276">
            <v>0</v>
          </cell>
          <cell r="J1276">
            <v>0</v>
          </cell>
          <cell r="M1276">
            <v>0</v>
          </cell>
          <cell r="N1276">
            <v>0</v>
          </cell>
        </row>
        <row r="1277">
          <cell r="C1277" t="str">
            <v/>
          </cell>
          <cell r="D1277">
            <v>0</v>
          </cell>
          <cell r="G1277">
            <v>0</v>
          </cell>
          <cell r="I1277">
            <v>0</v>
          </cell>
          <cell r="J1277">
            <v>0</v>
          </cell>
          <cell r="M1277">
            <v>0</v>
          </cell>
          <cell r="N1277">
            <v>0</v>
          </cell>
        </row>
        <row r="1278">
          <cell r="C1278" t="str">
            <v/>
          </cell>
          <cell r="D1278">
            <v>0</v>
          </cell>
          <cell r="G1278">
            <v>0</v>
          </cell>
          <cell r="I1278">
            <v>0</v>
          </cell>
          <cell r="J1278">
            <v>0</v>
          </cell>
          <cell r="M1278">
            <v>0</v>
          </cell>
          <cell r="N1278">
            <v>0</v>
          </cell>
        </row>
        <row r="1279">
          <cell r="C1279" t="str">
            <v/>
          </cell>
          <cell r="D1279">
            <v>0</v>
          </cell>
          <cell r="G1279">
            <v>0</v>
          </cell>
          <cell r="I1279">
            <v>0</v>
          </cell>
          <cell r="J1279">
            <v>0</v>
          </cell>
          <cell r="M1279">
            <v>0</v>
          </cell>
          <cell r="N1279">
            <v>0</v>
          </cell>
        </row>
        <row r="1280">
          <cell r="C1280" t="str">
            <v/>
          </cell>
          <cell r="D1280">
            <v>0</v>
          </cell>
          <cell r="G1280">
            <v>0</v>
          </cell>
          <cell r="I1280">
            <v>0</v>
          </cell>
          <cell r="J1280">
            <v>0</v>
          </cell>
          <cell r="M1280">
            <v>0</v>
          </cell>
          <cell r="N1280">
            <v>0</v>
          </cell>
        </row>
        <row r="1281">
          <cell r="C1281" t="str">
            <v/>
          </cell>
          <cell r="D1281">
            <v>0</v>
          </cell>
          <cell r="G1281">
            <v>0</v>
          </cell>
          <cell r="I1281">
            <v>0</v>
          </cell>
          <cell r="J1281">
            <v>0</v>
          </cell>
          <cell r="M1281">
            <v>0</v>
          </cell>
          <cell r="N1281">
            <v>0</v>
          </cell>
        </row>
        <row r="1282">
          <cell r="C1282" t="str">
            <v/>
          </cell>
          <cell r="D1282">
            <v>0</v>
          </cell>
          <cell r="G1282">
            <v>0</v>
          </cell>
          <cell r="I1282">
            <v>0</v>
          </cell>
          <cell r="J1282">
            <v>0</v>
          </cell>
          <cell r="M1282">
            <v>0</v>
          </cell>
          <cell r="N1282">
            <v>0</v>
          </cell>
        </row>
        <row r="1283">
          <cell r="C1283" t="str">
            <v/>
          </cell>
          <cell r="D1283">
            <v>0</v>
          </cell>
          <cell r="G1283">
            <v>0</v>
          </cell>
          <cell r="I1283">
            <v>0</v>
          </cell>
          <cell r="J1283">
            <v>0</v>
          </cell>
          <cell r="M1283">
            <v>0</v>
          </cell>
          <cell r="N1283">
            <v>0</v>
          </cell>
        </row>
        <row r="1284">
          <cell r="C1284" t="str">
            <v/>
          </cell>
          <cell r="D1284">
            <v>0</v>
          </cell>
          <cell r="G1284">
            <v>0</v>
          </cell>
          <cell r="I1284">
            <v>0</v>
          </cell>
          <cell r="J1284">
            <v>0</v>
          </cell>
          <cell r="M1284">
            <v>0</v>
          </cell>
          <cell r="N1284">
            <v>0</v>
          </cell>
        </row>
        <row r="1285">
          <cell r="C1285" t="str">
            <v/>
          </cell>
          <cell r="D1285">
            <v>0</v>
          </cell>
          <cell r="G1285">
            <v>0</v>
          </cell>
          <cell r="I1285">
            <v>0</v>
          </cell>
          <cell r="J1285">
            <v>0</v>
          </cell>
          <cell r="M1285">
            <v>0</v>
          </cell>
          <cell r="N1285">
            <v>0</v>
          </cell>
        </row>
        <row r="1286">
          <cell r="C1286" t="str">
            <v/>
          </cell>
          <cell r="D1286">
            <v>0</v>
          </cell>
          <cell r="G1286">
            <v>0</v>
          </cell>
          <cell r="I1286">
            <v>0</v>
          </cell>
          <cell r="J1286">
            <v>0</v>
          </cell>
          <cell r="M1286">
            <v>0</v>
          </cell>
          <cell r="N1286">
            <v>0</v>
          </cell>
        </row>
        <row r="1287">
          <cell r="C1287" t="str">
            <v/>
          </cell>
          <cell r="D1287">
            <v>0</v>
          </cell>
          <cell r="G1287">
            <v>0</v>
          </cell>
          <cell r="I1287">
            <v>0</v>
          </cell>
          <cell r="J1287">
            <v>0</v>
          </cell>
          <cell r="M1287">
            <v>0</v>
          </cell>
          <cell r="N1287">
            <v>0</v>
          </cell>
        </row>
        <row r="1288">
          <cell r="C1288" t="str">
            <v/>
          </cell>
          <cell r="D1288">
            <v>0</v>
          </cell>
          <cell r="G1288">
            <v>0</v>
          </cell>
          <cell r="I1288">
            <v>0</v>
          </cell>
          <cell r="J1288">
            <v>0</v>
          </cell>
          <cell r="M1288">
            <v>0</v>
          </cell>
          <cell r="N1288">
            <v>0</v>
          </cell>
        </row>
        <row r="1289">
          <cell r="C1289" t="str">
            <v/>
          </cell>
          <cell r="D1289">
            <v>0</v>
          </cell>
          <cell r="G1289">
            <v>0</v>
          </cell>
          <cell r="I1289">
            <v>0</v>
          </cell>
          <cell r="J1289">
            <v>0</v>
          </cell>
          <cell r="M1289">
            <v>0</v>
          </cell>
          <cell r="N1289">
            <v>0</v>
          </cell>
        </row>
        <row r="1290">
          <cell r="C1290" t="str">
            <v/>
          </cell>
          <cell r="D1290">
            <v>0</v>
          </cell>
          <cell r="G1290">
            <v>0</v>
          </cell>
          <cell r="I1290">
            <v>0</v>
          </cell>
          <cell r="J1290">
            <v>0</v>
          </cell>
          <cell r="M1290">
            <v>0</v>
          </cell>
          <cell r="N1290">
            <v>0</v>
          </cell>
        </row>
        <row r="1291">
          <cell r="C1291" t="str">
            <v/>
          </cell>
          <cell r="D1291">
            <v>0</v>
          </cell>
          <cell r="G1291">
            <v>0</v>
          </cell>
          <cell r="I1291">
            <v>0</v>
          </cell>
          <cell r="J1291">
            <v>0</v>
          </cell>
          <cell r="M1291">
            <v>0</v>
          </cell>
          <cell r="N1291">
            <v>0</v>
          </cell>
        </row>
        <row r="1292">
          <cell r="C1292" t="str">
            <v/>
          </cell>
          <cell r="D1292">
            <v>0</v>
          </cell>
          <cell r="G1292">
            <v>0</v>
          </cell>
          <cell r="I1292">
            <v>0</v>
          </cell>
          <cell r="J1292">
            <v>0</v>
          </cell>
          <cell r="M1292">
            <v>0</v>
          </cell>
          <cell r="N1292">
            <v>0</v>
          </cell>
        </row>
        <row r="1293">
          <cell r="C1293" t="str">
            <v/>
          </cell>
          <cell r="D1293">
            <v>0</v>
          </cell>
          <cell r="G1293">
            <v>0</v>
          </cell>
          <cell r="I1293">
            <v>0</v>
          </cell>
          <cell r="J1293">
            <v>0</v>
          </cell>
          <cell r="M1293">
            <v>0</v>
          </cell>
          <cell r="N1293">
            <v>0</v>
          </cell>
        </row>
        <row r="1294">
          <cell r="C1294" t="str">
            <v/>
          </cell>
          <cell r="D1294">
            <v>0</v>
          </cell>
          <cell r="G1294">
            <v>0</v>
          </cell>
          <cell r="I1294">
            <v>0</v>
          </cell>
          <cell r="J1294">
            <v>0</v>
          </cell>
          <cell r="M1294">
            <v>0</v>
          </cell>
          <cell r="N1294">
            <v>0</v>
          </cell>
        </row>
        <row r="1295">
          <cell r="C1295" t="str">
            <v/>
          </cell>
          <cell r="D1295">
            <v>0</v>
          </cell>
          <cell r="G1295">
            <v>0</v>
          </cell>
          <cell r="I1295">
            <v>0</v>
          </cell>
          <cell r="J1295">
            <v>0</v>
          </cell>
          <cell r="M1295">
            <v>0</v>
          </cell>
          <cell r="N1295">
            <v>0</v>
          </cell>
        </row>
        <row r="1296">
          <cell r="C1296" t="str">
            <v/>
          </cell>
          <cell r="D1296">
            <v>0</v>
          </cell>
          <cell r="G1296">
            <v>0</v>
          </cell>
          <cell r="I1296">
            <v>0</v>
          </cell>
          <cell r="J1296">
            <v>0</v>
          </cell>
          <cell r="M1296">
            <v>0</v>
          </cell>
          <cell r="N1296">
            <v>0</v>
          </cell>
        </row>
        <row r="1297">
          <cell r="C1297" t="str">
            <v/>
          </cell>
          <cell r="D1297">
            <v>0</v>
          </cell>
          <cell r="G1297">
            <v>0</v>
          </cell>
          <cell r="I1297">
            <v>0</v>
          </cell>
          <cell r="J1297">
            <v>0</v>
          </cell>
          <cell r="M1297">
            <v>0</v>
          </cell>
          <cell r="N1297">
            <v>0</v>
          </cell>
        </row>
        <row r="1298">
          <cell r="C1298" t="str">
            <v/>
          </cell>
          <cell r="D1298">
            <v>0</v>
          </cell>
          <cell r="G1298">
            <v>0</v>
          </cell>
          <cell r="I1298">
            <v>0</v>
          </cell>
          <cell r="J1298">
            <v>0</v>
          </cell>
          <cell r="M1298">
            <v>0</v>
          </cell>
          <cell r="N1298">
            <v>0</v>
          </cell>
        </row>
        <row r="1299">
          <cell r="C1299" t="str">
            <v/>
          </cell>
          <cell r="D1299">
            <v>0</v>
          </cell>
          <cell r="G1299">
            <v>0</v>
          </cell>
          <cell r="I1299">
            <v>0</v>
          </cell>
          <cell r="J1299">
            <v>0</v>
          </cell>
          <cell r="M1299">
            <v>0</v>
          </cell>
          <cell r="N1299">
            <v>0</v>
          </cell>
        </row>
        <row r="1300">
          <cell r="C1300" t="str">
            <v/>
          </cell>
          <cell r="D1300">
            <v>0</v>
          </cell>
          <cell r="G1300">
            <v>0</v>
          </cell>
          <cell r="I1300">
            <v>0</v>
          </cell>
          <cell r="J1300">
            <v>0</v>
          </cell>
          <cell r="M1300">
            <v>0</v>
          </cell>
          <cell r="N1300">
            <v>0</v>
          </cell>
        </row>
        <row r="1301">
          <cell r="C1301" t="str">
            <v/>
          </cell>
          <cell r="D1301">
            <v>0</v>
          </cell>
          <cell r="G1301">
            <v>0</v>
          </cell>
          <cell r="I1301">
            <v>0</v>
          </cell>
          <cell r="J1301">
            <v>0</v>
          </cell>
          <cell r="M1301">
            <v>0</v>
          </cell>
          <cell r="N1301">
            <v>0</v>
          </cell>
        </row>
        <row r="1302">
          <cell r="C1302" t="str">
            <v/>
          </cell>
          <cell r="D1302">
            <v>0</v>
          </cell>
          <cell r="G1302">
            <v>0</v>
          </cell>
          <cell r="I1302">
            <v>0</v>
          </cell>
          <cell r="J1302">
            <v>0</v>
          </cell>
          <cell r="M1302">
            <v>0</v>
          </cell>
          <cell r="N1302">
            <v>0</v>
          </cell>
        </row>
        <row r="1303">
          <cell r="C1303" t="str">
            <v/>
          </cell>
          <cell r="D1303">
            <v>0</v>
          </cell>
          <cell r="G1303">
            <v>0</v>
          </cell>
          <cell r="I1303">
            <v>0</v>
          </cell>
          <cell r="J1303">
            <v>0</v>
          </cell>
          <cell r="M1303">
            <v>0</v>
          </cell>
          <cell r="N1303">
            <v>0</v>
          </cell>
        </row>
        <row r="1304">
          <cell r="C1304" t="str">
            <v/>
          </cell>
          <cell r="D1304">
            <v>0</v>
          </cell>
          <cell r="G1304">
            <v>0</v>
          </cell>
          <cell r="I1304">
            <v>0</v>
          </cell>
          <cell r="J1304">
            <v>0</v>
          </cell>
          <cell r="M1304">
            <v>0</v>
          </cell>
          <cell r="N1304">
            <v>0</v>
          </cell>
        </row>
        <row r="1305">
          <cell r="C1305" t="str">
            <v/>
          </cell>
          <cell r="D1305">
            <v>0</v>
          </cell>
          <cell r="G1305">
            <v>0</v>
          </cell>
          <cell r="I1305">
            <v>0</v>
          </cell>
          <cell r="J1305">
            <v>0</v>
          </cell>
          <cell r="M1305">
            <v>0</v>
          </cell>
          <cell r="N1305">
            <v>0</v>
          </cell>
        </row>
        <row r="1306">
          <cell r="C1306" t="str">
            <v/>
          </cell>
          <cell r="D1306">
            <v>0</v>
          </cell>
          <cell r="G1306">
            <v>0</v>
          </cell>
          <cell r="I1306">
            <v>0</v>
          </cell>
          <cell r="J1306">
            <v>0</v>
          </cell>
          <cell r="M1306">
            <v>0</v>
          </cell>
          <cell r="N1306">
            <v>0</v>
          </cell>
        </row>
        <row r="1307">
          <cell r="C1307" t="str">
            <v/>
          </cell>
          <cell r="D1307">
            <v>0</v>
          </cell>
          <cell r="G1307">
            <v>0</v>
          </cell>
          <cell r="I1307">
            <v>0</v>
          </cell>
          <cell r="J1307">
            <v>0</v>
          </cell>
          <cell r="M1307">
            <v>0</v>
          </cell>
          <cell r="N1307">
            <v>0</v>
          </cell>
        </row>
        <row r="1308">
          <cell r="C1308" t="str">
            <v/>
          </cell>
          <cell r="D1308">
            <v>0</v>
          </cell>
          <cell r="G1308">
            <v>0</v>
          </cell>
          <cell r="I1308">
            <v>0</v>
          </cell>
          <cell r="J1308">
            <v>0</v>
          </cell>
          <cell r="M1308">
            <v>0</v>
          </cell>
          <cell r="N1308">
            <v>0</v>
          </cell>
        </row>
        <row r="1309">
          <cell r="C1309" t="str">
            <v/>
          </cell>
          <cell r="D1309">
            <v>0</v>
          </cell>
          <cell r="G1309">
            <v>0</v>
          </cell>
          <cell r="I1309">
            <v>0</v>
          </cell>
          <cell r="J1309">
            <v>0</v>
          </cell>
          <cell r="M1309">
            <v>0</v>
          </cell>
          <cell r="N1309">
            <v>0</v>
          </cell>
        </row>
        <row r="1310">
          <cell r="C1310" t="str">
            <v/>
          </cell>
          <cell r="D1310">
            <v>0</v>
          </cell>
          <cell r="G1310">
            <v>0</v>
          </cell>
          <cell r="I1310">
            <v>0</v>
          </cell>
          <cell r="J1310">
            <v>0</v>
          </cell>
          <cell r="M1310">
            <v>0</v>
          </cell>
          <cell r="N1310">
            <v>0</v>
          </cell>
        </row>
        <row r="1311">
          <cell r="C1311" t="str">
            <v/>
          </cell>
          <cell r="D1311">
            <v>0</v>
          </cell>
          <cell r="G1311">
            <v>0</v>
          </cell>
          <cell r="I1311">
            <v>0</v>
          </cell>
          <cell r="J1311">
            <v>0</v>
          </cell>
          <cell r="M1311">
            <v>0</v>
          </cell>
          <cell r="N1311">
            <v>0</v>
          </cell>
        </row>
        <row r="1312">
          <cell r="C1312" t="str">
            <v/>
          </cell>
          <cell r="D1312">
            <v>0</v>
          </cell>
          <cell r="G1312">
            <v>0</v>
          </cell>
          <cell r="I1312">
            <v>0</v>
          </cell>
          <cell r="J1312">
            <v>0</v>
          </cell>
          <cell r="M1312">
            <v>0</v>
          </cell>
          <cell r="N1312">
            <v>0</v>
          </cell>
        </row>
        <row r="1313">
          <cell r="C1313" t="str">
            <v/>
          </cell>
          <cell r="D1313">
            <v>0</v>
          </cell>
          <cell r="G1313">
            <v>0</v>
          </cell>
          <cell r="I1313">
            <v>0</v>
          </cell>
          <cell r="J1313">
            <v>0</v>
          </cell>
          <cell r="M1313">
            <v>0</v>
          </cell>
          <cell r="N1313">
            <v>0</v>
          </cell>
        </row>
        <row r="1314">
          <cell r="C1314" t="str">
            <v/>
          </cell>
          <cell r="D1314">
            <v>0</v>
          </cell>
          <cell r="G1314">
            <v>0</v>
          </cell>
          <cell r="I1314">
            <v>0</v>
          </cell>
          <cell r="J1314">
            <v>0</v>
          </cell>
          <cell r="M1314">
            <v>0</v>
          </cell>
          <cell r="N1314">
            <v>0</v>
          </cell>
        </row>
        <row r="1315">
          <cell r="C1315" t="str">
            <v/>
          </cell>
          <cell r="D1315">
            <v>0</v>
          </cell>
          <cell r="G1315">
            <v>0</v>
          </cell>
          <cell r="I1315">
            <v>0</v>
          </cell>
          <cell r="J1315">
            <v>0</v>
          </cell>
          <cell r="M1315">
            <v>0</v>
          </cell>
          <cell r="N1315">
            <v>0</v>
          </cell>
        </row>
        <row r="1316">
          <cell r="C1316" t="str">
            <v/>
          </cell>
          <cell r="D1316">
            <v>0</v>
          </cell>
          <cell r="G1316">
            <v>0</v>
          </cell>
          <cell r="I1316">
            <v>0</v>
          </cell>
          <cell r="J1316">
            <v>0</v>
          </cell>
          <cell r="M1316">
            <v>0</v>
          </cell>
          <cell r="N1316">
            <v>0</v>
          </cell>
        </row>
        <row r="1317">
          <cell r="C1317" t="str">
            <v/>
          </cell>
          <cell r="D1317">
            <v>0</v>
          </cell>
          <cell r="G1317">
            <v>0</v>
          </cell>
          <cell r="I1317">
            <v>0</v>
          </cell>
          <cell r="J1317">
            <v>0</v>
          </cell>
          <cell r="M1317">
            <v>0</v>
          </cell>
          <cell r="N1317">
            <v>0</v>
          </cell>
        </row>
        <row r="1318">
          <cell r="C1318" t="str">
            <v/>
          </cell>
          <cell r="D1318">
            <v>0</v>
          </cell>
          <cell r="G1318">
            <v>0</v>
          </cell>
          <cell r="I1318">
            <v>0</v>
          </cell>
          <cell r="J1318">
            <v>0</v>
          </cell>
          <cell r="M1318">
            <v>0</v>
          </cell>
          <cell r="N1318">
            <v>0</v>
          </cell>
        </row>
        <row r="1319">
          <cell r="C1319" t="str">
            <v/>
          </cell>
          <cell r="D1319">
            <v>0</v>
          </cell>
          <cell r="G1319">
            <v>0</v>
          </cell>
          <cell r="I1319">
            <v>0</v>
          </cell>
          <cell r="J1319">
            <v>0</v>
          </cell>
          <cell r="M1319">
            <v>0</v>
          </cell>
          <cell r="N1319">
            <v>0</v>
          </cell>
        </row>
        <row r="1320">
          <cell r="C1320" t="str">
            <v/>
          </cell>
          <cell r="D1320">
            <v>0</v>
          </cell>
          <cell r="G1320">
            <v>0</v>
          </cell>
          <cell r="I1320">
            <v>0</v>
          </cell>
          <cell r="J1320">
            <v>0</v>
          </cell>
          <cell r="M1320">
            <v>0</v>
          </cell>
          <cell r="N1320">
            <v>0</v>
          </cell>
        </row>
        <row r="1321">
          <cell r="C1321" t="str">
            <v/>
          </cell>
          <cell r="D1321">
            <v>0</v>
          </cell>
          <cell r="G1321">
            <v>0</v>
          </cell>
          <cell r="I1321">
            <v>0</v>
          </cell>
          <cell r="J1321">
            <v>0</v>
          </cell>
          <cell r="M1321">
            <v>0</v>
          </cell>
          <cell r="N1321">
            <v>0</v>
          </cell>
        </row>
        <row r="1322">
          <cell r="C1322" t="str">
            <v/>
          </cell>
          <cell r="D1322">
            <v>0</v>
          </cell>
          <cell r="G1322">
            <v>0</v>
          </cell>
          <cell r="I1322">
            <v>0</v>
          </cell>
          <cell r="J1322">
            <v>0</v>
          </cell>
          <cell r="M1322">
            <v>0</v>
          </cell>
          <cell r="N1322">
            <v>0</v>
          </cell>
        </row>
        <row r="1323">
          <cell r="C1323" t="str">
            <v/>
          </cell>
          <cell r="D1323">
            <v>0</v>
          </cell>
          <cell r="G1323">
            <v>0</v>
          </cell>
          <cell r="I1323">
            <v>0</v>
          </cell>
          <cell r="J1323">
            <v>0</v>
          </cell>
          <cell r="M1323">
            <v>0</v>
          </cell>
          <cell r="N1323">
            <v>0</v>
          </cell>
        </row>
        <row r="1324">
          <cell r="C1324" t="str">
            <v/>
          </cell>
          <cell r="D1324">
            <v>0</v>
          </cell>
          <cell r="G1324">
            <v>0</v>
          </cell>
          <cell r="I1324">
            <v>0</v>
          </cell>
          <cell r="J1324">
            <v>0</v>
          </cell>
          <cell r="M1324">
            <v>0</v>
          </cell>
          <cell r="N1324">
            <v>0</v>
          </cell>
        </row>
        <row r="1325">
          <cell r="C1325" t="str">
            <v/>
          </cell>
          <cell r="D1325">
            <v>0</v>
          </cell>
          <cell r="G1325">
            <v>0</v>
          </cell>
          <cell r="I1325">
            <v>0</v>
          </cell>
          <cell r="J1325">
            <v>0</v>
          </cell>
          <cell r="M1325">
            <v>0</v>
          </cell>
          <cell r="N1325">
            <v>0</v>
          </cell>
        </row>
        <row r="1326">
          <cell r="C1326" t="str">
            <v/>
          </cell>
          <cell r="D1326">
            <v>0</v>
          </cell>
          <cell r="G1326">
            <v>0</v>
          </cell>
          <cell r="I1326">
            <v>0</v>
          </cell>
          <cell r="J1326">
            <v>0</v>
          </cell>
          <cell r="M1326">
            <v>0</v>
          </cell>
          <cell r="N1326">
            <v>0</v>
          </cell>
        </row>
        <row r="1327">
          <cell r="C1327" t="str">
            <v/>
          </cell>
          <cell r="D1327">
            <v>0</v>
          </cell>
          <cell r="G1327">
            <v>0</v>
          </cell>
          <cell r="I1327">
            <v>0</v>
          </cell>
          <cell r="J1327">
            <v>0</v>
          </cell>
          <cell r="M1327">
            <v>0</v>
          </cell>
          <cell r="N1327">
            <v>0</v>
          </cell>
        </row>
        <row r="1328">
          <cell r="C1328" t="str">
            <v/>
          </cell>
          <cell r="D1328">
            <v>0</v>
          </cell>
          <cell r="G1328">
            <v>0</v>
          </cell>
          <cell r="I1328">
            <v>0</v>
          </cell>
          <cell r="J1328">
            <v>0</v>
          </cell>
          <cell r="M1328">
            <v>0</v>
          </cell>
          <cell r="N1328">
            <v>0</v>
          </cell>
        </row>
        <row r="1329">
          <cell r="C1329" t="str">
            <v/>
          </cell>
          <cell r="D1329">
            <v>0</v>
          </cell>
          <cell r="G1329">
            <v>0</v>
          </cell>
          <cell r="I1329">
            <v>0</v>
          </cell>
          <cell r="J1329">
            <v>0</v>
          </cell>
          <cell r="M1329">
            <v>0</v>
          </cell>
          <cell r="N1329">
            <v>0</v>
          </cell>
        </row>
        <row r="1330">
          <cell r="C1330" t="str">
            <v/>
          </cell>
          <cell r="D1330">
            <v>0</v>
          </cell>
          <cell r="G1330">
            <v>0</v>
          </cell>
          <cell r="I1330">
            <v>0</v>
          </cell>
          <cell r="J1330">
            <v>0</v>
          </cell>
          <cell r="M1330">
            <v>0</v>
          </cell>
          <cell r="N1330">
            <v>0</v>
          </cell>
        </row>
        <row r="1331">
          <cell r="C1331" t="str">
            <v/>
          </cell>
          <cell r="D1331">
            <v>0</v>
          </cell>
          <cell r="G1331">
            <v>0</v>
          </cell>
          <cell r="I1331">
            <v>0</v>
          </cell>
          <cell r="J1331">
            <v>0</v>
          </cell>
          <cell r="M1331">
            <v>0</v>
          </cell>
          <cell r="N1331">
            <v>0</v>
          </cell>
        </row>
        <row r="1332">
          <cell r="C1332" t="str">
            <v/>
          </cell>
          <cell r="D1332">
            <v>0</v>
          </cell>
          <cell r="G1332">
            <v>0</v>
          </cell>
          <cell r="I1332">
            <v>0</v>
          </cell>
          <cell r="J1332">
            <v>0</v>
          </cell>
          <cell r="M1332">
            <v>0</v>
          </cell>
          <cell r="N1332">
            <v>0</v>
          </cell>
        </row>
        <row r="1333">
          <cell r="C1333" t="str">
            <v/>
          </cell>
          <cell r="D1333">
            <v>0</v>
          </cell>
          <cell r="G1333">
            <v>0</v>
          </cell>
          <cell r="I1333">
            <v>0</v>
          </cell>
          <cell r="J1333">
            <v>0</v>
          </cell>
          <cell r="M1333">
            <v>0</v>
          </cell>
          <cell r="N1333">
            <v>0</v>
          </cell>
        </row>
        <row r="1334">
          <cell r="C1334" t="str">
            <v/>
          </cell>
          <cell r="D1334">
            <v>0</v>
          </cell>
          <cell r="G1334">
            <v>0</v>
          </cell>
          <cell r="I1334">
            <v>0</v>
          </cell>
          <cell r="J1334">
            <v>0</v>
          </cell>
          <cell r="M1334">
            <v>0</v>
          </cell>
          <cell r="N1334">
            <v>0</v>
          </cell>
        </row>
        <row r="1335">
          <cell r="C1335" t="str">
            <v/>
          </cell>
          <cell r="D1335">
            <v>0</v>
          </cell>
          <cell r="G1335">
            <v>0</v>
          </cell>
          <cell r="I1335">
            <v>0</v>
          </cell>
          <cell r="J1335">
            <v>0</v>
          </cell>
          <cell r="M1335">
            <v>0</v>
          </cell>
          <cell r="N1335">
            <v>0</v>
          </cell>
        </row>
        <row r="1336">
          <cell r="C1336" t="str">
            <v/>
          </cell>
          <cell r="D1336">
            <v>0</v>
          </cell>
          <cell r="G1336">
            <v>0</v>
          </cell>
          <cell r="I1336">
            <v>0</v>
          </cell>
          <cell r="J1336">
            <v>0</v>
          </cell>
          <cell r="M1336">
            <v>0</v>
          </cell>
          <cell r="N1336">
            <v>0</v>
          </cell>
        </row>
        <row r="1337">
          <cell r="C1337" t="str">
            <v/>
          </cell>
          <cell r="D1337">
            <v>0</v>
          </cell>
          <cell r="G1337">
            <v>0</v>
          </cell>
          <cell r="I1337">
            <v>0</v>
          </cell>
          <cell r="J1337">
            <v>0</v>
          </cell>
          <cell r="M1337">
            <v>0</v>
          </cell>
          <cell r="N1337">
            <v>0</v>
          </cell>
        </row>
        <row r="1338">
          <cell r="C1338" t="str">
            <v/>
          </cell>
          <cell r="D1338">
            <v>0</v>
          </cell>
          <cell r="G1338">
            <v>0</v>
          </cell>
          <cell r="I1338">
            <v>0</v>
          </cell>
          <cell r="J1338">
            <v>0</v>
          </cell>
          <cell r="M1338">
            <v>0</v>
          </cell>
          <cell r="N1338">
            <v>0</v>
          </cell>
        </row>
        <row r="1339">
          <cell r="C1339" t="str">
            <v/>
          </cell>
          <cell r="D1339">
            <v>0</v>
          </cell>
          <cell r="G1339">
            <v>0</v>
          </cell>
          <cell r="I1339">
            <v>0</v>
          </cell>
          <cell r="J1339">
            <v>0</v>
          </cell>
          <cell r="M1339">
            <v>0</v>
          </cell>
          <cell r="N1339">
            <v>0</v>
          </cell>
        </row>
        <row r="1340">
          <cell r="C1340" t="str">
            <v/>
          </cell>
          <cell r="D1340">
            <v>0</v>
          </cell>
          <cell r="G1340">
            <v>0</v>
          </cell>
          <cell r="I1340">
            <v>0</v>
          </cell>
          <cell r="J1340">
            <v>0</v>
          </cell>
          <cell r="M1340">
            <v>0</v>
          </cell>
          <cell r="N1340">
            <v>0</v>
          </cell>
        </row>
        <row r="1341">
          <cell r="C1341" t="str">
            <v/>
          </cell>
          <cell r="D1341">
            <v>0</v>
          </cell>
          <cell r="G1341">
            <v>0</v>
          </cell>
          <cell r="I1341">
            <v>0</v>
          </cell>
          <cell r="J1341">
            <v>0</v>
          </cell>
          <cell r="M1341">
            <v>0</v>
          </cell>
          <cell r="N1341">
            <v>0</v>
          </cell>
        </row>
        <row r="1342">
          <cell r="C1342" t="str">
            <v/>
          </cell>
          <cell r="D1342">
            <v>0</v>
          </cell>
          <cell r="G1342">
            <v>0</v>
          </cell>
          <cell r="I1342">
            <v>0</v>
          </cell>
          <cell r="J1342">
            <v>0</v>
          </cell>
          <cell r="M1342">
            <v>0</v>
          </cell>
          <cell r="N1342">
            <v>0</v>
          </cell>
        </row>
        <row r="1343">
          <cell r="C1343" t="str">
            <v/>
          </cell>
          <cell r="D1343">
            <v>0</v>
          </cell>
          <cell r="G1343">
            <v>0</v>
          </cell>
          <cell r="I1343">
            <v>0</v>
          </cell>
          <cell r="J1343">
            <v>0</v>
          </cell>
          <cell r="M1343">
            <v>0</v>
          </cell>
          <cell r="N1343">
            <v>0</v>
          </cell>
        </row>
        <row r="1344">
          <cell r="C1344" t="str">
            <v/>
          </cell>
          <cell r="D1344">
            <v>0</v>
          </cell>
          <cell r="G1344">
            <v>0</v>
          </cell>
          <cell r="I1344">
            <v>0</v>
          </cell>
          <cell r="J1344">
            <v>0</v>
          </cell>
          <cell r="M1344">
            <v>0</v>
          </cell>
          <cell r="N1344">
            <v>0</v>
          </cell>
        </row>
        <row r="1345">
          <cell r="C1345" t="str">
            <v/>
          </cell>
          <cell r="D1345">
            <v>0</v>
          </cell>
          <cell r="G1345">
            <v>0</v>
          </cell>
          <cell r="I1345">
            <v>0</v>
          </cell>
          <cell r="J1345">
            <v>0</v>
          </cell>
          <cell r="M1345">
            <v>0</v>
          </cell>
          <cell r="N1345">
            <v>0</v>
          </cell>
        </row>
        <row r="1346">
          <cell r="C1346" t="str">
            <v/>
          </cell>
          <cell r="D1346">
            <v>0</v>
          </cell>
          <cell r="G1346">
            <v>0</v>
          </cell>
          <cell r="I1346">
            <v>0</v>
          </cell>
          <cell r="J1346">
            <v>0</v>
          </cell>
          <cell r="M1346">
            <v>0</v>
          </cell>
          <cell r="N1346">
            <v>0</v>
          </cell>
        </row>
        <row r="1347">
          <cell r="C1347" t="str">
            <v/>
          </cell>
          <cell r="D1347">
            <v>0</v>
          </cell>
          <cell r="G1347">
            <v>0</v>
          </cell>
          <cell r="I1347">
            <v>0</v>
          </cell>
          <cell r="J1347">
            <v>0</v>
          </cell>
          <cell r="M1347">
            <v>0</v>
          </cell>
          <cell r="N1347">
            <v>0</v>
          </cell>
        </row>
        <row r="1348">
          <cell r="C1348" t="str">
            <v/>
          </cell>
          <cell r="D1348">
            <v>0</v>
          </cell>
          <cell r="G1348">
            <v>0</v>
          </cell>
          <cell r="I1348">
            <v>0</v>
          </cell>
          <cell r="J1348">
            <v>0</v>
          </cell>
          <cell r="M1348">
            <v>0</v>
          </cell>
          <cell r="N1348">
            <v>0</v>
          </cell>
        </row>
        <row r="1349">
          <cell r="C1349" t="str">
            <v/>
          </cell>
          <cell r="D1349">
            <v>0</v>
          </cell>
          <cell r="G1349">
            <v>0</v>
          </cell>
          <cell r="I1349">
            <v>0</v>
          </cell>
          <cell r="J1349">
            <v>0</v>
          </cell>
          <cell r="M1349">
            <v>0</v>
          </cell>
          <cell r="N1349">
            <v>0</v>
          </cell>
        </row>
        <row r="1350">
          <cell r="C1350" t="str">
            <v/>
          </cell>
          <cell r="D1350">
            <v>0</v>
          </cell>
          <cell r="G1350">
            <v>0</v>
          </cell>
          <cell r="I1350">
            <v>0</v>
          </cell>
          <cell r="J1350">
            <v>0</v>
          </cell>
          <cell r="M1350">
            <v>0</v>
          </cell>
          <cell r="N1350">
            <v>0</v>
          </cell>
        </row>
        <row r="1351">
          <cell r="C1351" t="str">
            <v/>
          </cell>
          <cell r="D1351">
            <v>0</v>
          </cell>
          <cell r="G1351">
            <v>0</v>
          </cell>
          <cell r="I1351">
            <v>0</v>
          </cell>
          <cell r="J1351">
            <v>0</v>
          </cell>
          <cell r="M1351">
            <v>0</v>
          </cell>
          <cell r="N1351">
            <v>0</v>
          </cell>
        </row>
        <row r="1352">
          <cell r="C1352" t="str">
            <v/>
          </cell>
          <cell r="D1352">
            <v>0</v>
          </cell>
          <cell r="G1352">
            <v>0</v>
          </cell>
          <cell r="I1352">
            <v>0</v>
          </cell>
          <cell r="J1352">
            <v>0</v>
          </cell>
          <cell r="M1352">
            <v>0</v>
          </cell>
          <cell r="N1352">
            <v>0</v>
          </cell>
        </row>
        <row r="1353">
          <cell r="C1353" t="str">
            <v/>
          </cell>
          <cell r="D1353">
            <v>0</v>
          </cell>
          <cell r="G1353">
            <v>0</v>
          </cell>
          <cell r="I1353">
            <v>0</v>
          </cell>
          <cell r="J1353">
            <v>0</v>
          </cell>
          <cell r="M1353">
            <v>0</v>
          </cell>
          <cell r="N1353">
            <v>0</v>
          </cell>
        </row>
        <row r="1354">
          <cell r="C1354" t="str">
            <v/>
          </cell>
          <cell r="D1354">
            <v>0</v>
          </cell>
          <cell r="G1354">
            <v>0</v>
          </cell>
          <cell r="I1354">
            <v>0</v>
          </cell>
          <cell r="J1354">
            <v>0</v>
          </cell>
          <cell r="M1354">
            <v>0</v>
          </cell>
          <cell r="N1354">
            <v>0</v>
          </cell>
        </row>
        <row r="1355">
          <cell r="C1355" t="str">
            <v/>
          </cell>
          <cell r="D1355">
            <v>0</v>
          </cell>
          <cell r="G1355">
            <v>0</v>
          </cell>
          <cell r="I1355">
            <v>0</v>
          </cell>
          <cell r="J1355">
            <v>0</v>
          </cell>
          <cell r="M1355">
            <v>0</v>
          </cell>
          <cell r="N1355">
            <v>0</v>
          </cell>
        </row>
        <row r="1356">
          <cell r="C1356" t="str">
            <v/>
          </cell>
          <cell r="D1356">
            <v>0</v>
          </cell>
          <cell r="G1356">
            <v>0</v>
          </cell>
          <cell r="I1356">
            <v>0</v>
          </cell>
          <cell r="J1356">
            <v>0</v>
          </cell>
          <cell r="M1356">
            <v>0</v>
          </cell>
          <cell r="N1356">
            <v>0</v>
          </cell>
        </row>
        <row r="1357">
          <cell r="C1357" t="str">
            <v/>
          </cell>
          <cell r="D1357">
            <v>0</v>
          </cell>
          <cell r="G1357">
            <v>0</v>
          </cell>
          <cell r="I1357">
            <v>0</v>
          </cell>
          <cell r="J1357">
            <v>0</v>
          </cell>
          <cell r="M1357">
            <v>0</v>
          </cell>
          <cell r="N1357">
            <v>0</v>
          </cell>
        </row>
        <row r="1358">
          <cell r="C1358" t="str">
            <v/>
          </cell>
          <cell r="D1358">
            <v>0</v>
          </cell>
          <cell r="G1358">
            <v>0</v>
          </cell>
          <cell r="I1358">
            <v>0</v>
          </cell>
          <cell r="J1358">
            <v>0</v>
          </cell>
          <cell r="M1358">
            <v>0</v>
          </cell>
          <cell r="N1358">
            <v>0</v>
          </cell>
        </row>
        <row r="1359">
          <cell r="C1359" t="str">
            <v/>
          </cell>
          <cell r="D1359">
            <v>0</v>
          </cell>
          <cell r="G1359">
            <v>0</v>
          </cell>
          <cell r="I1359">
            <v>0</v>
          </cell>
          <cell r="J1359">
            <v>0</v>
          </cell>
          <cell r="M1359">
            <v>0</v>
          </cell>
          <cell r="N1359">
            <v>0</v>
          </cell>
        </row>
        <row r="1360">
          <cell r="C1360" t="str">
            <v/>
          </cell>
          <cell r="D1360">
            <v>0</v>
          </cell>
          <cell r="G1360">
            <v>0</v>
          </cell>
          <cell r="I1360">
            <v>0</v>
          </cell>
          <cell r="J1360">
            <v>0</v>
          </cell>
          <cell r="M1360">
            <v>0</v>
          </cell>
          <cell r="N1360">
            <v>0</v>
          </cell>
        </row>
        <row r="1361">
          <cell r="C1361" t="str">
            <v/>
          </cell>
          <cell r="D1361">
            <v>0</v>
          </cell>
          <cell r="G1361">
            <v>0</v>
          </cell>
          <cell r="I1361">
            <v>0</v>
          </cell>
          <cell r="J1361">
            <v>0</v>
          </cell>
          <cell r="M1361">
            <v>0</v>
          </cell>
          <cell r="N1361">
            <v>0</v>
          </cell>
        </row>
        <row r="1362">
          <cell r="C1362" t="str">
            <v/>
          </cell>
          <cell r="D1362">
            <v>0</v>
          </cell>
          <cell r="G1362">
            <v>0</v>
          </cell>
          <cell r="I1362">
            <v>0</v>
          </cell>
          <cell r="J1362">
            <v>0</v>
          </cell>
          <cell r="M1362">
            <v>0</v>
          </cell>
          <cell r="N1362">
            <v>0</v>
          </cell>
        </row>
        <row r="1363">
          <cell r="C1363" t="str">
            <v/>
          </cell>
          <cell r="D1363">
            <v>0</v>
          </cell>
          <cell r="G1363">
            <v>0</v>
          </cell>
          <cell r="I1363">
            <v>0</v>
          </cell>
          <cell r="J1363">
            <v>0</v>
          </cell>
          <cell r="M1363">
            <v>0</v>
          </cell>
          <cell r="N1363">
            <v>0</v>
          </cell>
        </row>
        <row r="1364">
          <cell r="C1364" t="str">
            <v/>
          </cell>
          <cell r="D1364">
            <v>0</v>
          </cell>
          <cell r="G1364">
            <v>0</v>
          </cell>
          <cell r="I1364">
            <v>0</v>
          </cell>
          <cell r="J1364">
            <v>0</v>
          </cell>
          <cell r="M1364">
            <v>0</v>
          </cell>
          <cell r="N1364">
            <v>0</v>
          </cell>
        </row>
        <row r="1365">
          <cell r="C1365" t="str">
            <v/>
          </cell>
          <cell r="D1365">
            <v>0</v>
          </cell>
          <cell r="G1365">
            <v>0</v>
          </cell>
          <cell r="I1365">
            <v>0</v>
          </cell>
          <cell r="J1365">
            <v>0</v>
          </cell>
          <cell r="M1365">
            <v>0</v>
          </cell>
          <cell r="N1365">
            <v>0</v>
          </cell>
        </row>
        <row r="1366">
          <cell r="C1366" t="str">
            <v/>
          </cell>
          <cell r="D1366">
            <v>0</v>
          </cell>
          <cell r="G1366">
            <v>0</v>
          </cell>
          <cell r="I1366">
            <v>0</v>
          </cell>
          <cell r="J1366">
            <v>0</v>
          </cell>
          <cell r="M1366">
            <v>0</v>
          </cell>
          <cell r="N1366">
            <v>0</v>
          </cell>
        </row>
        <row r="1367">
          <cell r="C1367" t="str">
            <v/>
          </cell>
          <cell r="D1367">
            <v>0</v>
          </cell>
          <cell r="G1367">
            <v>0</v>
          </cell>
          <cell r="I1367">
            <v>0</v>
          </cell>
          <cell r="J1367">
            <v>0</v>
          </cell>
          <cell r="M1367">
            <v>0</v>
          </cell>
          <cell r="N1367">
            <v>0</v>
          </cell>
        </row>
        <row r="1368">
          <cell r="C1368" t="str">
            <v/>
          </cell>
          <cell r="D1368">
            <v>0</v>
          </cell>
          <cell r="G1368">
            <v>0</v>
          </cell>
          <cell r="I1368">
            <v>0</v>
          </cell>
          <cell r="J1368">
            <v>0</v>
          </cell>
          <cell r="M1368">
            <v>0</v>
          </cell>
          <cell r="N1368">
            <v>0</v>
          </cell>
        </row>
        <row r="1369">
          <cell r="C1369" t="str">
            <v/>
          </cell>
          <cell r="D1369">
            <v>0</v>
          </cell>
          <cell r="G1369">
            <v>0</v>
          </cell>
          <cell r="I1369">
            <v>0</v>
          </cell>
          <cell r="J1369">
            <v>0</v>
          </cell>
          <cell r="M1369">
            <v>0</v>
          </cell>
          <cell r="N1369">
            <v>0</v>
          </cell>
        </row>
        <row r="1370">
          <cell r="C1370" t="str">
            <v/>
          </cell>
          <cell r="D1370">
            <v>0</v>
          </cell>
          <cell r="G1370">
            <v>0</v>
          </cell>
          <cell r="I1370">
            <v>0</v>
          </cell>
          <cell r="J1370">
            <v>0</v>
          </cell>
          <cell r="M1370">
            <v>0</v>
          </cell>
          <cell r="N1370">
            <v>0</v>
          </cell>
        </row>
        <row r="1371">
          <cell r="C1371" t="str">
            <v/>
          </cell>
          <cell r="D1371">
            <v>0</v>
          </cell>
          <cell r="G1371">
            <v>0</v>
          </cell>
          <cell r="I1371">
            <v>0</v>
          </cell>
          <cell r="J1371">
            <v>0</v>
          </cell>
          <cell r="M1371">
            <v>0</v>
          </cell>
          <cell r="N1371">
            <v>0</v>
          </cell>
        </row>
        <row r="1372">
          <cell r="C1372" t="str">
            <v/>
          </cell>
          <cell r="D1372">
            <v>0</v>
          </cell>
          <cell r="G1372">
            <v>0</v>
          </cell>
          <cell r="I1372">
            <v>0</v>
          </cell>
          <cell r="J1372">
            <v>0</v>
          </cell>
          <cell r="M1372">
            <v>0</v>
          </cell>
          <cell r="N1372">
            <v>0</v>
          </cell>
        </row>
        <row r="1373">
          <cell r="C1373" t="str">
            <v/>
          </cell>
          <cell r="D1373">
            <v>0</v>
          </cell>
          <cell r="G1373">
            <v>0</v>
          </cell>
          <cell r="I1373">
            <v>0</v>
          </cell>
          <cell r="J1373">
            <v>0</v>
          </cell>
          <cell r="M1373">
            <v>0</v>
          </cell>
          <cell r="N1373">
            <v>0</v>
          </cell>
        </row>
        <row r="1374">
          <cell r="C1374" t="str">
            <v/>
          </cell>
          <cell r="D1374">
            <v>0</v>
          </cell>
          <cell r="G1374">
            <v>0</v>
          </cell>
          <cell r="I1374">
            <v>0</v>
          </cell>
          <cell r="J1374">
            <v>0</v>
          </cell>
          <cell r="M1374">
            <v>0</v>
          </cell>
          <cell r="N1374">
            <v>0</v>
          </cell>
        </row>
        <row r="1375">
          <cell r="C1375" t="str">
            <v/>
          </cell>
          <cell r="D1375">
            <v>0</v>
          </cell>
          <cell r="G1375">
            <v>0</v>
          </cell>
          <cell r="I1375">
            <v>0</v>
          </cell>
          <cell r="J1375">
            <v>0</v>
          </cell>
          <cell r="M1375">
            <v>0</v>
          </cell>
          <cell r="N1375">
            <v>0</v>
          </cell>
        </row>
        <row r="1376">
          <cell r="C1376" t="str">
            <v/>
          </cell>
          <cell r="D1376">
            <v>0</v>
          </cell>
          <cell r="G1376">
            <v>0</v>
          </cell>
          <cell r="I1376">
            <v>0</v>
          </cell>
          <cell r="J1376">
            <v>0</v>
          </cell>
          <cell r="M1376">
            <v>0</v>
          </cell>
          <cell r="N1376">
            <v>0</v>
          </cell>
        </row>
        <row r="1377">
          <cell r="C1377" t="str">
            <v/>
          </cell>
          <cell r="D1377">
            <v>0</v>
          </cell>
          <cell r="G1377">
            <v>0</v>
          </cell>
          <cell r="I1377">
            <v>0</v>
          </cell>
          <cell r="J1377">
            <v>0</v>
          </cell>
          <cell r="M1377">
            <v>0</v>
          </cell>
          <cell r="N1377">
            <v>0</v>
          </cell>
        </row>
        <row r="1378">
          <cell r="C1378" t="str">
            <v/>
          </cell>
          <cell r="D1378">
            <v>0</v>
          </cell>
          <cell r="G1378">
            <v>0</v>
          </cell>
          <cell r="I1378">
            <v>0</v>
          </cell>
          <cell r="J1378">
            <v>0</v>
          </cell>
          <cell r="M1378">
            <v>0</v>
          </cell>
          <cell r="N1378">
            <v>0</v>
          </cell>
        </row>
        <row r="1379">
          <cell r="C1379" t="str">
            <v/>
          </cell>
          <cell r="D1379">
            <v>0</v>
          </cell>
          <cell r="G1379">
            <v>0</v>
          </cell>
          <cell r="I1379">
            <v>0</v>
          </cell>
          <cell r="J1379">
            <v>0</v>
          </cell>
          <cell r="M1379">
            <v>0</v>
          </cell>
          <cell r="N1379">
            <v>0</v>
          </cell>
        </row>
        <row r="1380">
          <cell r="C1380" t="str">
            <v/>
          </cell>
          <cell r="D1380">
            <v>0</v>
          </cell>
          <cell r="G1380">
            <v>0</v>
          </cell>
          <cell r="I1380">
            <v>0</v>
          </cell>
          <cell r="J1380">
            <v>0</v>
          </cell>
          <cell r="M1380">
            <v>0</v>
          </cell>
          <cell r="N1380">
            <v>0</v>
          </cell>
        </row>
        <row r="1381">
          <cell r="C1381" t="str">
            <v/>
          </cell>
          <cell r="D1381">
            <v>0</v>
          </cell>
          <cell r="G1381">
            <v>0</v>
          </cell>
          <cell r="I1381">
            <v>0</v>
          </cell>
          <cell r="J1381">
            <v>0</v>
          </cell>
          <cell r="M1381">
            <v>0</v>
          </cell>
          <cell r="N1381">
            <v>0</v>
          </cell>
        </row>
        <row r="1382">
          <cell r="C1382" t="str">
            <v/>
          </cell>
          <cell r="D1382">
            <v>0</v>
          </cell>
          <cell r="G1382">
            <v>0</v>
          </cell>
          <cell r="I1382">
            <v>0</v>
          </cell>
          <cell r="J1382">
            <v>0</v>
          </cell>
          <cell r="M1382">
            <v>0</v>
          </cell>
          <cell r="N1382">
            <v>0</v>
          </cell>
        </row>
        <row r="1383">
          <cell r="C1383" t="str">
            <v/>
          </cell>
          <cell r="D1383">
            <v>0</v>
          </cell>
          <cell r="G1383">
            <v>0</v>
          </cell>
          <cell r="I1383">
            <v>0</v>
          </cell>
          <cell r="J1383">
            <v>0</v>
          </cell>
          <cell r="M1383">
            <v>0</v>
          </cell>
          <cell r="N1383">
            <v>0</v>
          </cell>
        </row>
        <row r="1384">
          <cell r="C1384" t="str">
            <v/>
          </cell>
          <cell r="D1384">
            <v>0</v>
          </cell>
          <cell r="G1384">
            <v>0</v>
          </cell>
          <cell r="I1384">
            <v>0</v>
          </cell>
          <cell r="J1384">
            <v>0</v>
          </cell>
          <cell r="M1384">
            <v>0</v>
          </cell>
          <cell r="N1384">
            <v>0</v>
          </cell>
        </row>
        <row r="1385">
          <cell r="C1385" t="str">
            <v/>
          </cell>
          <cell r="D1385">
            <v>0</v>
          </cell>
          <cell r="G1385">
            <v>0</v>
          </cell>
          <cell r="I1385">
            <v>0</v>
          </cell>
          <cell r="J1385">
            <v>0</v>
          </cell>
          <cell r="M1385">
            <v>0</v>
          </cell>
          <cell r="N1385">
            <v>0</v>
          </cell>
        </row>
        <row r="1386">
          <cell r="C1386" t="str">
            <v/>
          </cell>
          <cell r="D1386">
            <v>0</v>
          </cell>
          <cell r="G1386">
            <v>0</v>
          </cell>
          <cell r="I1386">
            <v>0</v>
          </cell>
          <cell r="J1386">
            <v>0</v>
          </cell>
          <cell r="M1386">
            <v>0</v>
          </cell>
          <cell r="N1386">
            <v>0</v>
          </cell>
        </row>
        <row r="1387">
          <cell r="C1387" t="str">
            <v/>
          </cell>
          <cell r="D1387">
            <v>0</v>
          </cell>
          <cell r="G1387">
            <v>0</v>
          </cell>
          <cell r="I1387">
            <v>0</v>
          </cell>
          <cell r="J1387">
            <v>0</v>
          </cell>
          <cell r="M1387">
            <v>0</v>
          </cell>
          <cell r="N1387">
            <v>0</v>
          </cell>
        </row>
        <row r="1388">
          <cell r="C1388" t="str">
            <v/>
          </cell>
          <cell r="D1388">
            <v>0</v>
          </cell>
          <cell r="G1388">
            <v>0</v>
          </cell>
          <cell r="I1388">
            <v>0</v>
          </cell>
          <cell r="J1388">
            <v>0</v>
          </cell>
          <cell r="M1388">
            <v>0</v>
          </cell>
          <cell r="N1388">
            <v>0</v>
          </cell>
        </row>
        <row r="1389">
          <cell r="C1389" t="str">
            <v/>
          </cell>
          <cell r="D1389">
            <v>0</v>
          </cell>
          <cell r="G1389">
            <v>0</v>
          </cell>
          <cell r="I1389">
            <v>0</v>
          </cell>
          <cell r="J1389">
            <v>0</v>
          </cell>
          <cell r="M1389">
            <v>0</v>
          </cell>
          <cell r="N1389">
            <v>0</v>
          </cell>
        </row>
        <row r="1390">
          <cell r="C1390" t="str">
            <v/>
          </cell>
          <cell r="D1390">
            <v>0</v>
          </cell>
          <cell r="G1390">
            <v>0</v>
          </cell>
          <cell r="I1390">
            <v>0</v>
          </cell>
          <cell r="J1390">
            <v>0</v>
          </cell>
          <cell r="M1390">
            <v>0</v>
          </cell>
          <cell r="N1390">
            <v>0</v>
          </cell>
        </row>
        <row r="1391">
          <cell r="C1391" t="str">
            <v/>
          </cell>
          <cell r="D1391">
            <v>0</v>
          </cell>
          <cell r="G1391">
            <v>0</v>
          </cell>
          <cell r="I1391">
            <v>0</v>
          </cell>
          <cell r="J1391">
            <v>0</v>
          </cell>
          <cell r="M1391">
            <v>0</v>
          </cell>
          <cell r="N1391">
            <v>0</v>
          </cell>
        </row>
        <row r="1392">
          <cell r="C1392" t="str">
            <v/>
          </cell>
          <cell r="D1392">
            <v>0</v>
          </cell>
          <cell r="G1392">
            <v>0</v>
          </cell>
          <cell r="I1392">
            <v>0</v>
          </cell>
          <cell r="J1392">
            <v>0</v>
          </cell>
          <cell r="M1392">
            <v>0</v>
          </cell>
          <cell r="N1392">
            <v>0</v>
          </cell>
        </row>
        <row r="1393">
          <cell r="C1393" t="str">
            <v/>
          </cell>
          <cell r="D1393">
            <v>0</v>
          </cell>
          <cell r="G1393">
            <v>0</v>
          </cell>
          <cell r="I1393">
            <v>0</v>
          </cell>
          <cell r="J1393">
            <v>0</v>
          </cell>
          <cell r="M1393">
            <v>0</v>
          </cell>
          <cell r="N1393">
            <v>0</v>
          </cell>
        </row>
        <row r="1394">
          <cell r="C1394" t="str">
            <v/>
          </cell>
          <cell r="D1394">
            <v>0</v>
          </cell>
          <cell r="G1394">
            <v>0</v>
          </cell>
          <cell r="I1394">
            <v>0</v>
          </cell>
          <cell r="J1394">
            <v>0</v>
          </cell>
          <cell r="M1394">
            <v>0</v>
          </cell>
          <cell r="N1394">
            <v>0</v>
          </cell>
        </row>
        <row r="1395">
          <cell r="C1395" t="str">
            <v/>
          </cell>
          <cell r="D1395">
            <v>0</v>
          </cell>
          <cell r="G1395">
            <v>0</v>
          </cell>
          <cell r="I1395">
            <v>0</v>
          </cell>
          <cell r="J1395">
            <v>0</v>
          </cell>
          <cell r="M1395">
            <v>0</v>
          </cell>
          <cell r="N1395">
            <v>0</v>
          </cell>
        </row>
        <row r="1396">
          <cell r="C1396" t="str">
            <v/>
          </cell>
          <cell r="D1396">
            <v>0</v>
          </cell>
          <cell r="G1396">
            <v>0</v>
          </cell>
          <cell r="I1396">
            <v>0</v>
          </cell>
          <cell r="J1396">
            <v>0</v>
          </cell>
          <cell r="M1396">
            <v>0</v>
          </cell>
          <cell r="N1396">
            <v>0</v>
          </cell>
        </row>
        <row r="1397">
          <cell r="C1397" t="str">
            <v/>
          </cell>
          <cell r="D1397">
            <v>0</v>
          </cell>
          <cell r="G1397">
            <v>0</v>
          </cell>
          <cell r="I1397">
            <v>0</v>
          </cell>
          <cell r="J1397">
            <v>0</v>
          </cell>
          <cell r="M1397">
            <v>0</v>
          </cell>
          <cell r="N1397">
            <v>0</v>
          </cell>
        </row>
        <row r="1398">
          <cell r="C1398" t="str">
            <v/>
          </cell>
          <cell r="D1398">
            <v>0</v>
          </cell>
          <cell r="G1398">
            <v>0</v>
          </cell>
          <cell r="I1398">
            <v>0</v>
          </cell>
          <cell r="J1398">
            <v>0</v>
          </cell>
          <cell r="M1398">
            <v>0</v>
          </cell>
          <cell r="N1398">
            <v>0</v>
          </cell>
        </row>
        <row r="1399">
          <cell r="C1399" t="str">
            <v/>
          </cell>
          <cell r="D1399">
            <v>0</v>
          </cell>
          <cell r="G1399">
            <v>0</v>
          </cell>
          <cell r="I1399">
            <v>0</v>
          </cell>
          <cell r="J1399">
            <v>0</v>
          </cell>
          <cell r="M1399">
            <v>0</v>
          </cell>
          <cell r="N1399">
            <v>0</v>
          </cell>
        </row>
        <row r="1400">
          <cell r="C1400" t="str">
            <v/>
          </cell>
          <cell r="D1400">
            <v>0</v>
          </cell>
          <cell r="G1400">
            <v>0</v>
          </cell>
          <cell r="I1400">
            <v>0</v>
          </cell>
          <cell r="J1400">
            <v>0</v>
          </cell>
          <cell r="M1400">
            <v>0</v>
          </cell>
          <cell r="N1400">
            <v>0</v>
          </cell>
        </row>
        <row r="1401">
          <cell r="C1401" t="str">
            <v/>
          </cell>
          <cell r="D1401">
            <v>0</v>
          </cell>
          <cell r="G1401">
            <v>0</v>
          </cell>
          <cell r="I1401">
            <v>0</v>
          </cell>
          <cell r="J1401">
            <v>0</v>
          </cell>
          <cell r="M1401">
            <v>0</v>
          </cell>
          <cell r="N1401">
            <v>0</v>
          </cell>
        </row>
        <row r="1402">
          <cell r="C1402" t="str">
            <v/>
          </cell>
          <cell r="D1402">
            <v>0</v>
          </cell>
          <cell r="G1402">
            <v>0</v>
          </cell>
          <cell r="I1402">
            <v>0</v>
          </cell>
          <cell r="J1402">
            <v>0</v>
          </cell>
          <cell r="M1402">
            <v>0</v>
          </cell>
          <cell r="N1402">
            <v>0</v>
          </cell>
        </row>
        <row r="1403">
          <cell r="C1403" t="str">
            <v/>
          </cell>
          <cell r="D1403">
            <v>0</v>
          </cell>
          <cell r="G1403">
            <v>0</v>
          </cell>
          <cell r="I1403">
            <v>0</v>
          </cell>
          <cell r="J1403">
            <v>0</v>
          </cell>
          <cell r="M1403">
            <v>0</v>
          </cell>
          <cell r="N1403">
            <v>0</v>
          </cell>
        </row>
        <row r="1404">
          <cell r="C1404" t="str">
            <v/>
          </cell>
          <cell r="D1404">
            <v>0</v>
          </cell>
          <cell r="G1404">
            <v>0</v>
          </cell>
          <cell r="I1404">
            <v>0</v>
          </cell>
          <cell r="J1404">
            <v>0</v>
          </cell>
          <cell r="M1404">
            <v>0</v>
          </cell>
          <cell r="N1404">
            <v>0</v>
          </cell>
        </row>
        <row r="1405">
          <cell r="C1405" t="str">
            <v/>
          </cell>
          <cell r="D1405">
            <v>0</v>
          </cell>
          <cell r="G1405">
            <v>0</v>
          </cell>
          <cell r="I1405">
            <v>0</v>
          </cell>
          <cell r="J1405">
            <v>0</v>
          </cell>
          <cell r="M1405">
            <v>0</v>
          </cell>
          <cell r="N1405">
            <v>0</v>
          </cell>
        </row>
        <row r="1406">
          <cell r="C1406" t="str">
            <v/>
          </cell>
          <cell r="D1406">
            <v>0</v>
          </cell>
          <cell r="G1406">
            <v>0</v>
          </cell>
          <cell r="I1406">
            <v>0</v>
          </cell>
          <cell r="J1406">
            <v>0</v>
          </cell>
          <cell r="M1406">
            <v>0</v>
          </cell>
          <cell r="N1406">
            <v>0</v>
          </cell>
        </row>
        <row r="1407">
          <cell r="C1407" t="str">
            <v/>
          </cell>
          <cell r="D1407">
            <v>0</v>
          </cell>
          <cell r="G1407">
            <v>0</v>
          </cell>
          <cell r="I1407">
            <v>0</v>
          </cell>
          <cell r="J1407">
            <v>0</v>
          </cell>
          <cell r="M1407">
            <v>0</v>
          </cell>
          <cell r="N1407">
            <v>0</v>
          </cell>
        </row>
        <row r="1408">
          <cell r="C1408" t="str">
            <v/>
          </cell>
          <cell r="D1408">
            <v>0</v>
          </cell>
          <cell r="G1408">
            <v>0</v>
          </cell>
          <cell r="I1408">
            <v>0</v>
          </cell>
          <cell r="J1408">
            <v>0</v>
          </cell>
          <cell r="M1408">
            <v>0</v>
          </cell>
          <cell r="N1408">
            <v>0</v>
          </cell>
        </row>
        <row r="1409">
          <cell r="C1409" t="str">
            <v/>
          </cell>
          <cell r="D1409">
            <v>0</v>
          </cell>
          <cell r="G1409">
            <v>0</v>
          </cell>
          <cell r="I1409">
            <v>0</v>
          </cell>
          <cell r="J1409">
            <v>0</v>
          </cell>
          <cell r="M1409">
            <v>0</v>
          </cell>
          <cell r="N1409">
            <v>0</v>
          </cell>
        </row>
        <row r="1410">
          <cell r="C1410" t="str">
            <v/>
          </cell>
          <cell r="D1410">
            <v>0</v>
          </cell>
          <cell r="G1410">
            <v>0</v>
          </cell>
          <cell r="I1410">
            <v>0</v>
          </cell>
          <cell r="J1410">
            <v>0</v>
          </cell>
          <cell r="M1410">
            <v>0</v>
          </cell>
          <cell r="N1410">
            <v>0</v>
          </cell>
        </row>
        <row r="1411">
          <cell r="C1411" t="str">
            <v/>
          </cell>
          <cell r="D1411">
            <v>0</v>
          </cell>
          <cell r="G1411">
            <v>0</v>
          </cell>
          <cell r="I1411">
            <v>0</v>
          </cell>
          <cell r="J1411">
            <v>0</v>
          </cell>
          <cell r="M1411">
            <v>0</v>
          </cell>
          <cell r="N1411">
            <v>0</v>
          </cell>
        </row>
        <row r="1412">
          <cell r="C1412" t="str">
            <v/>
          </cell>
          <cell r="D1412">
            <v>0</v>
          </cell>
          <cell r="G1412">
            <v>0</v>
          </cell>
          <cell r="I1412">
            <v>0</v>
          </cell>
          <cell r="J1412">
            <v>0</v>
          </cell>
          <cell r="M1412">
            <v>0</v>
          </cell>
          <cell r="N1412">
            <v>0</v>
          </cell>
        </row>
        <row r="1413">
          <cell r="C1413" t="str">
            <v/>
          </cell>
          <cell r="D1413">
            <v>0</v>
          </cell>
          <cell r="G1413">
            <v>0</v>
          </cell>
          <cell r="I1413">
            <v>0</v>
          </cell>
          <cell r="J1413">
            <v>0</v>
          </cell>
          <cell r="M1413">
            <v>0</v>
          </cell>
          <cell r="N1413">
            <v>0</v>
          </cell>
        </row>
        <row r="1414">
          <cell r="C1414" t="str">
            <v/>
          </cell>
          <cell r="D1414">
            <v>0</v>
          </cell>
          <cell r="G1414">
            <v>0</v>
          </cell>
          <cell r="I1414">
            <v>0</v>
          </cell>
          <cell r="J1414">
            <v>0</v>
          </cell>
          <cell r="M1414">
            <v>0</v>
          </cell>
          <cell r="N1414">
            <v>0</v>
          </cell>
        </row>
        <row r="1415">
          <cell r="C1415" t="str">
            <v/>
          </cell>
          <cell r="D1415">
            <v>0</v>
          </cell>
          <cell r="G1415">
            <v>0</v>
          </cell>
          <cell r="I1415">
            <v>0</v>
          </cell>
          <cell r="J1415">
            <v>0</v>
          </cell>
          <cell r="M1415">
            <v>0</v>
          </cell>
          <cell r="N1415">
            <v>0</v>
          </cell>
        </row>
        <row r="1416">
          <cell r="C1416" t="str">
            <v/>
          </cell>
          <cell r="D1416">
            <v>0</v>
          </cell>
          <cell r="G1416">
            <v>0</v>
          </cell>
          <cell r="I1416">
            <v>0</v>
          </cell>
          <cell r="J1416">
            <v>0</v>
          </cell>
          <cell r="M1416">
            <v>0</v>
          </cell>
          <cell r="N1416">
            <v>0</v>
          </cell>
        </row>
        <row r="1417">
          <cell r="C1417" t="str">
            <v/>
          </cell>
          <cell r="D1417">
            <v>0</v>
          </cell>
          <cell r="G1417">
            <v>0</v>
          </cell>
          <cell r="I1417">
            <v>0</v>
          </cell>
          <cell r="J1417">
            <v>0</v>
          </cell>
          <cell r="M1417">
            <v>0</v>
          </cell>
          <cell r="N1417">
            <v>0</v>
          </cell>
        </row>
        <row r="1418">
          <cell r="C1418" t="str">
            <v/>
          </cell>
          <cell r="D1418">
            <v>0</v>
          </cell>
          <cell r="G1418">
            <v>0</v>
          </cell>
          <cell r="I1418">
            <v>0</v>
          </cell>
          <cell r="J1418">
            <v>0</v>
          </cell>
          <cell r="M1418">
            <v>0</v>
          </cell>
          <cell r="N1418">
            <v>0</v>
          </cell>
        </row>
        <row r="1419">
          <cell r="C1419" t="str">
            <v/>
          </cell>
          <cell r="D1419">
            <v>0</v>
          </cell>
          <cell r="G1419">
            <v>0</v>
          </cell>
          <cell r="I1419">
            <v>0</v>
          </cell>
          <cell r="J1419">
            <v>0</v>
          </cell>
          <cell r="M1419">
            <v>0</v>
          </cell>
          <cell r="N1419">
            <v>0</v>
          </cell>
        </row>
        <row r="1420">
          <cell r="C1420" t="str">
            <v/>
          </cell>
          <cell r="D1420">
            <v>0</v>
          </cell>
          <cell r="G1420">
            <v>0</v>
          </cell>
          <cell r="I1420">
            <v>0</v>
          </cell>
          <cell r="J1420">
            <v>0</v>
          </cell>
          <cell r="M1420">
            <v>0</v>
          </cell>
          <cell r="N1420">
            <v>0</v>
          </cell>
        </row>
        <row r="1421">
          <cell r="C1421" t="str">
            <v/>
          </cell>
          <cell r="D1421">
            <v>0</v>
          </cell>
          <cell r="G1421">
            <v>0</v>
          </cell>
          <cell r="I1421">
            <v>0</v>
          </cell>
          <cell r="J1421">
            <v>0</v>
          </cell>
          <cell r="M1421">
            <v>0</v>
          </cell>
          <cell r="N1421">
            <v>0</v>
          </cell>
        </row>
        <row r="1422">
          <cell r="C1422" t="str">
            <v/>
          </cell>
          <cell r="D1422">
            <v>0</v>
          </cell>
          <cell r="G1422">
            <v>0</v>
          </cell>
          <cell r="I1422">
            <v>0</v>
          </cell>
          <cell r="J1422">
            <v>0</v>
          </cell>
          <cell r="M1422">
            <v>0</v>
          </cell>
          <cell r="N1422">
            <v>0</v>
          </cell>
        </row>
        <row r="1423">
          <cell r="C1423" t="str">
            <v/>
          </cell>
          <cell r="D1423">
            <v>0</v>
          </cell>
          <cell r="G1423">
            <v>0</v>
          </cell>
          <cell r="I1423">
            <v>0</v>
          </cell>
          <cell r="J1423">
            <v>0</v>
          </cell>
          <cell r="M1423">
            <v>0</v>
          </cell>
          <cell r="N1423">
            <v>0</v>
          </cell>
        </row>
        <row r="1424">
          <cell r="C1424" t="str">
            <v/>
          </cell>
          <cell r="D1424">
            <v>0</v>
          </cell>
          <cell r="G1424">
            <v>0</v>
          </cell>
          <cell r="I1424">
            <v>0</v>
          </cell>
          <cell r="J1424">
            <v>0</v>
          </cell>
          <cell r="M1424">
            <v>0</v>
          </cell>
          <cell r="N1424">
            <v>0</v>
          </cell>
        </row>
        <row r="1425">
          <cell r="C1425" t="str">
            <v/>
          </cell>
          <cell r="D1425">
            <v>0</v>
          </cell>
          <cell r="G1425">
            <v>0</v>
          </cell>
          <cell r="I1425">
            <v>0</v>
          </cell>
          <cell r="J1425">
            <v>0</v>
          </cell>
          <cell r="M1425">
            <v>0</v>
          </cell>
          <cell r="N1425">
            <v>0</v>
          </cell>
        </row>
        <row r="1426">
          <cell r="C1426" t="str">
            <v/>
          </cell>
          <cell r="D1426">
            <v>0</v>
          </cell>
          <cell r="G1426">
            <v>0</v>
          </cell>
          <cell r="I1426">
            <v>0</v>
          </cell>
          <cell r="J1426">
            <v>0</v>
          </cell>
          <cell r="M1426">
            <v>0</v>
          </cell>
          <cell r="N1426">
            <v>0</v>
          </cell>
        </row>
        <row r="1427">
          <cell r="C1427" t="str">
            <v/>
          </cell>
          <cell r="D1427">
            <v>0</v>
          </cell>
          <cell r="G1427">
            <v>0</v>
          </cell>
          <cell r="I1427">
            <v>0</v>
          </cell>
          <cell r="J1427">
            <v>0</v>
          </cell>
          <cell r="M1427">
            <v>0</v>
          </cell>
          <cell r="N1427">
            <v>0</v>
          </cell>
        </row>
        <row r="1428">
          <cell r="C1428" t="str">
            <v/>
          </cell>
          <cell r="D1428">
            <v>0</v>
          </cell>
          <cell r="G1428">
            <v>0</v>
          </cell>
          <cell r="I1428">
            <v>0</v>
          </cell>
          <cell r="J1428">
            <v>0</v>
          </cell>
          <cell r="M1428">
            <v>0</v>
          </cell>
          <cell r="N1428">
            <v>0</v>
          </cell>
        </row>
        <row r="1429">
          <cell r="C1429" t="str">
            <v/>
          </cell>
          <cell r="D1429">
            <v>0</v>
          </cell>
          <cell r="G1429">
            <v>0</v>
          </cell>
          <cell r="I1429">
            <v>0</v>
          </cell>
          <cell r="J1429">
            <v>0</v>
          </cell>
          <cell r="M1429">
            <v>0</v>
          </cell>
          <cell r="N1429">
            <v>0</v>
          </cell>
        </row>
        <row r="1430">
          <cell r="C1430" t="str">
            <v/>
          </cell>
          <cell r="D1430">
            <v>0</v>
          </cell>
          <cell r="G1430">
            <v>0</v>
          </cell>
          <cell r="I1430">
            <v>0</v>
          </cell>
          <cell r="J1430">
            <v>0</v>
          </cell>
          <cell r="M1430">
            <v>0</v>
          </cell>
          <cell r="N1430">
            <v>0</v>
          </cell>
        </row>
        <row r="1431">
          <cell r="C1431" t="str">
            <v/>
          </cell>
          <cell r="D1431">
            <v>0</v>
          </cell>
          <cell r="G1431">
            <v>0</v>
          </cell>
          <cell r="I1431">
            <v>0</v>
          </cell>
          <cell r="J1431">
            <v>0</v>
          </cell>
          <cell r="M1431">
            <v>0</v>
          </cell>
          <cell r="N1431">
            <v>0</v>
          </cell>
        </row>
        <row r="1432">
          <cell r="C1432" t="str">
            <v/>
          </cell>
          <cell r="D1432">
            <v>0</v>
          </cell>
          <cell r="G1432">
            <v>0</v>
          </cell>
          <cell r="I1432">
            <v>0</v>
          </cell>
          <cell r="J1432">
            <v>0</v>
          </cell>
          <cell r="M1432">
            <v>0</v>
          </cell>
          <cell r="N1432">
            <v>0</v>
          </cell>
        </row>
        <row r="1433">
          <cell r="C1433" t="str">
            <v/>
          </cell>
          <cell r="D1433">
            <v>0</v>
          </cell>
          <cell r="G1433">
            <v>0</v>
          </cell>
          <cell r="I1433">
            <v>0</v>
          </cell>
          <cell r="J1433">
            <v>0</v>
          </cell>
          <cell r="M1433">
            <v>0</v>
          </cell>
          <cell r="N1433">
            <v>0</v>
          </cell>
        </row>
        <row r="1434">
          <cell r="C1434" t="str">
            <v/>
          </cell>
          <cell r="D1434">
            <v>0</v>
          </cell>
          <cell r="G1434">
            <v>0</v>
          </cell>
          <cell r="I1434">
            <v>0</v>
          </cell>
          <cell r="J1434">
            <v>0</v>
          </cell>
          <cell r="M1434">
            <v>0</v>
          </cell>
          <cell r="N1434">
            <v>0</v>
          </cell>
        </row>
        <row r="1435">
          <cell r="C1435" t="str">
            <v/>
          </cell>
          <cell r="D1435">
            <v>0</v>
          </cell>
          <cell r="G1435">
            <v>0</v>
          </cell>
          <cell r="I1435">
            <v>0</v>
          </cell>
          <cell r="J1435">
            <v>0</v>
          </cell>
          <cell r="M1435">
            <v>0</v>
          </cell>
          <cell r="N1435">
            <v>0</v>
          </cell>
        </row>
        <row r="1436">
          <cell r="C1436" t="str">
            <v/>
          </cell>
          <cell r="D1436">
            <v>0</v>
          </cell>
          <cell r="G1436">
            <v>0</v>
          </cell>
          <cell r="I1436">
            <v>0</v>
          </cell>
          <cell r="J1436">
            <v>0</v>
          </cell>
          <cell r="M1436">
            <v>0</v>
          </cell>
          <cell r="N1436">
            <v>0</v>
          </cell>
        </row>
        <row r="1437">
          <cell r="C1437" t="str">
            <v/>
          </cell>
          <cell r="D1437">
            <v>0</v>
          </cell>
          <cell r="G1437">
            <v>0</v>
          </cell>
          <cell r="I1437">
            <v>0</v>
          </cell>
          <cell r="J1437">
            <v>0</v>
          </cell>
          <cell r="M1437">
            <v>0</v>
          </cell>
          <cell r="N1437">
            <v>0</v>
          </cell>
        </row>
        <row r="1438">
          <cell r="C1438" t="str">
            <v/>
          </cell>
          <cell r="D1438">
            <v>0</v>
          </cell>
          <cell r="G1438">
            <v>0</v>
          </cell>
          <cell r="I1438">
            <v>0</v>
          </cell>
          <cell r="J1438">
            <v>0</v>
          </cell>
          <cell r="M1438">
            <v>0</v>
          </cell>
          <cell r="N1438">
            <v>0</v>
          </cell>
        </row>
        <row r="1439">
          <cell r="C1439" t="str">
            <v/>
          </cell>
          <cell r="D1439">
            <v>0</v>
          </cell>
          <cell r="G1439">
            <v>0</v>
          </cell>
          <cell r="I1439">
            <v>0</v>
          </cell>
          <cell r="J1439">
            <v>0</v>
          </cell>
          <cell r="M1439">
            <v>0</v>
          </cell>
          <cell r="N1439">
            <v>0</v>
          </cell>
        </row>
        <row r="1440">
          <cell r="C1440" t="str">
            <v/>
          </cell>
          <cell r="D1440">
            <v>0</v>
          </cell>
          <cell r="G1440">
            <v>0</v>
          </cell>
          <cell r="I1440">
            <v>0</v>
          </cell>
          <cell r="J1440">
            <v>0</v>
          </cell>
          <cell r="M1440">
            <v>0</v>
          </cell>
          <cell r="N1440">
            <v>0</v>
          </cell>
        </row>
        <row r="1441">
          <cell r="C1441" t="str">
            <v/>
          </cell>
          <cell r="D1441">
            <v>0</v>
          </cell>
          <cell r="G1441">
            <v>0</v>
          </cell>
          <cell r="I1441">
            <v>0</v>
          </cell>
          <cell r="J1441">
            <v>0</v>
          </cell>
          <cell r="M1441">
            <v>0</v>
          </cell>
          <cell r="N1441">
            <v>0</v>
          </cell>
        </row>
        <row r="1442">
          <cell r="C1442" t="str">
            <v/>
          </cell>
          <cell r="D1442">
            <v>0</v>
          </cell>
          <cell r="G1442">
            <v>0</v>
          </cell>
          <cell r="I1442">
            <v>0</v>
          </cell>
          <cell r="J1442">
            <v>0</v>
          </cell>
          <cell r="M1442">
            <v>0</v>
          </cell>
          <cell r="N1442">
            <v>0</v>
          </cell>
        </row>
        <row r="1443">
          <cell r="C1443" t="str">
            <v/>
          </cell>
          <cell r="D1443">
            <v>0</v>
          </cell>
          <cell r="G1443">
            <v>0</v>
          </cell>
          <cell r="I1443">
            <v>0</v>
          </cell>
          <cell r="J1443">
            <v>0</v>
          </cell>
          <cell r="M1443">
            <v>0</v>
          </cell>
          <cell r="N1443">
            <v>0</v>
          </cell>
        </row>
        <row r="1444">
          <cell r="C1444" t="str">
            <v/>
          </cell>
          <cell r="D1444">
            <v>0</v>
          </cell>
          <cell r="G1444">
            <v>0</v>
          </cell>
          <cell r="I1444">
            <v>0</v>
          </cell>
          <cell r="J1444">
            <v>0</v>
          </cell>
          <cell r="M1444">
            <v>0</v>
          </cell>
          <cell r="N1444">
            <v>0</v>
          </cell>
        </row>
        <row r="1445">
          <cell r="C1445" t="str">
            <v/>
          </cell>
          <cell r="D1445">
            <v>0</v>
          </cell>
          <cell r="G1445">
            <v>0</v>
          </cell>
          <cell r="I1445">
            <v>0</v>
          </cell>
          <cell r="J1445">
            <v>0</v>
          </cell>
          <cell r="M1445">
            <v>0</v>
          </cell>
          <cell r="N1445">
            <v>0</v>
          </cell>
        </row>
        <row r="1446">
          <cell r="C1446" t="str">
            <v/>
          </cell>
          <cell r="D1446">
            <v>0</v>
          </cell>
          <cell r="G1446">
            <v>0</v>
          </cell>
          <cell r="I1446">
            <v>0</v>
          </cell>
          <cell r="J1446">
            <v>0</v>
          </cell>
          <cell r="M1446">
            <v>0</v>
          </cell>
          <cell r="N1446">
            <v>0</v>
          </cell>
        </row>
        <row r="1447">
          <cell r="C1447" t="str">
            <v/>
          </cell>
          <cell r="D1447">
            <v>0</v>
          </cell>
          <cell r="G1447">
            <v>0</v>
          </cell>
          <cell r="I1447">
            <v>0</v>
          </cell>
          <cell r="J1447">
            <v>0</v>
          </cell>
          <cell r="M1447">
            <v>0</v>
          </cell>
          <cell r="N1447">
            <v>0</v>
          </cell>
        </row>
        <row r="1448">
          <cell r="C1448" t="str">
            <v/>
          </cell>
          <cell r="D1448">
            <v>0</v>
          </cell>
          <cell r="G1448">
            <v>0</v>
          </cell>
          <cell r="I1448">
            <v>0</v>
          </cell>
          <cell r="J1448">
            <v>0</v>
          </cell>
          <cell r="M1448">
            <v>0</v>
          </cell>
          <cell r="N1448">
            <v>0</v>
          </cell>
        </row>
        <row r="1449">
          <cell r="C1449" t="str">
            <v/>
          </cell>
          <cell r="D1449">
            <v>0</v>
          </cell>
          <cell r="G1449">
            <v>0</v>
          </cell>
          <cell r="I1449">
            <v>0</v>
          </cell>
          <cell r="J1449">
            <v>0</v>
          </cell>
          <cell r="M1449">
            <v>0</v>
          </cell>
          <cell r="N1449">
            <v>0</v>
          </cell>
        </row>
        <row r="1450">
          <cell r="C1450" t="str">
            <v/>
          </cell>
          <cell r="D1450">
            <v>0</v>
          </cell>
          <cell r="G1450">
            <v>0</v>
          </cell>
          <cell r="I1450">
            <v>0</v>
          </cell>
          <cell r="J1450">
            <v>0</v>
          </cell>
          <cell r="M1450">
            <v>0</v>
          </cell>
          <cell r="N1450">
            <v>0</v>
          </cell>
        </row>
        <row r="1451">
          <cell r="C1451" t="str">
            <v/>
          </cell>
          <cell r="D1451">
            <v>0</v>
          </cell>
          <cell r="G1451">
            <v>0</v>
          </cell>
          <cell r="I1451">
            <v>0</v>
          </cell>
          <cell r="J1451">
            <v>0</v>
          </cell>
          <cell r="M1451">
            <v>0</v>
          </cell>
          <cell r="N1451">
            <v>0</v>
          </cell>
        </row>
        <row r="1452">
          <cell r="C1452" t="str">
            <v/>
          </cell>
          <cell r="D1452">
            <v>0</v>
          </cell>
          <cell r="G1452">
            <v>0</v>
          </cell>
          <cell r="I1452">
            <v>0</v>
          </cell>
          <cell r="J1452">
            <v>0</v>
          </cell>
          <cell r="M1452">
            <v>0</v>
          </cell>
          <cell r="N1452">
            <v>0</v>
          </cell>
        </row>
        <row r="1453">
          <cell r="C1453" t="str">
            <v/>
          </cell>
          <cell r="D1453">
            <v>0</v>
          </cell>
          <cell r="G1453">
            <v>0</v>
          </cell>
          <cell r="I1453">
            <v>0</v>
          </cell>
          <cell r="J1453">
            <v>0</v>
          </cell>
          <cell r="M1453">
            <v>0</v>
          </cell>
          <cell r="N1453">
            <v>0</v>
          </cell>
        </row>
        <row r="1454">
          <cell r="C1454" t="str">
            <v/>
          </cell>
          <cell r="D1454">
            <v>0</v>
          </cell>
          <cell r="G1454">
            <v>0</v>
          </cell>
          <cell r="I1454">
            <v>0</v>
          </cell>
          <cell r="J1454">
            <v>0</v>
          </cell>
          <cell r="M1454">
            <v>0</v>
          </cell>
          <cell r="N1454">
            <v>0</v>
          </cell>
        </row>
        <row r="1455">
          <cell r="C1455" t="str">
            <v/>
          </cell>
          <cell r="D1455">
            <v>0</v>
          </cell>
          <cell r="G1455">
            <v>0</v>
          </cell>
          <cell r="I1455">
            <v>0</v>
          </cell>
          <cell r="J1455">
            <v>0</v>
          </cell>
          <cell r="M1455">
            <v>0</v>
          </cell>
          <cell r="N1455">
            <v>0</v>
          </cell>
        </row>
        <row r="1456">
          <cell r="C1456" t="str">
            <v/>
          </cell>
          <cell r="D1456">
            <v>0</v>
          </cell>
          <cell r="G1456">
            <v>0</v>
          </cell>
          <cell r="I1456">
            <v>0</v>
          </cell>
          <cell r="J1456">
            <v>0</v>
          </cell>
          <cell r="M1456">
            <v>0</v>
          </cell>
          <cell r="N1456">
            <v>0</v>
          </cell>
        </row>
        <row r="1457">
          <cell r="C1457" t="str">
            <v/>
          </cell>
          <cell r="D1457">
            <v>0</v>
          </cell>
          <cell r="G1457">
            <v>0</v>
          </cell>
          <cell r="I1457">
            <v>0</v>
          </cell>
          <cell r="J1457">
            <v>0</v>
          </cell>
          <cell r="M1457">
            <v>0</v>
          </cell>
          <cell r="N1457">
            <v>0</v>
          </cell>
        </row>
        <row r="1458">
          <cell r="C1458" t="str">
            <v/>
          </cell>
          <cell r="D1458">
            <v>0</v>
          </cell>
          <cell r="G1458">
            <v>0</v>
          </cell>
          <cell r="I1458">
            <v>0</v>
          </cell>
          <cell r="J1458">
            <v>0</v>
          </cell>
          <cell r="M1458">
            <v>0</v>
          </cell>
          <cell r="N1458">
            <v>0</v>
          </cell>
        </row>
        <row r="1459">
          <cell r="C1459" t="str">
            <v/>
          </cell>
          <cell r="D1459">
            <v>0</v>
          </cell>
          <cell r="G1459">
            <v>0</v>
          </cell>
          <cell r="I1459">
            <v>0</v>
          </cell>
          <cell r="J1459">
            <v>0</v>
          </cell>
          <cell r="M1459">
            <v>0</v>
          </cell>
          <cell r="N1459">
            <v>0</v>
          </cell>
        </row>
        <row r="1460">
          <cell r="C1460" t="str">
            <v/>
          </cell>
          <cell r="D1460">
            <v>0</v>
          </cell>
          <cell r="G1460">
            <v>0</v>
          </cell>
          <cell r="I1460">
            <v>0</v>
          </cell>
          <cell r="J1460">
            <v>0</v>
          </cell>
          <cell r="M1460">
            <v>0</v>
          </cell>
          <cell r="N1460">
            <v>0</v>
          </cell>
        </row>
        <row r="1461">
          <cell r="C1461" t="str">
            <v/>
          </cell>
          <cell r="D1461">
            <v>0</v>
          </cell>
          <cell r="G1461">
            <v>0</v>
          </cell>
          <cell r="I1461">
            <v>0</v>
          </cell>
          <cell r="J1461">
            <v>0</v>
          </cell>
          <cell r="M1461">
            <v>0</v>
          </cell>
          <cell r="N1461">
            <v>0</v>
          </cell>
        </row>
        <row r="1462">
          <cell r="C1462" t="str">
            <v/>
          </cell>
          <cell r="D1462">
            <v>0</v>
          </cell>
          <cell r="G1462">
            <v>0</v>
          </cell>
          <cell r="I1462">
            <v>0</v>
          </cell>
          <cell r="J1462">
            <v>0</v>
          </cell>
          <cell r="M1462">
            <v>0</v>
          </cell>
          <cell r="N1462">
            <v>0</v>
          </cell>
        </row>
        <row r="1463">
          <cell r="C1463" t="str">
            <v/>
          </cell>
          <cell r="D1463">
            <v>0</v>
          </cell>
          <cell r="G1463">
            <v>0</v>
          </cell>
          <cell r="I1463">
            <v>0</v>
          </cell>
          <cell r="J1463">
            <v>0</v>
          </cell>
          <cell r="M1463">
            <v>0</v>
          </cell>
          <cell r="N1463">
            <v>0</v>
          </cell>
        </row>
        <row r="1464">
          <cell r="C1464" t="str">
            <v/>
          </cell>
          <cell r="D1464">
            <v>0</v>
          </cell>
          <cell r="G1464">
            <v>0</v>
          </cell>
          <cell r="I1464">
            <v>0</v>
          </cell>
          <cell r="J1464">
            <v>0</v>
          </cell>
          <cell r="M1464">
            <v>0</v>
          </cell>
          <cell r="N1464">
            <v>0</v>
          </cell>
        </row>
        <row r="1465">
          <cell r="C1465" t="str">
            <v/>
          </cell>
          <cell r="D1465">
            <v>0</v>
          </cell>
          <cell r="G1465">
            <v>0</v>
          </cell>
          <cell r="I1465">
            <v>0</v>
          </cell>
          <cell r="J1465">
            <v>0</v>
          </cell>
          <cell r="M1465">
            <v>0</v>
          </cell>
          <cell r="N1465">
            <v>0</v>
          </cell>
        </row>
        <row r="1466">
          <cell r="C1466" t="str">
            <v/>
          </cell>
          <cell r="D1466">
            <v>0</v>
          </cell>
          <cell r="G1466">
            <v>0</v>
          </cell>
          <cell r="I1466">
            <v>0</v>
          </cell>
          <cell r="J1466">
            <v>0</v>
          </cell>
          <cell r="M1466">
            <v>0</v>
          </cell>
          <cell r="N1466">
            <v>0</v>
          </cell>
        </row>
        <row r="1467">
          <cell r="C1467" t="str">
            <v/>
          </cell>
          <cell r="D1467">
            <v>0</v>
          </cell>
          <cell r="G1467">
            <v>0</v>
          </cell>
          <cell r="I1467">
            <v>0</v>
          </cell>
          <cell r="J1467">
            <v>0</v>
          </cell>
          <cell r="M1467">
            <v>0</v>
          </cell>
          <cell r="N1467">
            <v>0</v>
          </cell>
        </row>
        <row r="1468">
          <cell r="C1468" t="str">
            <v/>
          </cell>
          <cell r="D1468">
            <v>0</v>
          </cell>
          <cell r="G1468">
            <v>0</v>
          </cell>
          <cell r="I1468">
            <v>0</v>
          </cell>
          <cell r="J1468">
            <v>0</v>
          </cell>
          <cell r="M1468">
            <v>0</v>
          </cell>
          <cell r="N1468">
            <v>0</v>
          </cell>
        </row>
        <row r="1469">
          <cell r="C1469" t="str">
            <v/>
          </cell>
          <cell r="D1469">
            <v>0</v>
          </cell>
          <cell r="G1469">
            <v>0</v>
          </cell>
          <cell r="I1469">
            <v>0</v>
          </cell>
          <cell r="J1469">
            <v>0</v>
          </cell>
          <cell r="M1469">
            <v>0</v>
          </cell>
          <cell r="N1469">
            <v>0</v>
          </cell>
        </row>
        <row r="1470">
          <cell r="C1470" t="str">
            <v/>
          </cell>
          <cell r="D1470">
            <v>0</v>
          </cell>
          <cell r="G1470">
            <v>0</v>
          </cell>
          <cell r="I1470">
            <v>0</v>
          </cell>
          <cell r="J1470">
            <v>0</v>
          </cell>
          <cell r="M1470">
            <v>0</v>
          </cell>
          <cell r="N1470">
            <v>0</v>
          </cell>
        </row>
        <row r="1471">
          <cell r="C1471" t="str">
            <v/>
          </cell>
          <cell r="D1471">
            <v>0</v>
          </cell>
          <cell r="G1471">
            <v>0</v>
          </cell>
          <cell r="I1471">
            <v>0</v>
          </cell>
          <cell r="J1471">
            <v>0</v>
          </cell>
          <cell r="M1471">
            <v>0</v>
          </cell>
          <cell r="N1471">
            <v>0</v>
          </cell>
        </row>
        <row r="1472">
          <cell r="C1472" t="str">
            <v/>
          </cell>
          <cell r="D1472">
            <v>0</v>
          </cell>
          <cell r="G1472">
            <v>0</v>
          </cell>
          <cell r="I1472">
            <v>0</v>
          </cell>
          <cell r="J1472">
            <v>0</v>
          </cell>
          <cell r="M1472">
            <v>0</v>
          </cell>
          <cell r="N1472">
            <v>0</v>
          </cell>
        </row>
        <row r="1473">
          <cell r="C1473" t="str">
            <v/>
          </cell>
          <cell r="D1473">
            <v>0</v>
          </cell>
          <cell r="G1473">
            <v>0</v>
          </cell>
          <cell r="I1473">
            <v>0</v>
          </cell>
          <cell r="J1473">
            <v>0</v>
          </cell>
          <cell r="M1473">
            <v>0</v>
          </cell>
          <cell r="N1473">
            <v>0</v>
          </cell>
        </row>
        <row r="1474">
          <cell r="C1474" t="str">
            <v/>
          </cell>
          <cell r="D1474">
            <v>0</v>
          </cell>
          <cell r="G1474">
            <v>0</v>
          </cell>
          <cell r="I1474">
            <v>0</v>
          </cell>
          <cell r="J1474">
            <v>0</v>
          </cell>
          <cell r="M1474">
            <v>0</v>
          </cell>
          <cell r="N1474">
            <v>0</v>
          </cell>
        </row>
        <row r="1475">
          <cell r="C1475" t="str">
            <v/>
          </cell>
          <cell r="D1475">
            <v>0</v>
          </cell>
          <cell r="G1475">
            <v>0</v>
          </cell>
          <cell r="I1475">
            <v>0</v>
          </cell>
          <cell r="J1475">
            <v>0</v>
          </cell>
          <cell r="M1475">
            <v>0</v>
          </cell>
          <cell r="N1475">
            <v>0</v>
          </cell>
        </row>
        <row r="1476">
          <cell r="C1476" t="str">
            <v/>
          </cell>
          <cell r="D1476">
            <v>0</v>
          </cell>
          <cell r="G1476">
            <v>0</v>
          </cell>
          <cell r="I1476">
            <v>0</v>
          </cell>
          <cell r="J1476">
            <v>0</v>
          </cell>
          <cell r="M1476">
            <v>0</v>
          </cell>
          <cell r="N1476">
            <v>0</v>
          </cell>
        </row>
        <row r="1477">
          <cell r="C1477" t="str">
            <v/>
          </cell>
          <cell r="D1477">
            <v>0</v>
          </cell>
          <cell r="G1477">
            <v>0</v>
          </cell>
          <cell r="I1477">
            <v>0</v>
          </cell>
          <cell r="J1477">
            <v>0</v>
          </cell>
          <cell r="M1477">
            <v>0</v>
          </cell>
          <cell r="N1477">
            <v>0</v>
          </cell>
        </row>
        <row r="1478">
          <cell r="C1478" t="str">
            <v/>
          </cell>
          <cell r="D1478">
            <v>0</v>
          </cell>
          <cell r="G1478">
            <v>0</v>
          </cell>
          <cell r="I1478">
            <v>0</v>
          </cell>
          <cell r="J1478">
            <v>0</v>
          </cell>
          <cell r="M1478">
            <v>0</v>
          </cell>
          <cell r="N1478">
            <v>0</v>
          </cell>
        </row>
        <row r="1479">
          <cell r="C1479" t="str">
            <v/>
          </cell>
          <cell r="D1479">
            <v>0</v>
          </cell>
          <cell r="G1479">
            <v>0</v>
          </cell>
          <cell r="I1479">
            <v>0</v>
          </cell>
          <cell r="J1479">
            <v>0</v>
          </cell>
          <cell r="M1479">
            <v>0</v>
          </cell>
          <cell r="N1479">
            <v>0</v>
          </cell>
        </row>
        <row r="1480">
          <cell r="C1480" t="str">
            <v/>
          </cell>
          <cell r="D1480">
            <v>0</v>
          </cell>
          <cell r="G1480">
            <v>0</v>
          </cell>
          <cell r="I1480">
            <v>0</v>
          </cell>
          <cell r="J1480">
            <v>0</v>
          </cell>
          <cell r="M1480">
            <v>0</v>
          </cell>
          <cell r="N1480">
            <v>0</v>
          </cell>
        </row>
        <row r="1481">
          <cell r="C1481" t="str">
            <v/>
          </cell>
          <cell r="D1481">
            <v>0</v>
          </cell>
          <cell r="G1481">
            <v>0</v>
          </cell>
          <cell r="I1481">
            <v>0</v>
          </cell>
          <cell r="J1481">
            <v>0</v>
          </cell>
          <cell r="M1481">
            <v>0</v>
          </cell>
          <cell r="N1481">
            <v>0</v>
          </cell>
        </row>
        <row r="1482">
          <cell r="C1482" t="str">
            <v/>
          </cell>
          <cell r="D1482">
            <v>0</v>
          </cell>
          <cell r="G1482">
            <v>0</v>
          </cell>
          <cell r="I1482">
            <v>0</v>
          </cell>
          <cell r="J1482">
            <v>0</v>
          </cell>
          <cell r="M1482">
            <v>0</v>
          </cell>
          <cell r="N1482">
            <v>0</v>
          </cell>
        </row>
        <row r="1483">
          <cell r="C1483" t="str">
            <v/>
          </cell>
          <cell r="D1483">
            <v>0</v>
          </cell>
          <cell r="G1483">
            <v>0</v>
          </cell>
          <cell r="I1483">
            <v>0</v>
          </cell>
          <cell r="J1483">
            <v>0</v>
          </cell>
          <cell r="M1483">
            <v>0</v>
          </cell>
          <cell r="N1483">
            <v>0</v>
          </cell>
        </row>
        <row r="1484">
          <cell r="C1484" t="str">
            <v/>
          </cell>
          <cell r="D1484">
            <v>0</v>
          </cell>
          <cell r="G1484">
            <v>0</v>
          </cell>
          <cell r="I1484">
            <v>0</v>
          </cell>
          <cell r="J1484">
            <v>0</v>
          </cell>
          <cell r="M1484">
            <v>0</v>
          </cell>
          <cell r="N1484">
            <v>0</v>
          </cell>
        </row>
        <row r="1485">
          <cell r="C1485" t="str">
            <v/>
          </cell>
          <cell r="D1485">
            <v>0</v>
          </cell>
          <cell r="G1485">
            <v>0</v>
          </cell>
          <cell r="I1485">
            <v>0</v>
          </cell>
          <cell r="J1485">
            <v>0</v>
          </cell>
          <cell r="M1485">
            <v>0</v>
          </cell>
          <cell r="N1485">
            <v>0</v>
          </cell>
        </row>
        <row r="1486">
          <cell r="C1486" t="str">
            <v/>
          </cell>
          <cell r="D1486">
            <v>0</v>
          </cell>
          <cell r="G1486">
            <v>0</v>
          </cell>
          <cell r="I1486">
            <v>0</v>
          </cell>
          <cell r="J1486">
            <v>0</v>
          </cell>
          <cell r="M1486">
            <v>0</v>
          </cell>
          <cell r="N1486">
            <v>0</v>
          </cell>
        </row>
        <row r="1487">
          <cell r="C1487" t="str">
            <v/>
          </cell>
          <cell r="D1487">
            <v>0</v>
          </cell>
          <cell r="G1487">
            <v>0</v>
          </cell>
          <cell r="I1487">
            <v>0</v>
          </cell>
          <cell r="J1487">
            <v>0</v>
          </cell>
          <cell r="M1487">
            <v>0</v>
          </cell>
          <cell r="N1487">
            <v>0</v>
          </cell>
        </row>
        <row r="1488">
          <cell r="C1488" t="str">
            <v/>
          </cell>
          <cell r="D1488">
            <v>0</v>
          </cell>
          <cell r="G1488">
            <v>0</v>
          </cell>
          <cell r="I1488">
            <v>0</v>
          </cell>
          <cell r="J1488">
            <v>0</v>
          </cell>
          <cell r="M1488">
            <v>0</v>
          </cell>
          <cell r="N1488">
            <v>0</v>
          </cell>
        </row>
        <row r="1489">
          <cell r="C1489" t="str">
            <v/>
          </cell>
          <cell r="D1489">
            <v>0</v>
          </cell>
          <cell r="G1489">
            <v>0</v>
          </cell>
          <cell r="I1489">
            <v>0</v>
          </cell>
          <cell r="J1489">
            <v>0</v>
          </cell>
          <cell r="M1489">
            <v>0</v>
          </cell>
          <cell r="N1489">
            <v>0</v>
          </cell>
        </row>
        <row r="1490">
          <cell r="C1490" t="str">
            <v/>
          </cell>
          <cell r="D1490">
            <v>0</v>
          </cell>
          <cell r="G1490">
            <v>0</v>
          </cell>
          <cell r="I1490">
            <v>0</v>
          </cell>
          <cell r="J1490">
            <v>0</v>
          </cell>
          <cell r="M1490">
            <v>0</v>
          </cell>
          <cell r="N1490">
            <v>0</v>
          </cell>
        </row>
        <row r="1491">
          <cell r="C1491" t="str">
            <v/>
          </cell>
          <cell r="D1491">
            <v>0</v>
          </cell>
          <cell r="G1491">
            <v>0</v>
          </cell>
          <cell r="I1491">
            <v>0</v>
          </cell>
          <cell r="J1491">
            <v>0</v>
          </cell>
          <cell r="M1491">
            <v>0</v>
          </cell>
          <cell r="N1491">
            <v>0</v>
          </cell>
        </row>
        <row r="1492">
          <cell r="C1492" t="str">
            <v/>
          </cell>
          <cell r="D1492">
            <v>0</v>
          </cell>
          <cell r="G1492">
            <v>0</v>
          </cell>
          <cell r="I1492">
            <v>0</v>
          </cell>
          <cell r="J1492">
            <v>0</v>
          </cell>
          <cell r="M1492">
            <v>0</v>
          </cell>
          <cell r="N1492">
            <v>0</v>
          </cell>
        </row>
        <row r="1493">
          <cell r="C1493" t="str">
            <v/>
          </cell>
          <cell r="D1493">
            <v>0</v>
          </cell>
          <cell r="G1493">
            <v>0</v>
          </cell>
          <cell r="I1493">
            <v>0</v>
          </cell>
          <cell r="J1493">
            <v>0</v>
          </cell>
          <cell r="M1493">
            <v>0</v>
          </cell>
          <cell r="N1493">
            <v>0</v>
          </cell>
        </row>
        <row r="1494">
          <cell r="C1494" t="str">
            <v/>
          </cell>
          <cell r="D1494">
            <v>0</v>
          </cell>
          <cell r="G1494">
            <v>0</v>
          </cell>
          <cell r="I1494">
            <v>0</v>
          </cell>
          <cell r="J1494">
            <v>0</v>
          </cell>
          <cell r="M1494">
            <v>0</v>
          </cell>
          <cell r="N1494">
            <v>0</v>
          </cell>
        </row>
        <row r="1495">
          <cell r="C1495" t="str">
            <v/>
          </cell>
          <cell r="D1495">
            <v>0</v>
          </cell>
          <cell r="G1495">
            <v>0</v>
          </cell>
          <cell r="I1495">
            <v>0</v>
          </cell>
          <cell r="J1495">
            <v>0</v>
          </cell>
          <cell r="M1495">
            <v>0</v>
          </cell>
          <cell r="N1495">
            <v>0</v>
          </cell>
        </row>
        <row r="1496">
          <cell r="C1496" t="str">
            <v/>
          </cell>
          <cell r="D1496">
            <v>0</v>
          </cell>
          <cell r="G1496">
            <v>0</v>
          </cell>
          <cell r="I1496">
            <v>0</v>
          </cell>
          <cell r="J1496">
            <v>0</v>
          </cell>
          <cell r="M1496">
            <v>0</v>
          </cell>
          <cell r="N1496">
            <v>0</v>
          </cell>
        </row>
        <row r="1497">
          <cell r="C1497" t="str">
            <v/>
          </cell>
          <cell r="D1497">
            <v>0</v>
          </cell>
          <cell r="G1497">
            <v>0</v>
          </cell>
          <cell r="I1497">
            <v>0</v>
          </cell>
          <cell r="J1497">
            <v>0</v>
          </cell>
          <cell r="M1497">
            <v>0</v>
          </cell>
          <cell r="N1497">
            <v>0</v>
          </cell>
        </row>
        <row r="1498">
          <cell r="C1498" t="str">
            <v/>
          </cell>
          <cell r="D1498">
            <v>0</v>
          </cell>
          <cell r="G1498">
            <v>0</v>
          </cell>
          <cell r="I1498">
            <v>0</v>
          </cell>
          <cell r="J1498">
            <v>0</v>
          </cell>
          <cell r="M1498">
            <v>0</v>
          </cell>
          <cell r="N1498">
            <v>0</v>
          </cell>
        </row>
        <row r="1499">
          <cell r="C1499" t="str">
            <v/>
          </cell>
          <cell r="D1499">
            <v>0</v>
          </cell>
          <cell r="G1499">
            <v>0</v>
          </cell>
          <cell r="I1499">
            <v>0</v>
          </cell>
          <cell r="J1499">
            <v>0</v>
          </cell>
          <cell r="M1499">
            <v>0</v>
          </cell>
          <cell r="N1499">
            <v>0</v>
          </cell>
        </row>
        <row r="1500">
          <cell r="C1500" t="str">
            <v/>
          </cell>
          <cell r="D1500">
            <v>0</v>
          </cell>
          <cell r="G1500">
            <v>0</v>
          </cell>
          <cell r="I1500">
            <v>0</v>
          </cell>
          <cell r="J1500">
            <v>0</v>
          </cell>
          <cell r="M1500">
            <v>0</v>
          </cell>
          <cell r="N1500">
            <v>0</v>
          </cell>
        </row>
        <row r="1501">
          <cell r="C1501" t="str">
            <v/>
          </cell>
          <cell r="D1501">
            <v>0</v>
          </cell>
          <cell r="G1501">
            <v>0</v>
          </cell>
          <cell r="I1501">
            <v>0</v>
          </cell>
          <cell r="J1501">
            <v>0</v>
          </cell>
          <cell r="M1501">
            <v>0</v>
          </cell>
          <cell r="N1501">
            <v>0</v>
          </cell>
        </row>
        <row r="1502">
          <cell r="C1502" t="str">
            <v/>
          </cell>
          <cell r="D1502">
            <v>0</v>
          </cell>
          <cell r="G1502">
            <v>0</v>
          </cell>
          <cell r="I1502">
            <v>0</v>
          </cell>
          <cell r="J1502">
            <v>0</v>
          </cell>
          <cell r="M1502">
            <v>0</v>
          </cell>
          <cell r="N1502">
            <v>0</v>
          </cell>
        </row>
        <row r="1503">
          <cell r="C1503" t="str">
            <v/>
          </cell>
          <cell r="D1503">
            <v>0</v>
          </cell>
          <cell r="G1503">
            <v>0</v>
          </cell>
          <cell r="I1503">
            <v>0</v>
          </cell>
          <cell r="J1503">
            <v>0</v>
          </cell>
          <cell r="M1503">
            <v>0</v>
          </cell>
          <cell r="N1503">
            <v>0</v>
          </cell>
        </row>
        <row r="1504">
          <cell r="C1504" t="str">
            <v/>
          </cell>
          <cell r="D1504">
            <v>0</v>
          </cell>
          <cell r="G1504">
            <v>0</v>
          </cell>
          <cell r="I1504">
            <v>0</v>
          </cell>
          <cell r="J1504">
            <v>0</v>
          </cell>
          <cell r="M1504">
            <v>0</v>
          </cell>
          <cell r="N1504">
            <v>0</v>
          </cell>
        </row>
        <row r="1505">
          <cell r="C1505" t="str">
            <v/>
          </cell>
          <cell r="D1505">
            <v>0</v>
          </cell>
          <cell r="G1505">
            <v>0</v>
          </cell>
          <cell r="I1505">
            <v>0</v>
          </cell>
          <cell r="J1505">
            <v>0</v>
          </cell>
          <cell r="M1505">
            <v>0</v>
          </cell>
          <cell r="N1505">
            <v>0</v>
          </cell>
        </row>
        <row r="1506">
          <cell r="C1506" t="str">
            <v/>
          </cell>
          <cell r="D1506">
            <v>0</v>
          </cell>
          <cell r="G1506">
            <v>0</v>
          </cell>
          <cell r="I1506">
            <v>0</v>
          </cell>
          <cell r="J1506">
            <v>0</v>
          </cell>
          <cell r="M1506">
            <v>0</v>
          </cell>
          <cell r="N1506">
            <v>0</v>
          </cell>
        </row>
        <row r="1507">
          <cell r="C1507" t="str">
            <v/>
          </cell>
          <cell r="D1507">
            <v>0</v>
          </cell>
          <cell r="G1507">
            <v>0</v>
          </cell>
          <cell r="I1507">
            <v>0</v>
          </cell>
          <cell r="J1507">
            <v>0</v>
          </cell>
          <cell r="M1507">
            <v>0</v>
          </cell>
          <cell r="N1507">
            <v>0</v>
          </cell>
        </row>
        <row r="1508">
          <cell r="C1508" t="str">
            <v/>
          </cell>
          <cell r="D1508">
            <v>0</v>
          </cell>
          <cell r="G1508">
            <v>0</v>
          </cell>
          <cell r="I1508">
            <v>0</v>
          </cell>
          <cell r="J1508">
            <v>0</v>
          </cell>
          <cell r="M1508">
            <v>0</v>
          </cell>
          <cell r="N150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E6">
            <v>202</v>
          </cell>
          <cell r="H6" t="str">
            <v>D25-4022</v>
          </cell>
        </row>
        <row r="7">
          <cell r="E7">
            <v>202</v>
          </cell>
          <cell r="H7" t="str">
            <v>D25-4021</v>
          </cell>
        </row>
        <row r="8">
          <cell r="E8">
            <v>144</v>
          </cell>
          <cell r="H8" t="str">
            <v>D25-4020</v>
          </cell>
        </row>
        <row r="9">
          <cell r="E9">
            <v>203</v>
          </cell>
          <cell r="H9" t="str">
            <v>D25-4023</v>
          </cell>
        </row>
        <row r="10">
          <cell r="E10">
            <v>202</v>
          </cell>
          <cell r="H10" t="str">
            <v>D25-4024</v>
          </cell>
        </row>
        <row r="11">
          <cell r="E11">
            <v>204</v>
          </cell>
          <cell r="H11" t="str">
            <v>MICYA-106</v>
          </cell>
        </row>
        <row r="12">
          <cell r="E12">
            <v>204</v>
          </cell>
          <cell r="H12" t="str">
            <v>LILYA-046</v>
          </cell>
        </row>
        <row r="13">
          <cell r="E13">
            <v>204</v>
          </cell>
          <cell r="H13" t="str">
            <v>MICYA-107</v>
          </cell>
        </row>
        <row r="14">
          <cell r="E14">
            <v>190</v>
          </cell>
          <cell r="H14" t="str">
            <v>D25-4025</v>
          </cell>
        </row>
        <row r="15">
          <cell r="E15">
            <v>190</v>
          </cell>
          <cell r="H15" t="str">
            <v>D25-4026</v>
          </cell>
        </row>
        <row r="16">
          <cell r="E16">
            <v>190</v>
          </cell>
          <cell r="H16" t="str">
            <v>D25-4027</v>
          </cell>
        </row>
        <row r="17">
          <cell r="E17">
            <v>190</v>
          </cell>
          <cell r="H17" t="str">
            <v>D25-4019</v>
          </cell>
        </row>
        <row r="18">
          <cell r="E18">
            <v>146</v>
          </cell>
          <cell r="H18" t="str">
            <v>MICYA-108</v>
          </cell>
        </row>
        <row r="19">
          <cell r="E19">
            <v>146</v>
          </cell>
          <cell r="H19" t="str">
            <v>LILYA-050</v>
          </cell>
        </row>
        <row r="20">
          <cell r="E20">
            <v>146</v>
          </cell>
          <cell r="H20" t="str">
            <v>LILYA-051</v>
          </cell>
        </row>
        <row r="21">
          <cell r="E21">
            <v>146</v>
          </cell>
          <cell r="H21" t="str">
            <v>MARYA-011</v>
          </cell>
        </row>
        <row r="22">
          <cell r="E22">
            <v>288</v>
          </cell>
          <cell r="H22" t="str">
            <v>D25-4008</v>
          </cell>
        </row>
        <row r="23">
          <cell r="E23">
            <v>288</v>
          </cell>
          <cell r="H23" t="str">
            <v>D25-4006</v>
          </cell>
        </row>
        <row r="24">
          <cell r="E24">
            <v>288</v>
          </cell>
          <cell r="H24" t="str">
            <v>D25-4005</v>
          </cell>
        </row>
        <row r="25">
          <cell r="E25">
            <v>288</v>
          </cell>
          <cell r="H25" t="str">
            <v>D25-4007</v>
          </cell>
        </row>
        <row r="26">
          <cell r="E26">
            <v>382</v>
          </cell>
          <cell r="H26" t="str">
            <v>D20-2387CM11</v>
          </cell>
        </row>
        <row r="27">
          <cell r="E27">
            <v>425</v>
          </cell>
          <cell r="H27" t="str">
            <v>D23-3279</v>
          </cell>
        </row>
        <row r="28">
          <cell r="E28">
            <v>531</v>
          </cell>
          <cell r="H28" t="str">
            <v>D23-3271</v>
          </cell>
        </row>
        <row r="29">
          <cell r="E29">
            <v>194</v>
          </cell>
          <cell r="H29" t="str">
            <v>H20-2588V2</v>
          </cell>
        </row>
        <row r="30">
          <cell r="E30">
            <v>88</v>
          </cell>
          <cell r="H30" t="str">
            <v>H20-2585</v>
          </cell>
        </row>
        <row r="31">
          <cell r="E31">
            <v>440</v>
          </cell>
          <cell r="H31" t="str">
            <v>H20-2582V2</v>
          </cell>
        </row>
        <row r="32">
          <cell r="E32">
            <v>62</v>
          </cell>
          <cell r="H32" t="str">
            <v>H20-2630</v>
          </cell>
        </row>
        <row r="33">
          <cell r="E33">
            <v>514</v>
          </cell>
          <cell r="H33" t="str">
            <v>MST-AP</v>
          </cell>
        </row>
        <row r="34">
          <cell r="E34">
            <v>786</v>
          </cell>
          <cell r="H34" t="str">
            <v>PLAN-ZAP</v>
          </cell>
        </row>
        <row r="35">
          <cell r="E35">
            <v>4200</v>
          </cell>
          <cell r="H35" t="str">
            <v>PANT</v>
          </cell>
        </row>
        <row r="36">
          <cell r="E36">
            <v>144</v>
          </cell>
          <cell r="H36" t="str">
            <v>D24-3619</v>
          </cell>
        </row>
        <row r="37">
          <cell r="E37">
            <v>144</v>
          </cell>
          <cell r="H37" t="str">
            <v>D24-3621</v>
          </cell>
        </row>
        <row r="38">
          <cell r="E38">
            <v>144</v>
          </cell>
          <cell r="H38" t="str">
            <v>H24-3239</v>
          </cell>
        </row>
        <row r="39">
          <cell r="E39">
            <v>144</v>
          </cell>
          <cell r="H39" t="str">
            <v>H24-3239</v>
          </cell>
        </row>
        <row r="40">
          <cell r="E40">
            <v>179</v>
          </cell>
          <cell r="H40" t="str">
            <v>CLA-014</v>
          </cell>
        </row>
        <row r="41">
          <cell r="E41">
            <v>179</v>
          </cell>
          <cell r="H41" t="str">
            <v>CLA-015</v>
          </cell>
        </row>
        <row r="42">
          <cell r="E42">
            <v>179</v>
          </cell>
          <cell r="H42" t="str">
            <v>CLA-016</v>
          </cell>
        </row>
        <row r="43">
          <cell r="E43">
            <v>39</v>
          </cell>
          <cell r="H43" t="str">
            <v>D25-3777</v>
          </cell>
        </row>
        <row r="44">
          <cell r="E44">
            <v>8</v>
          </cell>
          <cell r="H44" t="str">
            <v>DAB-001CM6</v>
          </cell>
        </row>
        <row r="45">
          <cell r="E45">
            <v>44</v>
          </cell>
          <cell r="H45" t="str">
            <v>HOB-001CM6</v>
          </cell>
        </row>
        <row r="46">
          <cell r="E46">
            <v>34</v>
          </cell>
          <cell r="H46" t="str">
            <v>D23-3248</v>
          </cell>
        </row>
        <row r="47">
          <cell r="E47">
            <v>114</v>
          </cell>
          <cell r="H47" t="str">
            <v>H23-3084</v>
          </cell>
        </row>
        <row r="48">
          <cell r="E48">
            <v>64</v>
          </cell>
          <cell r="H48" t="str">
            <v>D20-2387CM11</v>
          </cell>
        </row>
        <row r="49">
          <cell r="E49">
            <v>52</v>
          </cell>
          <cell r="H49" t="str">
            <v>D23-3279</v>
          </cell>
        </row>
        <row r="50">
          <cell r="E50">
            <v>72</v>
          </cell>
          <cell r="H50" t="str">
            <v>D23-3271</v>
          </cell>
        </row>
        <row r="51">
          <cell r="E51">
            <v>47</v>
          </cell>
          <cell r="H51" t="str">
            <v>H20-2588V2</v>
          </cell>
        </row>
        <row r="52">
          <cell r="E52">
            <v>16</v>
          </cell>
          <cell r="H52" t="str">
            <v>H20-2585</v>
          </cell>
        </row>
        <row r="53">
          <cell r="E53">
            <v>102</v>
          </cell>
          <cell r="H53" t="str">
            <v>H20-2582V2</v>
          </cell>
        </row>
        <row r="54">
          <cell r="E54">
            <v>9</v>
          </cell>
          <cell r="H54" t="str">
            <v>H20-2630</v>
          </cell>
        </row>
        <row r="55">
          <cell r="E55">
            <v>216</v>
          </cell>
          <cell r="H55" t="str">
            <v>D25-4000</v>
          </cell>
        </row>
        <row r="56">
          <cell r="E56">
            <v>84</v>
          </cell>
          <cell r="H56" t="str">
            <v>D25-4003</v>
          </cell>
        </row>
        <row r="57">
          <cell r="E57">
            <v>96</v>
          </cell>
          <cell r="H57" t="str">
            <v>D25-3971</v>
          </cell>
        </row>
        <row r="58">
          <cell r="E58">
            <v>96</v>
          </cell>
          <cell r="H58" t="str">
            <v>D25-3982</v>
          </cell>
        </row>
        <row r="59">
          <cell r="E59">
            <v>98</v>
          </cell>
          <cell r="H59" t="str">
            <v>MICYA-103</v>
          </cell>
        </row>
        <row r="60">
          <cell r="E60">
            <v>140</v>
          </cell>
          <cell r="H60" t="str">
            <v>DAB-001CM6</v>
          </cell>
        </row>
        <row r="61">
          <cell r="E61">
            <v>216</v>
          </cell>
          <cell r="H61" t="str">
            <v>HOB-001CM6</v>
          </cell>
        </row>
        <row r="62">
          <cell r="E62">
            <v>134</v>
          </cell>
          <cell r="H62" t="str">
            <v>D23-3248</v>
          </cell>
        </row>
        <row r="63">
          <cell r="E63">
            <v>170</v>
          </cell>
          <cell r="H63" t="str">
            <v>H23-3084</v>
          </cell>
        </row>
        <row r="64">
          <cell r="E64">
            <v>240</v>
          </cell>
          <cell r="H64" t="str">
            <v>SMXD-001</v>
          </cell>
        </row>
        <row r="65">
          <cell r="E65">
            <v>174</v>
          </cell>
          <cell r="H65" t="str">
            <v>SMXH-002</v>
          </cell>
        </row>
        <row r="66">
          <cell r="E66">
            <v>240</v>
          </cell>
          <cell r="H66" t="str">
            <v>DAB-001CM6</v>
          </cell>
        </row>
        <row r="67">
          <cell r="E67">
            <v>306</v>
          </cell>
          <cell r="H67" t="str">
            <v>HOB-001CM6</v>
          </cell>
        </row>
        <row r="68">
          <cell r="E68">
            <v>276</v>
          </cell>
          <cell r="H68" t="str">
            <v>D23-3248</v>
          </cell>
        </row>
        <row r="69">
          <cell r="E69">
            <v>234</v>
          </cell>
          <cell r="H69" t="str">
            <v>H23-3084</v>
          </cell>
        </row>
        <row r="70">
          <cell r="E70">
            <v>498</v>
          </cell>
          <cell r="H70" t="str">
            <v>SMXD-001</v>
          </cell>
        </row>
        <row r="71">
          <cell r="E71">
            <v>462</v>
          </cell>
          <cell r="H71" t="str">
            <v>SMXH-002</v>
          </cell>
        </row>
        <row r="72">
          <cell r="E72">
            <v>24</v>
          </cell>
          <cell r="H72" t="str">
            <v>CAR-002B</v>
          </cell>
        </row>
        <row r="73">
          <cell r="E73">
            <v>24</v>
          </cell>
          <cell r="H73" t="str">
            <v>AVA-070B</v>
          </cell>
        </row>
        <row r="74">
          <cell r="E74">
            <v>24</v>
          </cell>
          <cell r="H74" t="str">
            <v>SPY-012B</v>
          </cell>
        </row>
        <row r="75">
          <cell r="E75">
            <v>24</v>
          </cell>
          <cell r="H75" t="str">
            <v>MIN-137B</v>
          </cell>
        </row>
        <row r="76">
          <cell r="E76">
            <v>27</v>
          </cell>
          <cell r="H76" t="str">
            <v>H24-3174</v>
          </cell>
        </row>
        <row r="77">
          <cell r="E77">
            <v>27</v>
          </cell>
          <cell r="H77" t="str">
            <v>H25-3417</v>
          </cell>
        </row>
        <row r="78">
          <cell r="E78">
            <v>27</v>
          </cell>
          <cell r="H78" t="str">
            <v>H25-3319</v>
          </cell>
        </row>
        <row r="79">
          <cell r="E79">
            <v>15</v>
          </cell>
          <cell r="H79" t="str">
            <v>LIL-023B</v>
          </cell>
        </row>
        <row r="80">
          <cell r="E80">
            <v>20</v>
          </cell>
          <cell r="H80" t="str">
            <v>LIL-023</v>
          </cell>
        </row>
        <row r="81">
          <cell r="E81">
            <v>15</v>
          </cell>
          <cell r="H81" t="str">
            <v>G20-4312B</v>
          </cell>
        </row>
        <row r="82">
          <cell r="E82">
            <v>20</v>
          </cell>
          <cell r="H82" t="str">
            <v>G20-4312</v>
          </cell>
        </row>
        <row r="83">
          <cell r="E83">
            <v>268</v>
          </cell>
          <cell r="H83" t="str">
            <v>WIPYA-002</v>
          </cell>
        </row>
        <row r="84">
          <cell r="E84">
            <v>257</v>
          </cell>
          <cell r="H84" t="str">
            <v>WIPYA-001</v>
          </cell>
        </row>
        <row r="85">
          <cell r="E85">
            <v>384</v>
          </cell>
          <cell r="H85" t="str">
            <v>D20-2387CM11</v>
          </cell>
        </row>
        <row r="86">
          <cell r="E86">
            <v>422</v>
          </cell>
          <cell r="H86" t="str">
            <v>D23-3279</v>
          </cell>
        </row>
        <row r="87">
          <cell r="E87">
            <v>524</v>
          </cell>
          <cell r="H87" t="str">
            <v>D23-3271</v>
          </cell>
        </row>
        <row r="88">
          <cell r="E88">
            <v>192</v>
          </cell>
          <cell r="H88" t="str">
            <v>H20-2588V2</v>
          </cell>
        </row>
        <row r="89">
          <cell r="E89">
            <v>86</v>
          </cell>
          <cell r="H89" t="str">
            <v>H20-2585</v>
          </cell>
        </row>
        <row r="90">
          <cell r="E90">
            <v>414</v>
          </cell>
          <cell r="H90" t="str">
            <v>H20-2582V2</v>
          </cell>
        </row>
        <row r="91">
          <cell r="E91">
            <v>74</v>
          </cell>
          <cell r="H91" t="str">
            <v>H20-2630</v>
          </cell>
        </row>
        <row r="92">
          <cell r="E92">
            <v>84</v>
          </cell>
          <cell r="H92" t="str">
            <v>G23-4775</v>
          </cell>
        </row>
        <row r="93">
          <cell r="E93">
            <v>84</v>
          </cell>
          <cell r="H93" t="str">
            <v>G25-5003</v>
          </cell>
        </row>
        <row r="94">
          <cell r="E94">
            <v>84</v>
          </cell>
          <cell r="H94" t="str">
            <v>G23-4775B</v>
          </cell>
        </row>
        <row r="95">
          <cell r="E95">
            <v>84</v>
          </cell>
          <cell r="H95" t="str">
            <v>G23-4756B</v>
          </cell>
        </row>
        <row r="96">
          <cell r="E96">
            <v>168</v>
          </cell>
          <cell r="H96" t="str">
            <v>H25-3459</v>
          </cell>
        </row>
        <row r="97">
          <cell r="E97">
            <v>168</v>
          </cell>
          <cell r="H97" t="str">
            <v>H25-3433</v>
          </cell>
        </row>
        <row r="98">
          <cell r="E98">
            <v>168</v>
          </cell>
          <cell r="H98" t="str">
            <v>H25-3440</v>
          </cell>
        </row>
        <row r="99">
          <cell r="E99">
            <v>168</v>
          </cell>
          <cell r="H99" t="str">
            <v>H25-3438</v>
          </cell>
        </row>
        <row r="100">
          <cell r="E100">
            <v>168</v>
          </cell>
          <cell r="H100" t="str">
            <v>H25-3461</v>
          </cell>
        </row>
        <row r="101">
          <cell r="E101">
            <v>170</v>
          </cell>
          <cell r="H101" t="str">
            <v>SPIYA-053</v>
          </cell>
        </row>
        <row r="102">
          <cell r="E102">
            <v>168</v>
          </cell>
          <cell r="H102" t="str">
            <v>H25-3463</v>
          </cell>
        </row>
        <row r="103">
          <cell r="E103">
            <v>243</v>
          </cell>
          <cell r="H103" t="str">
            <v>G25-5002</v>
          </cell>
        </row>
        <row r="104">
          <cell r="E104">
            <v>281</v>
          </cell>
          <cell r="H104" t="str">
            <v>G25-4993</v>
          </cell>
        </row>
        <row r="105">
          <cell r="E105">
            <v>161</v>
          </cell>
          <cell r="H105" t="str">
            <v>G25-4998</v>
          </cell>
        </row>
        <row r="106">
          <cell r="E106">
            <v>152</v>
          </cell>
          <cell r="H106" t="str">
            <v>G24-4907</v>
          </cell>
        </row>
        <row r="107">
          <cell r="E107">
            <v>262</v>
          </cell>
          <cell r="H107" t="str">
            <v>G24-4908</v>
          </cell>
        </row>
        <row r="108">
          <cell r="E108">
            <v>145</v>
          </cell>
          <cell r="H108" t="str">
            <v>N24-3795G</v>
          </cell>
        </row>
        <row r="109">
          <cell r="E109">
            <v>84</v>
          </cell>
          <cell r="H109" t="str">
            <v>N26-3990B</v>
          </cell>
        </row>
        <row r="110">
          <cell r="E110">
            <v>84</v>
          </cell>
          <cell r="H110" t="str">
            <v>N26-3993B</v>
          </cell>
        </row>
        <row r="111">
          <cell r="E111">
            <v>84</v>
          </cell>
          <cell r="H111" t="str">
            <v>N25-3979</v>
          </cell>
        </row>
        <row r="112">
          <cell r="E112">
            <v>84</v>
          </cell>
          <cell r="H112" t="str">
            <v>N26-3991</v>
          </cell>
        </row>
        <row r="113">
          <cell r="E113">
            <v>168</v>
          </cell>
          <cell r="H113" t="str">
            <v>H25-3432</v>
          </cell>
        </row>
        <row r="114">
          <cell r="E114">
            <v>168</v>
          </cell>
          <cell r="H114" t="str">
            <v>H25-3437</v>
          </cell>
        </row>
        <row r="115">
          <cell r="E115">
            <v>168</v>
          </cell>
          <cell r="H115" t="str">
            <v>H25-3429</v>
          </cell>
        </row>
        <row r="116">
          <cell r="E116">
            <v>168</v>
          </cell>
          <cell r="H116" t="str">
            <v>H25-3428</v>
          </cell>
        </row>
        <row r="117">
          <cell r="E117">
            <v>168</v>
          </cell>
          <cell r="H117" t="str">
            <v>XMEN-005</v>
          </cell>
        </row>
        <row r="118">
          <cell r="E118">
            <v>168</v>
          </cell>
          <cell r="H118" t="str">
            <v>H25-3430</v>
          </cell>
        </row>
        <row r="119">
          <cell r="E119">
            <v>111</v>
          </cell>
          <cell r="H119" t="str">
            <v>D24-3730</v>
          </cell>
        </row>
        <row r="120">
          <cell r="E120">
            <v>202</v>
          </cell>
          <cell r="H120" t="str">
            <v>D25-4015</v>
          </cell>
        </row>
        <row r="121">
          <cell r="E121">
            <v>202</v>
          </cell>
          <cell r="H121" t="str">
            <v>D25-3825CM7</v>
          </cell>
        </row>
        <row r="122">
          <cell r="E122">
            <v>202</v>
          </cell>
          <cell r="H122" t="str">
            <v>D23-3286</v>
          </cell>
        </row>
        <row r="123">
          <cell r="E123">
            <v>202</v>
          </cell>
          <cell r="H123" t="str">
            <v>D25-3982 CM7</v>
          </cell>
        </row>
        <row r="124">
          <cell r="E124">
            <v>150</v>
          </cell>
          <cell r="H124" t="str">
            <v>H22-2912CM9</v>
          </cell>
        </row>
        <row r="125">
          <cell r="E125">
            <v>204</v>
          </cell>
          <cell r="H125" t="str">
            <v>H25-3357</v>
          </cell>
        </row>
        <row r="126">
          <cell r="E126">
            <v>204</v>
          </cell>
          <cell r="H126" t="str">
            <v>H25-3336CM9</v>
          </cell>
        </row>
        <row r="127">
          <cell r="E127">
            <v>204</v>
          </cell>
          <cell r="H127" t="str">
            <v>H25-3421</v>
          </cell>
        </row>
        <row r="128">
          <cell r="E128">
            <v>204</v>
          </cell>
          <cell r="H128" t="str">
            <v>H25-3326</v>
          </cell>
        </row>
        <row r="129">
          <cell r="E129">
            <v>144</v>
          </cell>
          <cell r="H129" t="str">
            <v>D25-3889G</v>
          </cell>
        </row>
        <row r="130">
          <cell r="E130">
            <v>144</v>
          </cell>
          <cell r="H130" t="str">
            <v>D25-3766G</v>
          </cell>
        </row>
        <row r="131">
          <cell r="E131">
            <v>144</v>
          </cell>
          <cell r="H131" t="str">
            <v>G23-4772</v>
          </cell>
        </row>
        <row r="132">
          <cell r="E132">
            <v>160</v>
          </cell>
          <cell r="H132" t="str">
            <v>N24-3755BV2</v>
          </cell>
        </row>
        <row r="133">
          <cell r="E133">
            <v>160</v>
          </cell>
          <cell r="H133" t="str">
            <v>N24-3762B</v>
          </cell>
        </row>
        <row r="134">
          <cell r="E134">
            <v>160</v>
          </cell>
          <cell r="H134" t="str">
            <v>G24-4861B</v>
          </cell>
        </row>
        <row r="135">
          <cell r="E135">
            <v>160</v>
          </cell>
          <cell r="H135" t="str">
            <v>G24-4814B</v>
          </cell>
        </row>
        <row r="136">
          <cell r="E136">
            <v>160</v>
          </cell>
          <cell r="H136" t="str">
            <v>G24-4850B</v>
          </cell>
        </row>
        <row r="137">
          <cell r="E137">
            <v>160</v>
          </cell>
          <cell r="H137" t="str">
            <v>G24-4825BV2</v>
          </cell>
        </row>
        <row r="138">
          <cell r="E138">
            <v>188</v>
          </cell>
          <cell r="H138" t="str">
            <v>HOB-001CM6</v>
          </cell>
        </row>
        <row r="139">
          <cell r="E139">
            <v>228</v>
          </cell>
          <cell r="H139" t="str">
            <v>H23-3084</v>
          </cell>
        </row>
        <row r="140">
          <cell r="E140">
            <v>5</v>
          </cell>
          <cell r="H140" t="str">
            <v>H25-3464</v>
          </cell>
        </row>
        <row r="141">
          <cell r="E141">
            <v>10</v>
          </cell>
          <cell r="H141" t="str">
            <v>H25-3466</v>
          </cell>
        </row>
        <row r="142">
          <cell r="E142">
            <v>5</v>
          </cell>
          <cell r="H142" t="str">
            <v>H25-3470</v>
          </cell>
        </row>
        <row r="143">
          <cell r="E143">
            <v>5</v>
          </cell>
          <cell r="H143" t="str">
            <v>H25-3469</v>
          </cell>
        </row>
        <row r="144">
          <cell r="E144">
            <v>5</v>
          </cell>
          <cell r="H144" t="str">
            <v>H25-3471</v>
          </cell>
        </row>
        <row r="145">
          <cell r="E145">
            <v>5</v>
          </cell>
          <cell r="H145" t="str">
            <v>H25-3469</v>
          </cell>
        </row>
        <row r="146">
          <cell r="E146">
            <v>5</v>
          </cell>
          <cell r="H146" t="str">
            <v>H25-3471</v>
          </cell>
        </row>
        <row r="147">
          <cell r="E147">
            <v>5</v>
          </cell>
          <cell r="H147" t="str">
            <v>H25-3472</v>
          </cell>
        </row>
        <row r="148">
          <cell r="E148">
            <v>5</v>
          </cell>
          <cell r="H148" t="str">
            <v>H25-3473</v>
          </cell>
        </row>
        <row r="149">
          <cell r="E149">
            <v>335</v>
          </cell>
          <cell r="H149" t="str">
            <v>D25-3924</v>
          </cell>
        </row>
        <row r="150">
          <cell r="E150">
            <v>390</v>
          </cell>
          <cell r="H150" t="str">
            <v>D24-3613</v>
          </cell>
        </row>
        <row r="151">
          <cell r="E151">
            <v>355</v>
          </cell>
          <cell r="H151" t="str">
            <v>G25-5002D</v>
          </cell>
        </row>
        <row r="152">
          <cell r="E152">
            <v>344</v>
          </cell>
          <cell r="H152" t="str">
            <v>H25-3366D</v>
          </cell>
        </row>
        <row r="153">
          <cell r="E153">
            <v>378</v>
          </cell>
          <cell r="H153" t="str">
            <v>D25-4036</v>
          </cell>
        </row>
        <row r="154">
          <cell r="E154">
            <v>334</v>
          </cell>
          <cell r="H154" t="str">
            <v>D25-4034</v>
          </cell>
        </row>
        <row r="155">
          <cell r="E155">
            <v>340</v>
          </cell>
          <cell r="H155" t="str">
            <v>D25-4035</v>
          </cell>
        </row>
        <row r="156">
          <cell r="E156">
            <v>580</v>
          </cell>
          <cell r="H156" t="str">
            <v>H25-3366</v>
          </cell>
        </row>
        <row r="157">
          <cell r="E157">
            <v>589</v>
          </cell>
          <cell r="H157" t="str">
            <v>H25-3375</v>
          </cell>
        </row>
        <row r="158">
          <cell r="E158">
            <v>287</v>
          </cell>
          <cell r="H158" t="str">
            <v>G25-5044</v>
          </cell>
        </row>
        <row r="159">
          <cell r="E159">
            <v>204</v>
          </cell>
          <cell r="H159" t="str">
            <v>N24-3795</v>
          </cell>
        </row>
        <row r="160">
          <cell r="E160">
            <v>262</v>
          </cell>
          <cell r="H160" t="str">
            <v>N25-3970</v>
          </cell>
        </row>
        <row r="161">
          <cell r="E161">
            <v>204</v>
          </cell>
          <cell r="H161" t="str">
            <v>N25-3873</v>
          </cell>
        </row>
        <row r="162">
          <cell r="E162">
            <v>259</v>
          </cell>
          <cell r="H162" t="str">
            <v>N25-3971</v>
          </cell>
        </row>
        <row r="163">
          <cell r="E163">
            <v>88</v>
          </cell>
          <cell r="H163" t="str">
            <v>H20-2588V2</v>
          </cell>
        </row>
        <row r="164">
          <cell r="E164">
            <v>52</v>
          </cell>
          <cell r="H164" t="str">
            <v>D20-2199CM7</v>
          </cell>
        </row>
        <row r="165">
          <cell r="E165">
            <v>48</v>
          </cell>
          <cell r="H165" t="str">
            <v>D21-2421CM7</v>
          </cell>
        </row>
        <row r="166">
          <cell r="E166">
            <v>50</v>
          </cell>
          <cell r="H166" t="str">
            <v>D21-2488</v>
          </cell>
        </row>
        <row r="167">
          <cell r="E167">
            <v>50</v>
          </cell>
          <cell r="H167" t="str">
            <v>D24-3710</v>
          </cell>
        </row>
        <row r="168">
          <cell r="E168">
            <v>132</v>
          </cell>
          <cell r="H168" t="str">
            <v>D26-4119</v>
          </cell>
        </row>
        <row r="169">
          <cell r="E169">
            <v>132</v>
          </cell>
          <cell r="H169" t="str">
            <v>D26-4118</v>
          </cell>
        </row>
        <row r="170">
          <cell r="E170">
            <v>190</v>
          </cell>
          <cell r="H170" t="str">
            <v>D26-4115</v>
          </cell>
        </row>
        <row r="171">
          <cell r="E171">
            <v>190</v>
          </cell>
          <cell r="H171" t="str">
            <v>D24-3693CM5</v>
          </cell>
        </row>
        <row r="172">
          <cell r="E172">
            <v>190</v>
          </cell>
          <cell r="H172" t="str">
            <v>D26-4110</v>
          </cell>
        </row>
        <row r="173">
          <cell r="E173">
            <v>132</v>
          </cell>
          <cell r="H173" t="str">
            <v>D26-4112</v>
          </cell>
        </row>
        <row r="174">
          <cell r="E174">
            <v>190</v>
          </cell>
          <cell r="H174" t="str">
            <v>D26-4111</v>
          </cell>
        </row>
        <row r="175">
          <cell r="E175">
            <v>190</v>
          </cell>
          <cell r="H175" t="str">
            <v>D26-4144</v>
          </cell>
        </row>
        <row r="176">
          <cell r="E176">
            <v>190</v>
          </cell>
          <cell r="H176" t="str">
            <v>D26-4120</v>
          </cell>
        </row>
        <row r="177">
          <cell r="E177">
            <v>190</v>
          </cell>
          <cell r="H177" t="str">
            <v>D26-4145</v>
          </cell>
        </row>
        <row r="178">
          <cell r="E178">
            <v>132</v>
          </cell>
          <cell r="H178" t="str">
            <v>D26-4125</v>
          </cell>
        </row>
        <row r="179">
          <cell r="E179">
            <v>132</v>
          </cell>
          <cell r="H179" t="str">
            <v>D26-4146</v>
          </cell>
        </row>
        <row r="180">
          <cell r="E180">
            <v>190</v>
          </cell>
          <cell r="H180" t="str">
            <v>D26-4143</v>
          </cell>
        </row>
        <row r="181">
          <cell r="E181">
            <v>190</v>
          </cell>
          <cell r="H181" t="str">
            <v>D25-3798CM5</v>
          </cell>
        </row>
        <row r="182">
          <cell r="E182">
            <v>190</v>
          </cell>
          <cell r="H182" t="str">
            <v>H26-3513</v>
          </cell>
        </row>
        <row r="183">
          <cell r="E183">
            <v>114</v>
          </cell>
          <cell r="H183" t="str">
            <v>H26-3514</v>
          </cell>
        </row>
        <row r="184">
          <cell r="E184">
            <v>190</v>
          </cell>
          <cell r="H184" t="str">
            <v>H24-3145</v>
          </cell>
        </row>
        <row r="185">
          <cell r="E185">
            <v>190</v>
          </cell>
          <cell r="H185" t="str">
            <v>H26-3519</v>
          </cell>
        </row>
        <row r="186">
          <cell r="E186">
            <v>190</v>
          </cell>
          <cell r="H186" t="str">
            <v>H26-3516</v>
          </cell>
        </row>
        <row r="187">
          <cell r="E187">
            <v>190</v>
          </cell>
          <cell r="H187" t="str">
            <v>H26-3518</v>
          </cell>
        </row>
        <row r="188">
          <cell r="E188">
            <v>114</v>
          </cell>
          <cell r="H188" t="str">
            <v>H26-3520</v>
          </cell>
        </row>
        <row r="189">
          <cell r="E189">
            <v>190</v>
          </cell>
          <cell r="H189" t="str">
            <v>H26-3521</v>
          </cell>
        </row>
        <row r="190">
          <cell r="E190">
            <v>190</v>
          </cell>
          <cell r="H190" t="str">
            <v>H26-3512</v>
          </cell>
        </row>
        <row r="191">
          <cell r="E191">
            <v>190</v>
          </cell>
          <cell r="H191" t="str">
            <v>H26-3522</v>
          </cell>
        </row>
        <row r="192">
          <cell r="E192">
            <v>144</v>
          </cell>
          <cell r="H192" t="str">
            <v>G26-5083</v>
          </cell>
        </row>
        <row r="193">
          <cell r="E193">
            <v>144</v>
          </cell>
          <cell r="H193" t="str">
            <v>G26-5087</v>
          </cell>
        </row>
        <row r="194">
          <cell r="E194">
            <v>144</v>
          </cell>
          <cell r="H194" t="str">
            <v>G26-5085</v>
          </cell>
        </row>
        <row r="195">
          <cell r="E195">
            <v>144</v>
          </cell>
          <cell r="H195" t="str">
            <v>G26-5084</v>
          </cell>
        </row>
        <row r="196">
          <cell r="E196">
            <v>144</v>
          </cell>
          <cell r="H196" t="str">
            <v>G26-5086</v>
          </cell>
        </row>
        <row r="197">
          <cell r="E197">
            <v>144</v>
          </cell>
          <cell r="H197" t="str">
            <v>N26-4020</v>
          </cell>
        </row>
        <row r="198">
          <cell r="E198">
            <v>144</v>
          </cell>
          <cell r="H198" t="str">
            <v>N26-4019</v>
          </cell>
        </row>
        <row r="199">
          <cell r="E199">
            <v>144</v>
          </cell>
          <cell r="H199" t="str">
            <v>N26-4022</v>
          </cell>
        </row>
        <row r="200">
          <cell r="E200">
            <v>192</v>
          </cell>
          <cell r="H200" t="str">
            <v>G26-5081B</v>
          </cell>
        </row>
        <row r="201">
          <cell r="E201">
            <v>192</v>
          </cell>
          <cell r="H201" t="str">
            <v>G26-5080B</v>
          </cell>
        </row>
        <row r="202">
          <cell r="E202">
            <v>192</v>
          </cell>
          <cell r="H202" t="str">
            <v>G26-5082B</v>
          </cell>
        </row>
        <row r="203">
          <cell r="E203">
            <v>192</v>
          </cell>
          <cell r="H203" t="str">
            <v>G26-5078B</v>
          </cell>
        </row>
        <row r="204">
          <cell r="E204">
            <v>192</v>
          </cell>
          <cell r="H204" t="str">
            <v>G26-5079B</v>
          </cell>
        </row>
        <row r="205">
          <cell r="E205">
            <v>192</v>
          </cell>
          <cell r="H205" t="str">
            <v>N26-4027B</v>
          </cell>
        </row>
        <row r="206">
          <cell r="E206">
            <v>192</v>
          </cell>
          <cell r="H206" t="str">
            <v>N26-4025B</v>
          </cell>
        </row>
        <row r="207">
          <cell r="E207">
            <v>192</v>
          </cell>
          <cell r="H207" t="str">
            <v>N26-4026B</v>
          </cell>
        </row>
        <row r="208">
          <cell r="E208">
            <v>192</v>
          </cell>
          <cell r="H208" t="str">
            <v>N26-4024B</v>
          </cell>
        </row>
        <row r="209">
          <cell r="E209">
            <v>150</v>
          </cell>
          <cell r="H209" t="str">
            <v>D26-4067</v>
          </cell>
        </row>
        <row r="210">
          <cell r="E210">
            <v>150</v>
          </cell>
          <cell r="H210" t="str">
            <v>D26-4068</v>
          </cell>
        </row>
        <row r="211">
          <cell r="E211">
            <v>150</v>
          </cell>
          <cell r="H211" t="str">
            <v>D26-4069</v>
          </cell>
        </row>
        <row r="212">
          <cell r="E212">
            <v>202</v>
          </cell>
          <cell r="H212" t="str">
            <v>D25-4040</v>
          </cell>
        </row>
        <row r="213">
          <cell r="E213">
            <v>202</v>
          </cell>
          <cell r="H213" t="str">
            <v>D26-4072</v>
          </cell>
        </row>
        <row r="214">
          <cell r="E214">
            <v>150</v>
          </cell>
          <cell r="H214" t="str">
            <v>D24-3447</v>
          </cell>
        </row>
        <row r="215">
          <cell r="E215">
            <v>202</v>
          </cell>
          <cell r="H215" t="str">
            <v>D26-4074</v>
          </cell>
        </row>
        <row r="216">
          <cell r="E216">
            <v>202</v>
          </cell>
          <cell r="H216" t="str">
            <v>D24-3710</v>
          </cell>
        </row>
        <row r="217">
          <cell r="E217">
            <v>150</v>
          </cell>
          <cell r="H217" t="str">
            <v>D26-4078</v>
          </cell>
        </row>
        <row r="218">
          <cell r="E218">
            <v>202</v>
          </cell>
          <cell r="H218" t="str">
            <v>D26-4077</v>
          </cell>
        </row>
        <row r="219">
          <cell r="E219">
            <v>202</v>
          </cell>
          <cell r="H219" t="str">
            <v>D25-3975CM7</v>
          </cell>
        </row>
        <row r="220">
          <cell r="E220">
            <v>202</v>
          </cell>
          <cell r="H220" t="str">
            <v>D25-3974CM7</v>
          </cell>
        </row>
        <row r="221">
          <cell r="E221">
            <v>202</v>
          </cell>
          <cell r="H221" t="str">
            <v>D26-4089</v>
          </cell>
        </row>
        <row r="222">
          <cell r="E222">
            <v>150</v>
          </cell>
          <cell r="H222" t="str">
            <v>D26-4094</v>
          </cell>
        </row>
        <row r="223">
          <cell r="E223">
            <v>150</v>
          </cell>
          <cell r="H223" t="str">
            <v>D24-3746</v>
          </cell>
        </row>
        <row r="224">
          <cell r="E224">
            <v>150</v>
          </cell>
          <cell r="H224" t="str">
            <v>D26-4093</v>
          </cell>
        </row>
        <row r="225">
          <cell r="E225">
            <v>202</v>
          </cell>
          <cell r="H225" t="str">
            <v>D26-4100</v>
          </cell>
        </row>
        <row r="226">
          <cell r="E226">
            <v>202</v>
          </cell>
          <cell r="H226" t="str">
            <v>D24-3707</v>
          </cell>
        </row>
        <row r="227">
          <cell r="E227">
            <v>202</v>
          </cell>
          <cell r="H227" t="str">
            <v>D26-4099</v>
          </cell>
        </row>
        <row r="228">
          <cell r="E228">
            <v>150</v>
          </cell>
          <cell r="H228" t="str">
            <v>D26-4095</v>
          </cell>
        </row>
        <row r="229">
          <cell r="E229">
            <v>202</v>
          </cell>
          <cell r="H229" t="str">
            <v>D25-3937</v>
          </cell>
        </row>
        <row r="230">
          <cell r="E230">
            <v>150</v>
          </cell>
          <cell r="H230" t="str">
            <v>D26-4079</v>
          </cell>
        </row>
        <row r="231">
          <cell r="E231">
            <v>150</v>
          </cell>
          <cell r="H231" t="str">
            <v>D26-4086</v>
          </cell>
        </row>
        <row r="232">
          <cell r="E232">
            <v>202</v>
          </cell>
          <cell r="H232" t="str">
            <v>D26-4080</v>
          </cell>
        </row>
        <row r="233">
          <cell r="E233">
            <v>202</v>
          </cell>
          <cell r="H233" t="str">
            <v>D25-4039</v>
          </cell>
        </row>
        <row r="234">
          <cell r="E234">
            <v>202</v>
          </cell>
          <cell r="H234" t="str">
            <v>D26-4088</v>
          </cell>
        </row>
        <row r="235">
          <cell r="E235">
            <v>202</v>
          </cell>
          <cell r="H235" t="str">
            <v>D26-4147</v>
          </cell>
        </row>
        <row r="236">
          <cell r="E236">
            <v>150</v>
          </cell>
          <cell r="H236" t="str">
            <v>H26-3495</v>
          </cell>
        </row>
        <row r="237">
          <cell r="E237">
            <v>204</v>
          </cell>
          <cell r="H237" t="str">
            <v>H26-3493</v>
          </cell>
        </row>
        <row r="238">
          <cell r="E238">
            <v>204</v>
          </cell>
          <cell r="H238" t="str">
            <v>H26-3491</v>
          </cell>
        </row>
        <row r="239">
          <cell r="E239">
            <v>204</v>
          </cell>
          <cell r="H239" t="str">
            <v>H26-3490</v>
          </cell>
        </row>
        <row r="240">
          <cell r="E240">
            <v>204</v>
          </cell>
          <cell r="H240" t="str">
            <v>H26-3505</v>
          </cell>
        </row>
        <row r="241">
          <cell r="E241">
            <v>204</v>
          </cell>
          <cell r="H241" t="str">
            <v>H26-3539</v>
          </cell>
        </row>
        <row r="242">
          <cell r="E242">
            <v>204</v>
          </cell>
          <cell r="H242" t="str">
            <v>H26-3499</v>
          </cell>
        </row>
        <row r="243">
          <cell r="E243">
            <v>150</v>
          </cell>
          <cell r="H243" t="str">
            <v>H26-3502</v>
          </cell>
        </row>
        <row r="244">
          <cell r="E244">
            <v>150</v>
          </cell>
          <cell r="H244" t="str">
            <v>H26-3503</v>
          </cell>
        </row>
        <row r="245">
          <cell r="E245">
            <v>204</v>
          </cell>
          <cell r="H245" t="str">
            <v>H26-3497</v>
          </cell>
        </row>
        <row r="246">
          <cell r="E246">
            <v>204</v>
          </cell>
          <cell r="H246" t="str">
            <v>H26-3501</v>
          </cell>
        </row>
        <row r="247">
          <cell r="E247">
            <v>204</v>
          </cell>
          <cell r="H247" t="str">
            <v>H25-3407</v>
          </cell>
        </row>
        <row r="248">
          <cell r="E248">
            <v>204</v>
          </cell>
          <cell r="H248" t="str">
            <v>H25-3358CM9</v>
          </cell>
        </row>
        <row r="249">
          <cell r="E249">
            <v>204</v>
          </cell>
          <cell r="H249" t="str">
            <v>H26-3492</v>
          </cell>
        </row>
        <row r="250">
          <cell r="E250">
            <v>150</v>
          </cell>
          <cell r="H250" t="str">
            <v>H26-3503</v>
          </cell>
        </row>
        <row r="251">
          <cell r="E251">
            <v>204</v>
          </cell>
          <cell r="H251" t="str">
            <v>H26-3500</v>
          </cell>
        </row>
        <row r="252">
          <cell r="E252">
            <v>204</v>
          </cell>
          <cell r="H252" t="str">
            <v>H26-3509</v>
          </cell>
        </row>
        <row r="253">
          <cell r="E253">
            <v>204</v>
          </cell>
          <cell r="H253" t="str">
            <v>H26-3504</v>
          </cell>
        </row>
        <row r="254">
          <cell r="E254">
            <v>144</v>
          </cell>
          <cell r="H254" t="str">
            <v>G26-5077</v>
          </cell>
        </row>
        <row r="255">
          <cell r="E255">
            <v>144</v>
          </cell>
          <cell r="H255" t="str">
            <v>G26-5073</v>
          </cell>
        </row>
        <row r="256">
          <cell r="E256">
            <v>144</v>
          </cell>
          <cell r="H256" t="str">
            <v>G26-5070</v>
          </cell>
        </row>
        <row r="257">
          <cell r="E257">
            <v>144</v>
          </cell>
          <cell r="H257" t="str">
            <v>G26-5074</v>
          </cell>
        </row>
        <row r="258">
          <cell r="E258">
            <v>160</v>
          </cell>
          <cell r="H258" t="str">
            <v>G26-5068B</v>
          </cell>
        </row>
        <row r="259">
          <cell r="E259">
            <v>160</v>
          </cell>
          <cell r="H259" t="str">
            <v>G26-5067B</v>
          </cell>
        </row>
        <row r="260">
          <cell r="E260">
            <v>160</v>
          </cell>
          <cell r="H260" t="str">
            <v>G25-5024B</v>
          </cell>
        </row>
        <row r="261">
          <cell r="E261">
            <v>144</v>
          </cell>
          <cell r="H261" t="str">
            <v>N26-4015</v>
          </cell>
        </row>
        <row r="262">
          <cell r="E262">
            <v>144</v>
          </cell>
          <cell r="H262" t="str">
            <v>N26-4013</v>
          </cell>
        </row>
        <row r="263">
          <cell r="E263">
            <v>144</v>
          </cell>
          <cell r="H263" t="str">
            <v>N26-4012</v>
          </cell>
        </row>
        <row r="264">
          <cell r="E264">
            <v>144</v>
          </cell>
          <cell r="H264" t="str">
            <v>N26-4014</v>
          </cell>
        </row>
        <row r="265">
          <cell r="E265">
            <v>160</v>
          </cell>
          <cell r="H265" t="str">
            <v>N26-4007B</v>
          </cell>
        </row>
        <row r="266">
          <cell r="E266">
            <v>160</v>
          </cell>
          <cell r="H266" t="str">
            <v>N26-4006B</v>
          </cell>
        </row>
        <row r="267">
          <cell r="E267">
            <v>204</v>
          </cell>
          <cell r="H267" t="str">
            <v>MARYA-014</v>
          </cell>
        </row>
        <row r="268">
          <cell r="E268">
            <v>204</v>
          </cell>
          <cell r="H268" t="str">
            <v>MARYA-013</v>
          </cell>
        </row>
        <row r="269">
          <cell r="E269">
            <v>204</v>
          </cell>
          <cell r="H269" t="str">
            <v>LILYA-047</v>
          </cell>
        </row>
        <row r="270">
          <cell r="E270">
            <v>204</v>
          </cell>
          <cell r="H270" t="str">
            <v>LILYA-054</v>
          </cell>
        </row>
        <row r="271">
          <cell r="E271">
            <v>204</v>
          </cell>
          <cell r="H271" t="str">
            <v>LILYA-045</v>
          </cell>
        </row>
        <row r="272">
          <cell r="E272">
            <v>204</v>
          </cell>
          <cell r="H272" t="str">
            <v>MICYA-111</v>
          </cell>
        </row>
        <row r="273">
          <cell r="E273">
            <v>204</v>
          </cell>
          <cell r="H273" t="str">
            <v>MICYA-101</v>
          </cell>
        </row>
        <row r="274">
          <cell r="E274">
            <v>204</v>
          </cell>
          <cell r="H274" t="str">
            <v>MINYA-100</v>
          </cell>
        </row>
        <row r="275">
          <cell r="E275">
            <v>206</v>
          </cell>
          <cell r="H275" t="str">
            <v>SPIYA-051</v>
          </cell>
        </row>
        <row r="276">
          <cell r="E276">
            <v>206</v>
          </cell>
          <cell r="H276" t="str">
            <v>SPIYA-052</v>
          </cell>
        </row>
        <row r="277">
          <cell r="E277">
            <v>206</v>
          </cell>
          <cell r="H277" t="str">
            <v>SPIYA-057</v>
          </cell>
        </row>
        <row r="278">
          <cell r="E278">
            <v>206</v>
          </cell>
          <cell r="H278" t="str">
            <v>SPIYA-056</v>
          </cell>
        </row>
        <row r="279">
          <cell r="E279">
            <v>206</v>
          </cell>
          <cell r="H279" t="str">
            <v>DEAYA-029</v>
          </cell>
        </row>
        <row r="280">
          <cell r="E280">
            <v>206</v>
          </cell>
          <cell r="H280" t="str">
            <v>MCOYA-062</v>
          </cell>
        </row>
        <row r="281">
          <cell r="E281">
            <v>206</v>
          </cell>
          <cell r="H281" t="str">
            <v>MICYA-110</v>
          </cell>
        </row>
        <row r="282">
          <cell r="E282">
            <v>206</v>
          </cell>
          <cell r="H282" t="str">
            <v>MICYA-109</v>
          </cell>
        </row>
        <row r="283">
          <cell r="E283">
            <v>146</v>
          </cell>
          <cell r="H283" t="str">
            <v>MIN-154</v>
          </cell>
        </row>
        <row r="284">
          <cell r="E284">
            <v>146</v>
          </cell>
          <cell r="H284" t="str">
            <v>MIN-104</v>
          </cell>
        </row>
        <row r="285">
          <cell r="E285">
            <v>146</v>
          </cell>
          <cell r="H285" t="str">
            <v>LIL-045</v>
          </cell>
        </row>
        <row r="286">
          <cell r="E286">
            <v>144</v>
          </cell>
          <cell r="H286" t="str">
            <v>LIL-048</v>
          </cell>
        </row>
        <row r="287">
          <cell r="E287">
            <v>146</v>
          </cell>
          <cell r="H287" t="str">
            <v>MAR-016</v>
          </cell>
        </row>
        <row r="288">
          <cell r="E288">
            <v>146</v>
          </cell>
          <cell r="H288" t="str">
            <v>MAR-017</v>
          </cell>
        </row>
        <row r="289">
          <cell r="E289">
            <v>146</v>
          </cell>
          <cell r="H289" t="str">
            <v>SPD-122</v>
          </cell>
        </row>
        <row r="290">
          <cell r="E290">
            <v>146</v>
          </cell>
          <cell r="H290" t="str">
            <v>SPD-123</v>
          </cell>
        </row>
        <row r="291">
          <cell r="E291">
            <v>144</v>
          </cell>
          <cell r="H291" t="str">
            <v>SPD-071</v>
          </cell>
        </row>
        <row r="292">
          <cell r="E292">
            <v>147</v>
          </cell>
          <cell r="H292" t="str">
            <v>MCO-003</v>
          </cell>
        </row>
        <row r="293">
          <cell r="E293">
            <v>146</v>
          </cell>
          <cell r="H293" t="str">
            <v>CAR-006</v>
          </cell>
        </row>
        <row r="294">
          <cell r="E294">
            <v>146</v>
          </cell>
          <cell r="H294" t="str">
            <v>MIC-097</v>
          </cell>
        </row>
        <row r="295">
          <cell r="E295">
            <v>162</v>
          </cell>
          <cell r="H295" t="str">
            <v>MIN-157B</v>
          </cell>
        </row>
        <row r="296">
          <cell r="E296">
            <v>162</v>
          </cell>
          <cell r="H296" t="str">
            <v>MIN-156B</v>
          </cell>
        </row>
        <row r="297">
          <cell r="E297">
            <v>162</v>
          </cell>
          <cell r="H297" t="str">
            <v>MAR-018B</v>
          </cell>
        </row>
        <row r="298">
          <cell r="E298">
            <v>162</v>
          </cell>
          <cell r="H298" t="str">
            <v>MAR-019B</v>
          </cell>
        </row>
        <row r="299">
          <cell r="E299">
            <v>162</v>
          </cell>
          <cell r="H299" t="str">
            <v>LIL-049B</v>
          </cell>
        </row>
        <row r="300">
          <cell r="E300">
            <v>162</v>
          </cell>
          <cell r="H300" t="str">
            <v>LIL-046B</v>
          </cell>
        </row>
        <row r="301">
          <cell r="E301">
            <v>162</v>
          </cell>
          <cell r="H301" t="str">
            <v>MINYA-104B</v>
          </cell>
        </row>
        <row r="302">
          <cell r="E302">
            <v>162</v>
          </cell>
          <cell r="H302" t="str">
            <v>MIC-095B</v>
          </cell>
        </row>
        <row r="303">
          <cell r="E303">
            <v>162</v>
          </cell>
          <cell r="H303" t="str">
            <v>MIC-096B</v>
          </cell>
        </row>
        <row r="304">
          <cell r="E304">
            <v>162</v>
          </cell>
          <cell r="H304" t="str">
            <v>SPY-017B</v>
          </cell>
        </row>
        <row r="305">
          <cell r="E305">
            <v>162</v>
          </cell>
          <cell r="H305" t="str">
            <v>SPY-014B</v>
          </cell>
        </row>
        <row r="306">
          <cell r="E306">
            <v>162</v>
          </cell>
          <cell r="H306" t="str">
            <v>SPY-015B</v>
          </cell>
        </row>
        <row r="307">
          <cell r="E307">
            <v>162</v>
          </cell>
          <cell r="H307" t="str">
            <v>SPY-007B</v>
          </cell>
        </row>
        <row r="308">
          <cell r="E308">
            <v>160</v>
          </cell>
          <cell r="H308" t="str">
            <v>CAR-005B</v>
          </cell>
        </row>
        <row r="309">
          <cell r="E309">
            <v>106</v>
          </cell>
          <cell r="H309" t="str">
            <v>H25-3464</v>
          </cell>
        </row>
        <row r="310">
          <cell r="E310">
            <v>452</v>
          </cell>
          <cell r="H310" t="str">
            <v>H25-3466</v>
          </cell>
        </row>
        <row r="311">
          <cell r="E311">
            <v>136</v>
          </cell>
          <cell r="H311" t="str">
            <v>H25-3470</v>
          </cell>
        </row>
        <row r="312">
          <cell r="E312">
            <v>820</v>
          </cell>
          <cell r="H312" t="str">
            <v>H25-3469</v>
          </cell>
        </row>
        <row r="313">
          <cell r="E313">
            <v>820</v>
          </cell>
          <cell r="H313" t="str">
            <v>H25-3471</v>
          </cell>
        </row>
        <row r="314">
          <cell r="E314">
            <v>208</v>
          </cell>
          <cell r="H314" t="str">
            <v>H25-3472</v>
          </cell>
        </row>
        <row r="315">
          <cell r="E315">
            <v>208</v>
          </cell>
          <cell r="H315" t="str">
            <v>H25-3473</v>
          </cell>
        </row>
        <row r="316">
          <cell r="E316">
            <v>84</v>
          </cell>
          <cell r="H316" t="str">
            <v>N25-3973</v>
          </cell>
        </row>
        <row r="317">
          <cell r="E317">
            <v>84</v>
          </cell>
          <cell r="H317" t="str">
            <v>N26-3984</v>
          </cell>
        </row>
        <row r="318">
          <cell r="E318">
            <v>84</v>
          </cell>
          <cell r="H318" t="str">
            <v>N26-3994B</v>
          </cell>
        </row>
        <row r="319">
          <cell r="E319">
            <v>84</v>
          </cell>
          <cell r="H319" t="str">
            <v>N26-3995B</v>
          </cell>
        </row>
        <row r="320">
          <cell r="E320">
            <v>84</v>
          </cell>
          <cell r="H320" t="str">
            <v>G26-5046</v>
          </cell>
        </row>
        <row r="321">
          <cell r="E321">
            <v>84</v>
          </cell>
          <cell r="H321" t="str">
            <v>G26-5047</v>
          </cell>
        </row>
        <row r="322">
          <cell r="E322">
            <v>84</v>
          </cell>
          <cell r="H322" t="str">
            <v>G26-5048B</v>
          </cell>
        </row>
        <row r="323">
          <cell r="E323">
            <v>84</v>
          </cell>
          <cell r="H323" t="str">
            <v>G26-5057B</v>
          </cell>
        </row>
        <row r="324">
          <cell r="E324">
            <v>168</v>
          </cell>
          <cell r="H324" t="str">
            <v>D26-4102</v>
          </cell>
        </row>
        <row r="325">
          <cell r="E325">
            <v>132</v>
          </cell>
          <cell r="H325" t="str">
            <v>D26-4103</v>
          </cell>
        </row>
        <row r="326">
          <cell r="E326">
            <v>204</v>
          </cell>
          <cell r="H326" t="str">
            <v>D26-4106</v>
          </cell>
        </row>
        <row r="327">
          <cell r="E327">
            <v>204</v>
          </cell>
          <cell r="H327" t="str">
            <v>D25-4002</v>
          </cell>
        </row>
        <row r="328">
          <cell r="E328">
            <v>86</v>
          </cell>
          <cell r="H328" t="str">
            <v>H20-2582V2</v>
          </cell>
        </row>
        <row r="329">
          <cell r="E329">
            <v>54</v>
          </cell>
          <cell r="H329" t="str">
            <v>D23-3279</v>
          </cell>
        </row>
        <row r="330">
          <cell r="E330">
            <v>31</v>
          </cell>
          <cell r="H330" t="str">
            <v>D23-3271</v>
          </cell>
        </row>
        <row r="331">
          <cell r="E331">
            <v>36</v>
          </cell>
          <cell r="H331" t="str">
            <v>H20-2585</v>
          </cell>
        </row>
        <row r="332">
          <cell r="E332">
            <v>238</v>
          </cell>
          <cell r="H332" t="str">
            <v>DAB-001CM6</v>
          </cell>
        </row>
        <row r="333">
          <cell r="E333">
            <v>6</v>
          </cell>
          <cell r="H333" t="str">
            <v>HOB-001CM6</v>
          </cell>
        </row>
        <row r="334">
          <cell r="E334">
            <v>246</v>
          </cell>
          <cell r="H334" t="str">
            <v>D23-3248</v>
          </cell>
        </row>
        <row r="335">
          <cell r="E335">
            <v>42</v>
          </cell>
          <cell r="H335" t="str">
            <v>H23-3084</v>
          </cell>
        </row>
        <row r="336">
          <cell r="E336">
            <v>372</v>
          </cell>
          <cell r="H336" t="str">
            <v>SMXD-001</v>
          </cell>
        </row>
        <row r="337">
          <cell r="E337">
            <v>276</v>
          </cell>
          <cell r="H337" t="str">
            <v>SMXH-002</v>
          </cell>
        </row>
        <row r="338">
          <cell r="E338">
            <v>62</v>
          </cell>
          <cell r="H338" t="str">
            <v>G23-4782</v>
          </cell>
        </row>
        <row r="339">
          <cell r="E339">
            <v>62</v>
          </cell>
          <cell r="H339" t="str">
            <v>G20-4444</v>
          </cell>
        </row>
        <row r="340">
          <cell r="E340">
            <v>62</v>
          </cell>
          <cell r="H340" t="str">
            <v>G24-4874</v>
          </cell>
        </row>
        <row r="341">
          <cell r="E341">
            <v>35</v>
          </cell>
          <cell r="H341" t="str">
            <v>N25-3896</v>
          </cell>
        </row>
        <row r="342">
          <cell r="E342">
            <v>56</v>
          </cell>
          <cell r="H342" t="str">
            <v>N25-3916</v>
          </cell>
        </row>
        <row r="343">
          <cell r="E343">
            <v>56</v>
          </cell>
          <cell r="H343" t="str">
            <v>N25-3948</v>
          </cell>
        </row>
        <row r="344">
          <cell r="E344">
            <v>35</v>
          </cell>
          <cell r="H344" t="str">
            <v>N24-3758</v>
          </cell>
        </row>
        <row r="345">
          <cell r="E345">
            <v>169</v>
          </cell>
          <cell r="H345" t="str">
            <v>D26-4050</v>
          </cell>
        </row>
        <row r="346">
          <cell r="E346">
            <v>169</v>
          </cell>
          <cell r="H346" t="str">
            <v>D26-4049</v>
          </cell>
        </row>
        <row r="347">
          <cell r="E347">
            <v>169</v>
          </cell>
          <cell r="H347" t="str">
            <v>D26-4047</v>
          </cell>
        </row>
        <row r="348">
          <cell r="E348">
            <v>169</v>
          </cell>
          <cell r="H348" t="str">
            <v>H26-3484</v>
          </cell>
        </row>
        <row r="349">
          <cell r="E349">
            <v>169</v>
          </cell>
          <cell r="H349" t="str">
            <v>H26-3480</v>
          </cell>
        </row>
        <row r="350">
          <cell r="E350">
            <v>169</v>
          </cell>
          <cell r="H350" t="str">
            <v>H26-3481</v>
          </cell>
        </row>
        <row r="351">
          <cell r="E351">
            <v>169</v>
          </cell>
          <cell r="H351" t="str">
            <v>H26-3486</v>
          </cell>
        </row>
        <row r="352">
          <cell r="E352">
            <v>169</v>
          </cell>
          <cell r="H352" t="str">
            <v>H26-3487</v>
          </cell>
        </row>
        <row r="353">
          <cell r="E353">
            <v>169</v>
          </cell>
          <cell r="H353" t="str">
            <v>H26-3485</v>
          </cell>
        </row>
        <row r="354">
          <cell r="E354">
            <v>348</v>
          </cell>
          <cell r="H354" t="str">
            <v>DAB-001CM6</v>
          </cell>
        </row>
        <row r="355">
          <cell r="E355">
            <v>396</v>
          </cell>
          <cell r="H355" t="str">
            <v>HOB-001CM6</v>
          </cell>
        </row>
        <row r="356">
          <cell r="E356">
            <v>360</v>
          </cell>
          <cell r="H356" t="str">
            <v>D23-3248</v>
          </cell>
        </row>
        <row r="357">
          <cell r="E357">
            <v>348</v>
          </cell>
          <cell r="H357" t="str">
            <v>H23-3084</v>
          </cell>
        </row>
        <row r="358">
          <cell r="E358">
            <v>654</v>
          </cell>
          <cell r="H358" t="str">
            <v>SMXD-001</v>
          </cell>
        </row>
        <row r="359">
          <cell r="E359">
            <v>566</v>
          </cell>
          <cell r="H359" t="str">
            <v>SMXH-002</v>
          </cell>
        </row>
        <row r="360">
          <cell r="E360">
            <v>296</v>
          </cell>
          <cell r="H360" t="str">
            <v>H26-3529</v>
          </cell>
        </row>
        <row r="361">
          <cell r="E361">
            <v>252</v>
          </cell>
          <cell r="H361" t="str">
            <v>H26-3530</v>
          </cell>
        </row>
        <row r="362">
          <cell r="E362">
            <v>252</v>
          </cell>
          <cell r="H362" t="str">
            <v>H26-3531</v>
          </cell>
        </row>
        <row r="363">
          <cell r="E363">
            <v>192</v>
          </cell>
          <cell r="H363" t="str">
            <v>H24-3175</v>
          </cell>
        </row>
        <row r="364">
          <cell r="E364">
            <v>104</v>
          </cell>
          <cell r="H364" t="str">
            <v>H26-3532</v>
          </cell>
        </row>
        <row r="365">
          <cell r="E365">
            <v>104</v>
          </cell>
          <cell r="H365" t="str">
            <v>H26-3533</v>
          </cell>
        </row>
        <row r="366">
          <cell r="E366">
            <v>153</v>
          </cell>
          <cell r="H366" t="str">
            <v>D26-4116</v>
          </cell>
        </row>
        <row r="367">
          <cell r="E367">
            <v>116</v>
          </cell>
          <cell r="H367" t="str">
            <v>D25-3987</v>
          </cell>
        </row>
        <row r="368">
          <cell r="E368">
            <v>108</v>
          </cell>
          <cell r="H368" t="str">
            <v>G24-4886</v>
          </cell>
        </row>
        <row r="369">
          <cell r="E369">
            <v>175</v>
          </cell>
          <cell r="H369" t="str">
            <v>G25-5025</v>
          </cell>
        </row>
        <row r="370">
          <cell r="E370">
            <v>367</v>
          </cell>
          <cell r="H370" t="str">
            <v>D26-4127</v>
          </cell>
        </row>
        <row r="371">
          <cell r="E371">
            <v>330</v>
          </cell>
          <cell r="H371" t="str">
            <v>D26-4128</v>
          </cell>
        </row>
        <row r="372">
          <cell r="E372">
            <v>367</v>
          </cell>
          <cell r="H372" t="str">
            <v>D25-4038</v>
          </cell>
        </row>
        <row r="373">
          <cell r="E373">
            <v>156</v>
          </cell>
          <cell r="H373" t="str">
            <v>D25-4030</v>
          </cell>
        </row>
        <row r="374">
          <cell r="E374">
            <v>40</v>
          </cell>
          <cell r="H374" t="str">
            <v>D25-4031</v>
          </cell>
        </row>
        <row r="375">
          <cell r="E375">
            <v>158</v>
          </cell>
          <cell r="H375" t="str">
            <v>MINYA-101</v>
          </cell>
        </row>
        <row r="376">
          <cell r="E376">
            <v>158</v>
          </cell>
          <cell r="H376" t="str">
            <v>MARYA-012</v>
          </cell>
        </row>
        <row r="377">
          <cell r="E377">
            <v>333</v>
          </cell>
          <cell r="H377" t="str">
            <v>D26-4148</v>
          </cell>
        </row>
        <row r="378">
          <cell r="E378">
            <v>332</v>
          </cell>
          <cell r="H378" t="str">
            <v>D26-4149</v>
          </cell>
        </row>
        <row r="379">
          <cell r="E379">
            <v>169</v>
          </cell>
          <cell r="H379" t="str">
            <v>H26-3517</v>
          </cell>
        </row>
        <row r="380">
          <cell r="E380">
            <v>106</v>
          </cell>
          <cell r="H380" t="str">
            <v>N26-4018</v>
          </cell>
        </row>
        <row r="381">
          <cell r="E381">
            <v>102</v>
          </cell>
          <cell r="H381" t="str">
            <v>N26-4005</v>
          </cell>
        </row>
        <row r="382">
          <cell r="E382">
            <v>169</v>
          </cell>
          <cell r="H382" t="str">
            <v>H26-3489</v>
          </cell>
        </row>
        <row r="383">
          <cell r="E383">
            <v>106</v>
          </cell>
          <cell r="H383" t="str">
            <v>N26-4009</v>
          </cell>
        </row>
        <row r="384">
          <cell r="E384">
            <v>130</v>
          </cell>
          <cell r="H384" t="str">
            <v>N26-4023</v>
          </cell>
        </row>
        <row r="385">
          <cell r="E385">
            <v>76</v>
          </cell>
          <cell r="H385" t="str">
            <v>D23-3279</v>
          </cell>
        </row>
        <row r="386">
          <cell r="E386">
            <v>66</v>
          </cell>
          <cell r="H386" t="str">
            <v>D23-3271</v>
          </cell>
        </row>
        <row r="387">
          <cell r="E387">
            <v>27</v>
          </cell>
          <cell r="H387" t="str">
            <v>H20-2582V2</v>
          </cell>
        </row>
        <row r="388">
          <cell r="E388">
            <v>120</v>
          </cell>
          <cell r="H388" t="str">
            <v>D25-4001</v>
          </cell>
        </row>
        <row r="389">
          <cell r="E389">
            <v>120</v>
          </cell>
          <cell r="H389" t="str">
            <v>D25-3981</v>
          </cell>
        </row>
        <row r="390">
          <cell r="E390">
            <v>96</v>
          </cell>
          <cell r="H390" t="str">
            <v>D25-3990</v>
          </cell>
        </row>
        <row r="391">
          <cell r="E391">
            <v>120</v>
          </cell>
          <cell r="H391" t="str">
            <v>D26-4107</v>
          </cell>
        </row>
        <row r="392">
          <cell r="E392">
            <v>156</v>
          </cell>
          <cell r="H392" t="str">
            <v>D24-3717</v>
          </cell>
        </row>
        <row r="393">
          <cell r="E393">
            <v>331</v>
          </cell>
          <cell r="H393" t="str">
            <v>D26-4051</v>
          </cell>
        </row>
        <row r="394">
          <cell r="E394">
            <v>367</v>
          </cell>
          <cell r="H394" t="str">
            <v>D25-4041</v>
          </cell>
        </row>
        <row r="395">
          <cell r="E395">
            <v>330</v>
          </cell>
          <cell r="H395" t="str">
            <v>D26-4130</v>
          </cell>
        </row>
        <row r="396">
          <cell r="E396">
            <v>40</v>
          </cell>
          <cell r="H396" t="str">
            <v>D24-3599</v>
          </cell>
        </row>
        <row r="397">
          <cell r="E397">
            <v>50</v>
          </cell>
          <cell r="H397" t="str">
            <v>D20-2387CM11</v>
          </cell>
        </row>
        <row r="398">
          <cell r="E398">
            <v>106</v>
          </cell>
          <cell r="H398" t="str">
            <v>H25-3464</v>
          </cell>
        </row>
        <row r="399">
          <cell r="E399">
            <v>452</v>
          </cell>
          <cell r="H399" t="str">
            <v>H25-3466</v>
          </cell>
        </row>
        <row r="400">
          <cell r="E400">
            <v>136</v>
          </cell>
          <cell r="H400" t="str">
            <v>H25-3470</v>
          </cell>
        </row>
        <row r="401">
          <cell r="E401">
            <v>820</v>
          </cell>
          <cell r="H401" t="str">
            <v>H25-3469</v>
          </cell>
        </row>
        <row r="402">
          <cell r="E402">
            <v>820</v>
          </cell>
          <cell r="H402" t="str">
            <v>H25-3471</v>
          </cell>
        </row>
        <row r="403">
          <cell r="E403">
            <v>208</v>
          </cell>
          <cell r="H403" t="str">
            <v>H25-3472</v>
          </cell>
        </row>
        <row r="404">
          <cell r="E404">
            <v>208</v>
          </cell>
          <cell r="H404" t="str">
            <v>H25-3473</v>
          </cell>
        </row>
        <row r="405">
          <cell r="E405">
            <v>295</v>
          </cell>
          <cell r="H405" t="str">
            <v>G26-5088D</v>
          </cell>
        </row>
        <row r="406">
          <cell r="E406">
            <v>256</v>
          </cell>
          <cell r="H406" t="str">
            <v>G26-5088</v>
          </cell>
        </row>
        <row r="407">
          <cell r="E407">
            <v>266</v>
          </cell>
          <cell r="H407" t="str">
            <v>H26-3534</v>
          </cell>
        </row>
        <row r="408">
          <cell r="E408">
            <v>256</v>
          </cell>
          <cell r="H408" t="str">
            <v>H26-3534N</v>
          </cell>
        </row>
        <row r="409">
          <cell r="E409">
            <v>1</v>
          </cell>
          <cell r="H409" t="str">
            <v>D20-2387CM11</v>
          </cell>
        </row>
        <row r="410">
          <cell r="E410">
            <v>1</v>
          </cell>
          <cell r="H410" t="str">
            <v>D23-3279</v>
          </cell>
        </row>
        <row r="411">
          <cell r="E411">
            <v>1</v>
          </cell>
          <cell r="H411" t="str">
            <v>D23-3271</v>
          </cell>
        </row>
        <row r="412">
          <cell r="E412">
            <v>1</v>
          </cell>
          <cell r="H412" t="str">
            <v>H20-2582V2</v>
          </cell>
        </row>
        <row r="413">
          <cell r="E413" t="str">
            <v/>
          </cell>
          <cell r="H413" t="str">
            <v/>
          </cell>
        </row>
        <row r="414">
          <cell r="E414" t="str">
            <v/>
          </cell>
          <cell r="H414" t="str">
            <v/>
          </cell>
        </row>
        <row r="415">
          <cell r="E415" t="str">
            <v/>
          </cell>
          <cell r="H415" t="str">
            <v/>
          </cell>
        </row>
        <row r="416">
          <cell r="E416" t="str">
            <v/>
          </cell>
          <cell r="H416" t="str">
            <v/>
          </cell>
        </row>
        <row r="417">
          <cell r="E417" t="str">
            <v/>
          </cell>
          <cell r="H417" t="str">
            <v/>
          </cell>
        </row>
        <row r="418">
          <cell r="E418" t="str">
            <v/>
          </cell>
          <cell r="H418" t="str">
            <v/>
          </cell>
        </row>
        <row r="419">
          <cell r="E419" t="str">
            <v/>
          </cell>
          <cell r="H419" t="str">
            <v/>
          </cell>
        </row>
        <row r="420">
          <cell r="E420" t="str">
            <v/>
          </cell>
          <cell r="H420" t="str">
            <v/>
          </cell>
        </row>
        <row r="421">
          <cell r="E421" t="str">
            <v/>
          </cell>
          <cell r="H421" t="str">
            <v/>
          </cell>
        </row>
        <row r="422">
          <cell r="E422" t="str">
            <v/>
          </cell>
          <cell r="H422" t="str">
            <v/>
          </cell>
        </row>
        <row r="423">
          <cell r="E423" t="str">
            <v/>
          </cell>
          <cell r="H423" t="str">
            <v/>
          </cell>
        </row>
        <row r="424">
          <cell r="E424" t="str">
            <v/>
          </cell>
          <cell r="H424" t="str">
            <v/>
          </cell>
        </row>
        <row r="425">
          <cell r="E425" t="str">
            <v/>
          </cell>
          <cell r="H425" t="str">
            <v/>
          </cell>
        </row>
        <row r="426">
          <cell r="E426" t="str">
            <v/>
          </cell>
          <cell r="H426" t="str">
            <v/>
          </cell>
        </row>
        <row r="427">
          <cell r="E427" t="str">
            <v/>
          </cell>
          <cell r="H427" t="str">
            <v/>
          </cell>
        </row>
        <row r="428">
          <cell r="E428" t="str">
            <v/>
          </cell>
          <cell r="H428" t="str">
            <v/>
          </cell>
        </row>
        <row r="429">
          <cell r="E429" t="str">
            <v/>
          </cell>
          <cell r="H429" t="str">
            <v/>
          </cell>
        </row>
        <row r="430">
          <cell r="E430" t="str">
            <v/>
          </cell>
          <cell r="H430" t="str">
            <v/>
          </cell>
        </row>
        <row r="431">
          <cell r="E431" t="str">
            <v/>
          </cell>
          <cell r="H431" t="str">
            <v/>
          </cell>
        </row>
        <row r="432">
          <cell r="E432" t="str">
            <v/>
          </cell>
          <cell r="H432" t="str">
            <v/>
          </cell>
        </row>
        <row r="433">
          <cell r="E433" t="str">
            <v/>
          </cell>
          <cell r="H433" t="str">
            <v/>
          </cell>
        </row>
        <row r="434">
          <cell r="E434" t="str">
            <v/>
          </cell>
          <cell r="H434" t="str">
            <v/>
          </cell>
        </row>
        <row r="435">
          <cell r="E435" t="str">
            <v/>
          </cell>
          <cell r="H435" t="str">
            <v/>
          </cell>
        </row>
        <row r="436">
          <cell r="E436" t="str">
            <v/>
          </cell>
          <cell r="H436" t="str">
            <v/>
          </cell>
        </row>
        <row r="437">
          <cell r="E437" t="str">
            <v/>
          </cell>
          <cell r="H437" t="str">
            <v/>
          </cell>
        </row>
        <row r="438">
          <cell r="E438" t="str">
            <v/>
          </cell>
          <cell r="H438" t="str">
            <v/>
          </cell>
        </row>
        <row r="439">
          <cell r="E439" t="str">
            <v/>
          </cell>
          <cell r="H439" t="str">
            <v/>
          </cell>
        </row>
        <row r="440">
          <cell r="E440" t="str">
            <v/>
          </cell>
          <cell r="H440" t="str">
            <v/>
          </cell>
        </row>
        <row r="441">
          <cell r="E441" t="str">
            <v/>
          </cell>
          <cell r="H441" t="str">
            <v/>
          </cell>
        </row>
        <row r="442">
          <cell r="E442" t="str">
            <v/>
          </cell>
          <cell r="H442" t="str">
            <v/>
          </cell>
        </row>
        <row r="443">
          <cell r="E443" t="str">
            <v/>
          </cell>
          <cell r="H443" t="str">
            <v/>
          </cell>
        </row>
        <row r="444">
          <cell r="E444" t="str">
            <v/>
          </cell>
          <cell r="H444" t="str">
            <v/>
          </cell>
        </row>
        <row r="445">
          <cell r="E445" t="str">
            <v/>
          </cell>
          <cell r="H445" t="str">
            <v/>
          </cell>
        </row>
        <row r="446">
          <cell r="E446" t="str">
            <v/>
          </cell>
          <cell r="H446" t="str">
            <v/>
          </cell>
        </row>
        <row r="447">
          <cell r="E447" t="str">
            <v/>
          </cell>
          <cell r="H447" t="str">
            <v/>
          </cell>
        </row>
        <row r="448">
          <cell r="E448" t="str">
            <v/>
          </cell>
          <cell r="H448" t="str">
            <v/>
          </cell>
        </row>
        <row r="449">
          <cell r="E449" t="str">
            <v/>
          </cell>
          <cell r="H449" t="str">
            <v/>
          </cell>
        </row>
        <row r="450">
          <cell r="E450" t="str">
            <v/>
          </cell>
          <cell r="H450" t="str">
            <v/>
          </cell>
        </row>
        <row r="451">
          <cell r="E451" t="str">
            <v/>
          </cell>
          <cell r="H451" t="str">
            <v/>
          </cell>
        </row>
        <row r="452">
          <cell r="E452" t="str">
            <v/>
          </cell>
          <cell r="H452" t="str">
            <v/>
          </cell>
        </row>
        <row r="453">
          <cell r="E453" t="str">
            <v/>
          </cell>
          <cell r="H453" t="str">
            <v/>
          </cell>
        </row>
        <row r="454">
          <cell r="E454" t="str">
            <v/>
          </cell>
          <cell r="H454" t="str">
            <v/>
          </cell>
        </row>
        <row r="455">
          <cell r="E455" t="str">
            <v/>
          </cell>
          <cell r="H455" t="str">
            <v/>
          </cell>
        </row>
        <row r="456">
          <cell r="E456" t="str">
            <v/>
          </cell>
          <cell r="H456" t="str">
            <v/>
          </cell>
        </row>
        <row r="457">
          <cell r="E457" t="str">
            <v/>
          </cell>
          <cell r="H457" t="str">
            <v/>
          </cell>
        </row>
        <row r="458">
          <cell r="E458" t="str">
            <v/>
          </cell>
          <cell r="H458" t="str">
            <v/>
          </cell>
        </row>
        <row r="459">
          <cell r="E459" t="str">
            <v/>
          </cell>
          <cell r="H459" t="str">
            <v/>
          </cell>
        </row>
        <row r="460">
          <cell r="E460" t="str">
            <v/>
          </cell>
          <cell r="H460" t="str">
            <v/>
          </cell>
        </row>
        <row r="461">
          <cell r="E461" t="str">
            <v/>
          </cell>
          <cell r="H461" t="str">
            <v/>
          </cell>
        </row>
        <row r="462">
          <cell r="E462" t="str">
            <v/>
          </cell>
          <cell r="H462" t="str">
            <v/>
          </cell>
        </row>
        <row r="463">
          <cell r="E463" t="str">
            <v/>
          </cell>
          <cell r="H463" t="str">
            <v/>
          </cell>
        </row>
        <row r="464">
          <cell r="E464" t="str">
            <v/>
          </cell>
          <cell r="H464" t="str">
            <v/>
          </cell>
        </row>
        <row r="465">
          <cell r="E465" t="str">
            <v/>
          </cell>
          <cell r="H465" t="str">
            <v/>
          </cell>
        </row>
        <row r="466">
          <cell r="E466" t="str">
            <v/>
          </cell>
          <cell r="H466" t="str">
            <v/>
          </cell>
        </row>
        <row r="467">
          <cell r="E467" t="str">
            <v/>
          </cell>
          <cell r="H467" t="str">
            <v/>
          </cell>
        </row>
        <row r="468">
          <cell r="E468" t="str">
            <v/>
          </cell>
          <cell r="H468" t="str">
            <v/>
          </cell>
        </row>
        <row r="469">
          <cell r="E469" t="str">
            <v/>
          </cell>
          <cell r="H469" t="str">
            <v/>
          </cell>
        </row>
        <row r="470">
          <cell r="E470" t="str">
            <v/>
          </cell>
          <cell r="H470" t="str">
            <v/>
          </cell>
        </row>
        <row r="471">
          <cell r="E471" t="str">
            <v/>
          </cell>
          <cell r="H471" t="str">
            <v/>
          </cell>
        </row>
        <row r="472">
          <cell r="E472" t="str">
            <v/>
          </cell>
          <cell r="H472" t="str">
            <v/>
          </cell>
        </row>
        <row r="473">
          <cell r="E473" t="str">
            <v/>
          </cell>
          <cell r="H473" t="str">
            <v/>
          </cell>
        </row>
        <row r="474">
          <cell r="E474" t="str">
            <v/>
          </cell>
          <cell r="H474" t="str">
            <v/>
          </cell>
        </row>
        <row r="475">
          <cell r="E475" t="str">
            <v/>
          </cell>
          <cell r="H475" t="str">
            <v/>
          </cell>
        </row>
        <row r="476">
          <cell r="E476" t="str">
            <v/>
          </cell>
          <cell r="H476" t="str">
            <v/>
          </cell>
        </row>
        <row r="477">
          <cell r="E477" t="str">
            <v/>
          </cell>
          <cell r="H477" t="str">
            <v/>
          </cell>
        </row>
        <row r="478">
          <cell r="E478" t="str">
            <v/>
          </cell>
          <cell r="H478" t="str">
            <v/>
          </cell>
        </row>
        <row r="479">
          <cell r="E479" t="str">
            <v/>
          </cell>
          <cell r="H479" t="str">
            <v/>
          </cell>
        </row>
        <row r="480">
          <cell r="E480" t="str">
            <v/>
          </cell>
          <cell r="H480" t="str">
            <v/>
          </cell>
        </row>
        <row r="481">
          <cell r="E481" t="str">
            <v/>
          </cell>
          <cell r="H481" t="str">
            <v/>
          </cell>
        </row>
        <row r="482">
          <cell r="E482" t="str">
            <v/>
          </cell>
          <cell r="H482" t="str">
            <v/>
          </cell>
        </row>
        <row r="483">
          <cell r="E483" t="str">
            <v/>
          </cell>
          <cell r="H483" t="str">
            <v/>
          </cell>
        </row>
        <row r="484">
          <cell r="E484" t="str">
            <v/>
          </cell>
          <cell r="H484" t="str">
            <v/>
          </cell>
        </row>
        <row r="485">
          <cell r="E485" t="str">
            <v/>
          </cell>
          <cell r="H485" t="str">
            <v/>
          </cell>
        </row>
        <row r="486">
          <cell r="E486" t="str">
            <v/>
          </cell>
          <cell r="H486" t="str">
            <v/>
          </cell>
        </row>
        <row r="487">
          <cell r="E487" t="str">
            <v/>
          </cell>
          <cell r="H487" t="str">
            <v/>
          </cell>
        </row>
        <row r="488">
          <cell r="E488" t="str">
            <v/>
          </cell>
          <cell r="H488" t="str">
            <v/>
          </cell>
        </row>
        <row r="489">
          <cell r="E489" t="str">
            <v/>
          </cell>
          <cell r="H489" t="str">
            <v/>
          </cell>
        </row>
        <row r="490">
          <cell r="E490" t="str">
            <v/>
          </cell>
          <cell r="H490" t="str">
            <v/>
          </cell>
        </row>
        <row r="491">
          <cell r="E491" t="str">
            <v/>
          </cell>
          <cell r="H491" t="str">
            <v/>
          </cell>
        </row>
        <row r="492">
          <cell r="E492" t="str">
            <v/>
          </cell>
          <cell r="H492" t="str">
            <v/>
          </cell>
        </row>
        <row r="493">
          <cell r="E493" t="str">
            <v/>
          </cell>
          <cell r="H493" t="str">
            <v/>
          </cell>
        </row>
        <row r="494">
          <cell r="E494" t="str">
            <v/>
          </cell>
          <cell r="H494" t="str">
            <v/>
          </cell>
        </row>
        <row r="495">
          <cell r="E495" t="str">
            <v/>
          </cell>
          <cell r="H495" t="str">
            <v/>
          </cell>
        </row>
        <row r="496">
          <cell r="E496" t="str">
            <v/>
          </cell>
          <cell r="H496" t="str">
            <v/>
          </cell>
        </row>
        <row r="497">
          <cell r="E497" t="str">
            <v/>
          </cell>
          <cell r="H497" t="str">
            <v/>
          </cell>
        </row>
        <row r="498">
          <cell r="E498" t="str">
            <v/>
          </cell>
          <cell r="H498" t="str">
            <v/>
          </cell>
        </row>
        <row r="499">
          <cell r="E499" t="str">
            <v/>
          </cell>
          <cell r="H499" t="str">
            <v/>
          </cell>
        </row>
        <row r="500">
          <cell r="E500" t="str">
            <v/>
          </cell>
          <cell r="H500" t="str">
            <v/>
          </cell>
        </row>
        <row r="501">
          <cell r="E501" t="str">
            <v/>
          </cell>
          <cell r="H501" t="str">
            <v/>
          </cell>
        </row>
        <row r="502">
          <cell r="E502" t="str">
            <v/>
          </cell>
          <cell r="H502" t="str">
            <v/>
          </cell>
        </row>
        <row r="503">
          <cell r="E503" t="str">
            <v/>
          </cell>
          <cell r="H503" t="str">
            <v/>
          </cell>
        </row>
        <row r="504">
          <cell r="E504" t="str">
            <v/>
          </cell>
          <cell r="H504" t="str">
            <v/>
          </cell>
        </row>
        <row r="505">
          <cell r="E505" t="str">
            <v/>
          </cell>
          <cell r="H505" t="str">
            <v/>
          </cell>
        </row>
        <row r="506">
          <cell r="E506">
            <v>0</v>
          </cell>
          <cell r="H506">
            <v>0</v>
          </cell>
        </row>
        <row r="507">
          <cell r="E507">
            <v>0</v>
          </cell>
          <cell r="H507">
            <v>0</v>
          </cell>
        </row>
        <row r="508">
          <cell r="E508">
            <v>0</v>
          </cell>
          <cell r="H508">
            <v>0</v>
          </cell>
        </row>
        <row r="509">
          <cell r="E509">
            <v>0</v>
          </cell>
          <cell r="H509">
            <v>0</v>
          </cell>
        </row>
        <row r="510">
          <cell r="E510">
            <v>0</v>
          </cell>
          <cell r="H510">
            <v>0</v>
          </cell>
        </row>
        <row r="511">
          <cell r="E511">
            <v>0</v>
          </cell>
          <cell r="H511">
            <v>0</v>
          </cell>
        </row>
        <row r="512">
          <cell r="E512">
            <v>0</v>
          </cell>
          <cell r="H512">
            <v>0</v>
          </cell>
        </row>
        <row r="513">
          <cell r="E513">
            <v>0</v>
          </cell>
          <cell r="H513">
            <v>0</v>
          </cell>
        </row>
        <row r="514">
          <cell r="E514">
            <v>0</v>
          </cell>
          <cell r="H514">
            <v>0</v>
          </cell>
        </row>
        <row r="515">
          <cell r="E515">
            <v>0</v>
          </cell>
          <cell r="H515">
            <v>0</v>
          </cell>
        </row>
        <row r="516">
          <cell r="E516">
            <v>0</v>
          </cell>
          <cell r="H516">
            <v>0</v>
          </cell>
        </row>
        <row r="517">
          <cell r="E517">
            <v>0</v>
          </cell>
          <cell r="H517">
            <v>0</v>
          </cell>
        </row>
        <row r="518">
          <cell r="E518">
            <v>0</v>
          </cell>
          <cell r="H518">
            <v>0</v>
          </cell>
        </row>
        <row r="519">
          <cell r="E519">
            <v>0</v>
          </cell>
          <cell r="H519">
            <v>0</v>
          </cell>
        </row>
        <row r="520">
          <cell r="E520">
            <v>0</v>
          </cell>
          <cell r="H520">
            <v>0</v>
          </cell>
        </row>
        <row r="521">
          <cell r="E521">
            <v>0</v>
          </cell>
          <cell r="H521">
            <v>0</v>
          </cell>
        </row>
        <row r="522">
          <cell r="E522">
            <v>0</v>
          </cell>
          <cell r="H522">
            <v>0</v>
          </cell>
        </row>
        <row r="523">
          <cell r="E523">
            <v>0</v>
          </cell>
          <cell r="H523">
            <v>0</v>
          </cell>
        </row>
        <row r="524">
          <cell r="E524">
            <v>0</v>
          </cell>
          <cell r="H524">
            <v>0</v>
          </cell>
        </row>
        <row r="525">
          <cell r="E525">
            <v>0</v>
          </cell>
          <cell r="H525">
            <v>0</v>
          </cell>
        </row>
        <row r="526">
          <cell r="E526">
            <v>0</v>
          </cell>
          <cell r="H526">
            <v>0</v>
          </cell>
        </row>
        <row r="527">
          <cell r="E527">
            <v>0</v>
          </cell>
          <cell r="H527">
            <v>0</v>
          </cell>
        </row>
        <row r="528">
          <cell r="E528">
            <v>0</v>
          </cell>
          <cell r="H528">
            <v>0</v>
          </cell>
        </row>
        <row r="529">
          <cell r="E529">
            <v>0</v>
          </cell>
          <cell r="H529">
            <v>0</v>
          </cell>
        </row>
        <row r="530">
          <cell r="E530">
            <v>0</v>
          </cell>
          <cell r="H530">
            <v>0</v>
          </cell>
        </row>
        <row r="531">
          <cell r="E531">
            <v>0</v>
          </cell>
          <cell r="H531">
            <v>0</v>
          </cell>
        </row>
        <row r="532">
          <cell r="E532">
            <v>0</v>
          </cell>
          <cell r="H532">
            <v>0</v>
          </cell>
        </row>
        <row r="533">
          <cell r="E533">
            <v>0</v>
          </cell>
          <cell r="H533">
            <v>0</v>
          </cell>
        </row>
        <row r="534">
          <cell r="E534">
            <v>0</v>
          </cell>
          <cell r="H534">
            <v>0</v>
          </cell>
        </row>
        <row r="535">
          <cell r="E535">
            <v>0</v>
          </cell>
          <cell r="H535">
            <v>0</v>
          </cell>
        </row>
        <row r="536">
          <cell r="E536">
            <v>0</v>
          </cell>
          <cell r="H536">
            <v>0</v>
          </cell>
        </row>
        <row r="537">
          <cell r="E537">
            <v>0</v>
          </cell>
          <cell r="H537">
            <v>0</v>
          </cell>
        </row>
        <row r="538">
          <cell r="E538">
            <v>0</v>
          </cell>
          <cell r="H538">
            <v>0</v>
          </cell>
        </row>
        <row r="539">
          <cell r="E539">
            <v>0</v>
          </cell>
          <cell r="H539">
            <v>0</v>
          </cell>
        </row>
        <row r="540">
          <cell r="E540">
            <v>0</v>
          </cell>
          <cell r="H540">
            <v>0</v>
          </cell>
        </row>
        <row r="541">
          <cell r="E541">
            <v>0</v>
          </cell>
          <cell r="H541">
            <v>0</v>
          </cell>
        </row>
        <row r="542">
          <cell r="E542">
            <v>0</v>
          </cell>
          <cell r="H542">
            <v>0</v>
          </cell>
        </row>
        <row r="543">
          <cell r="E543">
            <v>0</v>
          </cell>
          <cell r="H543">
            <v>0</v>
          </cell>
        </row>
        <row r="544">
          <cell r="E544">
            <v>0</v>
          </cell>
          <cell r="H544">
            <v>0</v>
          </cell>
        </row>
        <row r="545">
          <cell r="E545">
            <v>0</v>
          </cell>
          <cell r="H545">
            <v>0</v>
          </cell>
        </row>
        <row r="546">
          <cell r="E546">
            <v>0</v>
          </cell>
          <cell r="H546">
            <v>0</v>
          </cell>
        </row>
        <row r="547">
          <cell r="E547">
            <v>0</v>
          </cell>
          <cell r="H547">
            <v>0</v>
          </cell>
        </row>
        <row r="548">
          <cell r="E548">
            <v>0</v>
          </cell>
          <cell r="H548">
            <v>0</v>
          </cell>
        </row>
        <row r="549">
          <cell r="E549">
            <v>0</v>
          </cell>
          <cell r="H549">
            <v>0</v>
          </cell>
        </row>
        <row r="550">
          <cell r="E550">
            <v>0</v>
          </cell>
          <cell r="H550">
            <v>0</v>
          </cell>
        </row>
        <row r="551">
          <cell r="E551">
            <v>0</v>
          </cell>
          <cell r="H551">
            <v>0</v>
          </cell>
        </row>
        <row r="552">
          <cell r="E552">
            <v>0</v>
          </cell>
          <cell r="H552">
            <v>0</v>
          </cell>
        </row>
        <row r="553">
          <cell r="E553">
            <v>0</v>
          </cell>
          <cell r="H553">
            <v>0</v>
          </cell>
        </row>
        <row r="554">
          <cell r="E554">
            <v>0</v>
          </cell>
          <cell r="H554">
            <v>0</v>
          </cell>
        </row>
        <row r="555">
          <cell r="E555">
            <v>0</v>
          </cell>
          <cell r="H555">
            <v>0</v>
          </cell>
        </row>
        <row r="556">
          <cell r="E556">
            <v>0</v>
          </cell>
          <cell r="H556">
            <v>0</v>
          </cell>
        </row>
        <row r="557">
          <cell r="E557">
            <v>0</v>
          </cell>
          <cell r="H557">
            <v>0</v>
          </cell>
        </row>
        <row r="558">
          <cell r="E558">
            <v>0</v>
          </cell>
          <cell r="H558">
            <v>0</v>
          </cell>
        </row>
        <row r="559">
          <cell r="E559">
            <v>0</v>
          </cell>
          <cell r="H559">
            <v>0</v>
          </cell>
        </row>
        <row r="560">
          <cell r="E560">
            <v>0</v>
          </cell>
          <cell r="H560">
            <v>0</v>
          </cell>
        </row>
        <row r="561">
          <cell r="E561">
            <v>0</v>
          </cell>
          <cell r="H561">
            <v>0</v>
          </cell>
        </row>
        <row r="562">
          <cell r="E562">
            <v>0</v>
          </cell>
          <cell r="H562">
            <v>0</v>
          </cell>
        </row>
        <row r="563">
          <cell r="E563">
            <v>0</v>
          </cell>
          <cell r="H563">
            <v>0</v>
          </cell>
        </row>
        <row r="564">
          <cell r="E564">
            <v>0</v>
          </cell>
          <cell r="H564">
            <v>0</v>
          </cell>
        </row>
        <row r="565">
          <cell r="E565">
            <v>0</v>
          </cell>
          <cell r="H565">
            <v>0</v>
          </cell>
        </row>
        <row r="566">
          <cell r="E566">
            <v>0</v>
          </cell>
          <cell r="H566">
            <v>0</v>
          </cell>
        </row>
        <row r="567">
          <cell r="E567">
            <v>0</v>
          </cell>
          <cell r="H567">
            <v>0</v>
          </cell>
        </row>
        <row r="568">
          <cell r="E568">
            <v>0</v>
          </cell>
          <cell r="H568">
            <v>0</v>
          </cell>
        </row>
        <row r="569">
          <cell r="E569">
            <v>0</v>
          </cell>
          <cell r="H569">
            <v>0</v>
          </cell>
        </row>
        <row r="570">
          <cell r="E570">
            <v>0</v>
          </cell>
          <cell r="H570">
            <v>0</v>
          </cell>
        </row>
        <row r="571">
          <cell r="E571">
            <v>0</v>
          </cell>
          <cell r="H571">
            <v>0</v>
          </cell>
        </row>
        <row r="572">
          <cell r="E572">
            <v>0</v>
          </cell>
          <cell r="H572">
            <v>0</v>
          </cell>
        </row>
        <row r="573">
          <cell r="E573">
            <v>0</v>
          </cell>
          <cell r="H573">
            <v>0</v>
          </cell>
        </row>
        <row r="574">
          <cell r="E574">
            <v>0</v>
          </cell>
          <cell r="H574">
            <v>0</v>
          </cell>
        </row>
        <row r="575">
          <cell r="E575">
            <v>0</v>
          </cell>
          <cell r="H575">
            <v>0</v>
          </cell>
        </row>
        <row r="576">
          <cell r="E576">
            <v>0</v>
          </cell>
          <cell r="H576">
            <v>0</v>
          </cell>
        </row>
        <row r="577">
          <cell r="E577">
            <v>0</v>
          </cell>
          <cell r="H577">
            <v>0</v>
          </cell>
        </row>
        <row r="578">
          <cell r="E578">
            <v>0</v>
          </cell>
          <cell r="H578">
            <v>0</v>
          </cell>
        </row>
        <row r="579">
          <cell r="E579">
            <v>0</v>
          </cell>
          <cell r="H579">
            <v>0</v>
          </cell>
        </row>
        <row r="580">
          <cell r="E580">
            <v>0</v>
          </cell>
          <cell r="H580">
            <v>0</v>
          </cell>
        </row>
        <row r="581">
          <cell r="E581">
            <v>0</v>
          </cell>
          <cell r="H581">
            <v>0</v>
          </cell>
        </row>
        <row r="582">
          <cell r="E582">
            <v>0</v>
          </cell>
          <cell r="H582">
            <v>0</v>
          </cell>
        </row>
        <row r="583">
          <cell r="E583">
            <v>0</v>
          </cell>
          <cell r="H583">
            <v>0</v>
          </cell>
        </row>
        <row r="584">
          <cell r="E584">
            <v>0</v>
          </cell>
          <cell r="H584">
            <v>0</v>
          </cell>
        </row>
        <row r="585">
          <cell r="E585">
            <v>0</v>
          </cell>
          <cell r="H585">
            <v>0</v>
          </cell>
        </row>
        <row r="586">
          <cell r="E586">
            <v>0</v>
          </cell>
          <cell r="H586">
            <v>0</v>
          </cell>
        </row>
        <row r="587">
          <cell r="E587">
            <v>0</v>
          </cell>
          <cell r="H587">
            <v>0</v>
          </cell>
        </row>
        <row r="588">
          <cell r="E588">
            <v>0</v>
          </cell>
          <cell r="H588">
            <v>0</v>
          </cell>
        </row>
        <row r="589">
          <cell r="E589">
            <v>0</v>
          </cell>
          <cell r="H589">
            <v>0</v>
          </cell>
        </row>
        <row r="590">
          <cell r="E590">
            <v>0</v>
          </cell>
          <cell r="H590">
            <v>0</v>
          </cell>
        </row>
        <row r="591">
          <cell r="E591">
            <v>0</v>
          </cell>
          <cell r="H591">
            <v>0</v>
          </cell>
        </row>
        <row r="592">
          <cell r="E592">
            <v>0</v>
          </cell>
          <cell r="H592">
            <v>0</v>
          </cell>
        </row>
        <row r="593">
          <cell r="E593">
            <v>0</v>
          </cell>
          <cell r="H593">
            <v>0</v>
          </cell>
        </row>
        <row r="594">
          <cell r="E594">
            <v>0</v>
          </cell>
          <cell r="H594">
            <v>0</v>
          </cell>
        </row>
        <row r="595">
          <cell r="E595">
            <v>0</v>
          </cell>
          <cell r="H595">
            <v>0</v>
          </cell>
        </row>
        <row r="596">
          <cell r="E596">
            <v>0</v>
          </cell>
          <cell r="H596">
            <v>0</v>
          </cell>
        </row>
        <row r="597">
          <cell r="E597">
            <v>0</v>
          </cell>
          <cell r="H597">
            <v>0</v>
          </cell>
        </row>
        <row r="598">
          <cell r="E598">
            <v>0</v>
          </cell>
          <cell r="H598">
            <v>0</v>
          </cell>
        </row>
        <row r="599">
          <cell r="E599">
            <v>0</v>
          </cell>
          <cell r="H599">
            <v>0</v>
          </cell>
        </row>
        <row r="600">
          <cell r="E600">
            <v>0</v>
          </cell>
          <cell r="H600">
            <v>0</v>
          </cell>
        </row>
        <row r="601">
          <cell r="E601">
            <v>0</v>
          </cell>
          <cell r="H601">
            <v>0</v>
          </cell>
        </row>
        <row r="602">
          <cell r="E602">
            <v>0</v>
          </cell>
          <cell r="H602">
            <v>0</v>
          </cell>
        </row>
        <row r="603">
          <cell r="E603">
            <v>0</v>
          </cell>
          <cell r="H603">
            <v>0</v>
          </cell>
        </row>
        <row r="604">
          <cell r="E604">
            <v>0</v>
          </cell>
          <cell r="H604">
            <v>0</v>
          </cell>
        </row>
        <row r="605">
          <cell r="E605">
            <v>0</v>
          </cell>
          <cell r="H605">
            <v>0</v>
          </cell>
        </row>
        <row r="606">
          <cell r="E606">
            <v>0</v>
          </cell>
          <cell r="H606">
            <v>0</v>
          </cell>
        </row>
        <row r="607">
          <cell r="E607">
            <v>0</v>
          </cell>
          <cell r="H607">
            <v>0</v>
          </cell>
        </row>
        <row r="608">
          <cell r="E608">
            <v>0</v>
          </cell>
          <cell r="H608">
            <v>0</v>
          </cell>
        </row>
        <row r="609">
          <cell r="E609">
            <v>0</v>
          </cell>
          <cell r="H609">
            <v>0</v>
          </cell>
        </row>
        <row r="610">
          <cell r="E610">
            <v>0</v>
          </cell>
          <cell r="H610">
            <v>0</v>
          </cell>
        </row>
        <row r="611">
          <cell r="E611">
            <v>0</v>
          </cell>
          <cell r="H611">
            <v>0</v>
          </cell>
        </row>
        <row r="612">
          <cell r="E612">
            <v>0</v>
          </cell>
          <cell r="H612">
            <v>0</v>
          </cell>
        </row>
        <row r="613">
          <cell r="E613">
            <v>0</v>
          </cell>
          <cell r="H613">
            <v>0</v>
          </cell>
        </row>
        <row r="614">
          <cell r="E614">
            <v>0</v>
          </cell>
          <cell r="H614">
            <v>0</v>
          </cell>
        </row>
        <row r="615">
          <cell r="E615">
            <v>0</v>
          </cell>
          <cell r="H615">
            <v>0</v>
          </cell>
        </row>
        <row r="616">
          <cell r="E616">
            <v>0</v>
          </cell>
          <cell r="H616">
            <v>0</v>
          </cell>
        </row>
        <row r="617">
          <cell r="E617">
            <v>0</v>
          </cell>
          <cell r="H617">
            <v>0</v>
          </cell>
        </row>
        <row r="618">
          <cell r="E618">
            <v>0</v>
          </cell>
          <cell r="H618">
            <v>0</v>
          </cell>
        </row>
        <row r="619">
          <cell r="E619">
            <v>0</v>
          </cell>
          <cell r="H619">
            <v>0</v>
          </cell>
        </row>
        <row r="620">
          <cell r="E620">
            <v>0</v>
          </cell>
          <cell r="H620">
            <v>0</v>
          </cell>
        </row>
        <row r="621">
          <cell r="E621">
            <v>0</v>
          </cell>
          <cell r="H621">
            <v>0</v>
          </cell>
        </row>
        <row r="622">
          <cell r="E622">
            <v>0</v>
          </cell>
          <cell r="H622">
            <v>0</v>
          </cell>
        </row>
        <row r="623">
          <cell r="E623">
            <v>0</v>
          </cell>
          <cell r="H623">
            <v>0</v>
          </cell>
        </row>
        <row r="624">
          <cell r="E624">
            <v>0</v>
          </cell>
          <cell r="H624">
            <v>0</v>
          </cell>
        </row>
        <row r="625">
          <cell r="E625">
            <v>0</v>
          </cell>
          <cell r="H625">
            <v>0</v>
          </cell>
        </row>
        <row r="626">
          <cell r="E626">
            <v>0</v>
          </cell>
          <cell r="H626">
            <v>0</v>
          </cell>
        </row>
        <row r="627">
          <cell r="E627">
            <v>0</v>
          </cell>
          <cell r="H627">
            <v>0</v>
          </cell>
        </row>
        <row r="628">
          <cell r="E628">
            <v>0</v>
          </cell>
          <cell r="H628">
            <v>0</v>
          </cell>
        </row>
        <row r="629">
          <cell r="E629">
            <v>0</v>
          </cell>
          <cell r="H629">
            <v>0</v>
          </cell>
        </row>
        <row r="630">
          <cell r="E630">
            <v>0</v>
          </cell>
          <cell r="H630">
            <v>0</v>
          </cell>
        </row>
        <row r="631">
          <cell r="E631">
            <v>0</v>
          </cell>
          <cell r="H631">
            <v>0</v>
          </cell>
        </row>
        <row r="632">
          <cell r="E632">
            <v>0</v>
          </cell>
          <cell r="H632">
            <v>0</v>
          </cell>
        </row>
        <row r="633">
          <cell r="E633">
            <v>0</v>
          </cell>
          <cell r="H633">
            <v>0</v>
          </cell>
        </row>
        <row r="634">
          <cell r="E634">
            <v>0</v>
          </cell>
          <cell r="H634">
            <v>0</v>
          </cell>
        </row>
        <row r="635">
          <cell r="E635">
            <v>0</v>
          </cell>
          <cell r="H635">
            <v>0</v>
          </cell>
        </row>
        <row r="636">
          <cell r="E636">
            <v>0</v>
          </cell>
          <cell r="H636">
            <v>0</v>
          </cell>
        </row>
        <row r="637">
          <cell r="E637">
            <v>0</v>
          </cell>
          <cell r="H637">
            <v>0</v>
          </cell>
        </row>
        <row r="638">
          <cell r="E638">
            <v>0</v>
          </cell>
          <cell r="H638">
            <v>0</v>
          </cell>
        </row>
        <row r="639">
          <cell r="E639">
            <v>0</v>
          </cell>
          <cell r="H639">
            <v>0</v>
          </cell>
        </row>
        <row r="640">
          <cell r="E640">
            <v>0</v>
          </cell>
          <cell r="H640">
            <v>0</v>
          </cell>
        </row>
        <row r="641">
          <cell r="E641">
            <v>0</v>
          </cell>
          <cell r="H641">
            <v>0</v>
          </cell>
        </row>
        <row r="642">
          <cell r="E642">
            <v>0</v>
          </cell>
          <cell r="H642">
            <v>0</v>
          </cell>
        </row>
        <row r="643">
          <cell r="E643">
            <v>0</v>
          </cell>
          <cell r="H643">
            <v>0</v>
          </cell>
        </row>
        <row r="644">
          <cell r="E644">
            <v>0</v>
          </cell>
          <cell r="H644">
            <v>0</v>
          </cell>
        </row>
        <row r="645">
          <cell r="E645">
            <v>0</v>
          </cell>
          <cell r="H645">
            <v>0</v>
          </cell>
        </row>
        <row r="646">
          <cell r="E646">
            <v>0</v>
          </cell>
          <cell r="H646">
            <v>0</v>
          </cell>
        </row>
        <row r="647">
          <cell r="E647">
            <v>0</v>
          </cell>
          <cell r="H647">
            <v>0</v>
          </cell>
        </row>
        <row r="648">
          <cell r="E648">
            <v>0</v>
          </cell>
          <cell r="H648">
            <v>0</v>
          </cell>
        </row>
        <row r="649">
          <cell r="E649">
            <v>0</v>
          </cell>
          <cell r="H649">
            <v>0</v>
          </cell>
        </row>
        <row r="650">
          <cell r="E650">
            <v>0</v>
          </cell>
          <cell r="H650">
            <v>0</v>
          </cell>
        </row>
        <row r="651">
          <cell r="E651">
            <v>0</v>
          </cell>
          <cell r="H651">
            <v>0</v>
          </cell>
        </row>
        <row r="652">
          <cell r="E652">
            <v>0</v>
          </cell>
          <cell r="H652">
            <v>0</v>
          </cell>
        </row>
        <row r="653">
          <cell r="E653">
            <v>0</v>
          </cell>
          <cell r="H653">
            <v>0</v>
          </cell>
        </row>
        <row r="654">
          <cell r="E654">
            <v>0</v>
          </cell>
          <cell r="H654">
            <v>0</v>
          </cell>
        </row>
        <row r="655">
          <cell r="E655">
            <v>0</v>
          </cell>
          <cell r="H655">
            <v>0</v>
          </cell>
        </row>
        <row r="656">
          <cell r="E656">
            <v>0</v>
          </cell>
          <cell r="H656">
            <v>0</v>
          </cell>
        </row>
        <row r="657">
          <cell r="E657">
            <v>0</v>
          </cell>
          <cell r="H657">
            <v>0</v>
          </cell>
        </row>
        <row r="658">
          <cell r="E658">
            <v>0</v>
          </cell>
          <cell r="H658">
            <v>0</v>
          </cell>
        </row>
        <row r="659">
          <cell r="E659">
            <v>0</v>
          </cell>
          <cell r="H659">
            <v>0</v>
          </cell>
        </row>
        <row r="660">
          <cell r="E660">
            <v>0</v>
          </cell>
          <cell r="H660">
            <v>0</v>
          </cell>
        </row>
        <row r="661">
          <cell r="E661">
            <v>0</v>
          </cell>
          <cell r="H661">
            <v>0</v>
          </cell>
        </row>
        <row r="662">
          <cell r="E662">
            <v>0</v>
          </cell>
          <cell r="H662">
            <v>0</v>
          </cell>
        </row>
        <row r="663">
          <cell r="E663">
            <v>0</v>
          </cell>
          <cell r="H663">
            <v>0</v>
          </cell>
        </row>
        <row r="664">
          <cell r="E664">
            <v>0</v>
          </cell>
          <cell r="H664">
            <v>0</v>
          </cell>
        </row>
        <row r="665">
          <cell r="E665">
            <v>0</v>
          </cell>
          <cell r="H665">
            <v>0</v>
          </cell>
        </row>
        <row r="666">
          <cell r="E666">
            <v>0</v>
          </cell>
          <cell r="H666">
            <v>0</v>
          </cell>
        </row>
        <row r="667">
          <cell r="E667">
            <v>0</v>
          </cell>
          <cell r="H667">
            <v>0</v>
          </cell>
        </row>
        <row r="668">
          <cell r="E668">
            <v>0</v>
          </cell>
          <cell r="H668">
            <v>0</v>
          </cell>
        </row>
        <row r="669">
          <cell r="E669">
            <v>0</v>
          </cell>
          <cell r="H669">
            <v>0</v>
          </cell>
        </row>
        <row r="670">
          <cell r="E670">
            <v>0</v>
          </cell>
          <cell r="H670">
            <v>0</v>
          </cell>
        </row>
        <row r="671">
          <cell r="E671">
            <v>0</v>
          </cell>
          <cell r="H671">
            <v>0</v>
          </cell>
        </row>
        <row r="672">
          <cell r="E672">
            <v>0</v>
          </cell>
          <cell r="H672">
            <v>0</v>
          </cell>
        </row>
        <row r="673">
          <cell r="E673">
            <v>0</v>
          </cell>
          <cell r="H673">
            <v>0</v>
          </cell>
        </row>
        <row r="674">
          <cell r="E674">
            <v>0</v>
          </cell>
          <cell r="H674">
            <v>0</v>
          </cell>
        </row>
        <row r="675">
          <cell r="E675">
            <v>0</v>
          </cell>
          <cell r="H675">
            <v>0</v>
          </cell>
        </row>
        <row r="676">
          <cell r="E676">
            <v>0</v>
          </cell>
          <cell r="H676">
            <v>0</v>
          </cell>
        </row>
        <row r="677">
          <cell r="E677">
            <v>0</v>
          </cell>
          <cell r="H677">
            <v>0</v>
          </cell>
        </row>
        <row r="678">
          <cell r="E678">
            <v>0</v>
          </cell>
          <cell r="H678">
            <v>0</v>
          </cell>
        </row>
        <row r="679">
          <cell r="E679">
            <v>0</v>
          </cell>
          <cell r="H679">
            <v>0</v>
          </cell>
        </row>
        <row r="680">
          <cell r="E680">
            <v>0</v>
          </cell>
          <cell r="H680">
            <v>0</v>
          </cell>
        </row>
        <row r="681">
          <cell r="E681">
            <v>0</v>
          </cell>
          <cell r="H681">
            <v>0</v>
          </cell>
        </row>
        <row r="682">
          <cell r="E682">
            <v>0</v>
          </cell>
          <cell r="H682">
            <v>0</v>
          </cell>
        </row>
        <row r="683">
          <cell r="E683">
            <v>0</v>
          </cell>
          <cell r="H683">
            <v>0</v>
          </cell>
        </row>
        <row r="684">
          <cell r="E684">
            <v>0</v>
          </cell>
          <cell r="H684">
            <v>0</v>
          </cell>
        </row>
        <row r="685">
          <cell r="E685">
            <v>0</v>
          </cell>
          <cell r="H685">
            <v>0</v>
          </cell>
        </row>
        <row r="686">
          <cell r="E686">
            <v>0</v>
          </cell>
          <cell r="H686">
            <v>0</v>
          </cell>
        </row>
        <row r="687">
          <cell r="E687">
            <v>0</v>
          </cell>
          <cell r="H687">
            <v>0</v>
          </cell>
        </row>
        <row r="688">
          <cell r="E688">
            <v>0</v>
          </cell>
          <cell r="H688">
            <v>0</v>
          </cell>
        </row>
        <row r="689">
          <cell r="E689">
            <v>0</v>
          </cell>
          <cell r="H689">
            <v>0</v>
          </cell>
        </row>
        <row r="690">
          <cell r="E690">
            <v>0</v>
          </cell>
          <cell r="H690">
            <v>0</v>
          </cell>
        </row>
        <row r="691">
          <cell r="E691">
            <v>0</v>
          </cell>
          <cell r="H691">
            <v>0</v>
          </cell>
        </row>
        <row r="692">
          <cell r="E692">
            <v>0</v>
          </cell>
          <cell r="H692">
            <v>0</v>
          </cell>
        </row>
        <row r="693">
          <cell r="E693">
            <v>0</v>
          </cell>
          <cell r="H693">
            <v>0</v>
          </cell>
        </row>
        <row r="694">
          <cell r="E694">
            <v>0</v>
          </cell>
          <cell r="H694">
            <v>0</v>
          </cell>
        </row>
        <row r="695">
          <cell r="E695">
            <v>0</v>
          </cell>
          <cell r="H695">
            <v>0</v>
          </cell>
        </row>
        <row r="696">
          <cell r="E696">
            <v>0</v>
          </cell>
          <cell r="H696">
            <v>0</v>
          </cell>
        </row>
        <row r="697">
          <cell r="E697">
            <v>0</v>
          </cell>
          <cell r="H697">
            <v>0</v>
          </cell>
        </row>
        <row r="698">
          <cell r="E698">
            <v>0</v>
          </cell>
          <cell r="H698">
            <v>0</v>
          </cell>
        </row>
        <row r="699">
          <cell r="E699">
            <v>0</v>
          </cell>
          <cell r="H699">
            <v>0</v>
          </cell>
        </row>
        <row r="700">
          <cell r="E700">
            <v>0</v>
          </cell>
          <cell r="H700">
            <v>0</v>
          </cell>
        </row>
        <row r="701">
          <cell r="E701">
            <v>0</v>
          </cell>
          <cell r="H701">
            <v>0</v>
          </cell>
        </row>
        <row r="702">
          <cell r="E702">
            <v>0</v>
          </cell>
          <cell r="H702">
            <v>0</v>
          </cell>
        </row>
        <row r="703">
          <cell r="E703">
            <v>0</v>
          </cell>
          <cell r="H703">
            <v>0</v>
          </cell>
        </row>
        <row r="704">
          <cell r="E704">
            <v>0</v>
          </cell>
          <cell r="H704">
            <v>0</v>
          </cell>
        </row>
        <row r="705">
          <cell r="E705">
            <v>0</v>
          </cell>
          <cell r="H705">
            <v>0</v>
          </cell>
        </row>
        <row r="706">
          <cell r="E706">
            <v>0</v>
          </cell>
          <cell r="H706">
            <v>0</v>
          </cell>
        </row>
        <row r="707">
          <cell r="E707">
            <v>0</v>
          </cell>
          <cell r="H707">
            <v>0</v>
          </cell>
        </row>
        <row r="708">
          <cell r="E708">
            <v>0</v>
          </cell>
          <cell r="H708">
            <v>0</v>
          </cell>
        </row>
        <row r="709">
          <cell r="E709">
            <v>0</v>
          </cell>
          <cell r="H709">
            <v>0</v>
          </cell>
        </row>
        <row r="710">
          <cell r="E710">
            <v>0</v>
          </cell>
          <cell r="H710">
            <v>0</v>
          </cell>
        </row>
        <row r="711">
          <cell r="E711">
            <v>0</v>
          </cell>
          <cell r="H711">
            <v>0</v>
          </cell>
        </row>
        <row r="712">
          <cell r="E712">
            <v>0</v>
          </cell>
          <cell r="H712">
            <v>0</v>
          </cell>
        </row>
        <row r="713">
          <cell r="E713">
            <v>0</v>
          </cell>
          <cell r="H713">
            <v>0</v>
          </cell>
        </row>
        <row r="714">
          <cell r="E714">
            <v>0</v>
          </cell>
          <cell r="H714">
            <v>0</v>
          </cell>
        </row>
        <row r="715">
          <cell r="E715">
            <v>0</v>
          </cell>
          <cell r="H715">
            <v>0</v>
          </cell>
        </row>
        <row r="716">
          <cell r="E716">
            <v>0</v>
          </cell>
          <cell r="H716">
            <v>0</v>
          </cell>
        </row>
        <row r="717">
          <cell r="E717">
            <v>0</v>
          </cell>
          <cell r="H717">
            <v>0</v>
          </cell>
        </row>
        <row r="718">
          <cell r="E718">
            <v>0</v>
          </cell>
          <cell r="H718">
            <v>0</v>
          </cell>
        </row>
        <row r="719">
          <cell r="E719">
            <v>0</v>
          </cell>
          <cell r="H719">
            <v>0</v>
          </cell>
        </row>
        <row r="720">
          <cell r="E720">
            <v>0</v>
          </cell>
          <cell r="H720">
            <v>0</v>
          </cell>
        </row>
        <row r="721">
          <cell r="E721">
            <v>0</v>
          </cell>
          <cell r="H721">
            <v>0</v>
          </cell>
        </row>
        <row r="722">
          <cell r="E722">
            <v>0</v>
          </cell>
          <cell r="H722">
            <v>0</v>
          </cell>
        </row>
        <row r="723">
          <cell r="E723">
            <v>0</v>
          </cell>
          <cell r="H723">
            <v>0</v>
          </cell>
        </row>
        <row r="724">
          <cell r="E724">
            <v>0</v>
          </cell>
          <cell r="H724">
            <v>0</v>
          </cell>
        </row>
        <row r="725">
          <cell r="E725">
            <v>0</v>
          </cell>
          <cell r="H725">
            <v>0</v>
          </cell>
        </row>
        <row r="726">
          <cell r="E726">
            <v>0</v>
          </cell>
          <cell r="H726">
            <v>0</v>
          </cell>
        </row>
        <row r="727">
          <cell r="E727">
            <v>0</v>
          </cell>
          <cell r="H727">
            <v>0</v>
          </cell>
        </row>
        <row r="728">
          <cell r="E728">
            <v>0</v>
          </cell>
          <cell r="H728">
            <v>0</v>
          </cell>
        </row>
        <row r="729">
          <cell r="E729">
            <v>0</v>
          </cell>
          <cell r="H729">
            <v>0</v>
          </cell>
        </row>
        <row r="730">
          <cell r="E730">
            <v>0</v>
          </cell>
          <cell r="H730">
            <v>0</v>
          </cell>
        </row>
        <row r="731">
          <cell r="E731">
            <v>0</v>
          </cell>
          <cell r="H731">
            <v>0</v>
          </cell>
        </row>
        <row r="732">
          <cell r="E732">
            <v>0</v>
          </cell>
          <cell r="H732">
            <v>0</v>
          </cell>
        </row>
        <row r="733">
          <cell r="E733">
            <v>0</v>
          </cell>
          <cell r="H733">
            <v>0</v>
          </cell>
        </row>
        <row r="734">
          <cell r="E734">
            <v>0</v>
          </cell>
          <cell r="H734">
            <v>0</v>
          </cell>
        </row>
        <row r="735">
          <cell r="E735">
            <v>0</v>
          </cell>
          <cell r="H735">
            <v>0</v>
          </cell>
        </row>
        <row r="736">
          <cell r="E736">
            <v>0</v>
          </cell>
          <cell r="H736">
            <v>0</v>
          </cell>
        </row>
        <row r="737">
          <cell r="E737">
            <v>0</v>
          </cell>
          <cell r="H737">
            <v>0</v>
          </cell>
        </row>
        <row r="738">
          <cell r="E738">
            <v>0</v>
          </cell>
          <cell r="H738">
            <v>0</v>
          </cell>
        </row>
        <row r="739">
          <cell r="E739">
            <v>0</v>
          </cell>
          <cell r="H739">
            <v>0</v>
          </cell>
        </row>
        <row r="740">
          <cell r="E740">
            <v>0</v>
          </cell>
          <cell r="H740">
            <v>0</v>
          </cell>
        </row>
        <row r="741">
          <cell r="E741">
            <v>0</v>
          </cell>
          <cell r="H741">
            <v>0</v>
          </cell>
        </row>
        <row r="742">
          <cell r="E742">
            <v>0</v>
          </cell>
          <cell r="H742">
            <v>0</v>
          </cell>
        </row>
        <row r="743">
          <cell r="E743">
            <v>0</v>
          </cell>
          <cell r="H743">
            <v>0</v>
          </cell>
        </row>
        <row r="744">
          <cell r="E744">
            <v>0</v>
          </cell>
          <cell r="H744">
            <v>0</v>
          </cell>
        </row>
        <row r="745">
          <cell r="E745">
            <v>0</v>
          </cell>
          <cell r="H745">
            <v>0</v>
          </cell>
        </row>
        <row r="746">
          <cell r="E746">
            <v>0</v>
          </cell>
          <cell r="H746">
            <v>0</v>
          </cell>
        </row>
        <row r="747">
          <cell r="E747">
            <v>0</v>
          </cell>
          <cell r="H747">
            <v>0</v>
          </cell>
        </row>
        <row r="748">
          <cell r="E748">
            <v>0</v>
          </cell>
          <cell r="H748">
            <v>0</v>
          </cell>
        </row>
        <row r="749">
          <cell r="E749">
            <v>0</v>
          </cell>
          <cell r="H749">
            <v>0</v>
          </cell>
        </row>
        <row r="750">
          <cell r="E750">
            <v>0</v>
          </cell>
          <cell r="H750">
            <v>0</v>
          </cell>
        </row>
        <row r="751">
          <cell r="E751">
            <v>0</v>
          </cell>
          <cell r="H751">
            <v>0</v>
          </cell>
        </row>
        <row r="752">
          <cell r="E752">
            <v>0</v>
          </cell>
          <cell r="H752">
            <v>0</v>
          </cell>
        </row>
        <row r="753">
          <cell r="E753">
            <v>0</v>
          </cell>
          <cell r="H753">
            <v>0</v>
          </cell>
        </row>
        <row r="754">
          <cell r="E754">
            <v>0</v>
          </cell>
          <cell r="H754">
            <v>0</v>
          </cell>
        </row>
        <row r="755">
          <cell r="E755">
            <v>0</v>
          </cell>
          <cell r="H755">
            <v>0</v>
          </cell>
        </row>
        <row r="756">
          <cell r="E756">
            <v>0</v>
          </cell>
          <cell r="H756">
            <v>0</v>
          </cell>
        </row>
        <row r="757">
          <cell r="E757">
            <v>0</v>
          </cell>
          <cell r="H757">
            <v>0</v>
          </cell>
        </row>
        <row r="758">
          <cell r="E758">
            <v>0</v>
          </cell>
          <cell r="H758">
            <v>0</v>
          </cell>
        </row>
        <row r="759">
          <cell r="E759">
            <v>0</v>
          </cell>
          <cell r="H759">
            <v>0</v>
          </cell>
        </row>
        <row r="760">
          <cell r="E760">
            <v>0</v>
          </cell>
          <cell r="H760">
            <v>0</v>
          </cell>
        </row>
        <row r="761">
          <cell r="E761">
            <v>0</v>
          </cell>
          <cell r="H761">
            <v>0</v>
          </cell>
        </row>
        <row r="762">
          <cell r="E762">
            <v>0</v>
          </cell>
          <cell r="H762">
            <v>0</v>
          </cell>
        </row>
        <row r="763">
          <cell r="E763">
            <v>0</v>
          </cell>
          <cell r="H763">
            <v>0</v>
          </cell>
        </row>
        <row r="764">
          <cell r="E764">
            <v>0</v>
          </cell>
          <cell r="H764">
            <v>0</v>
          </cell>
        </row>
        <row r="765">
          <cell r="E765">
            <v>0</v>
          </cell>
          <cell r="H765">
            <v>0</v>
          </cell>
        </row>
        <row r="766">
          <cell r="E766">
            <v>0</v>
          </cell>
          <cell r="H766">
            <v>0</v>
          </cell>
        </row>
        <row r="767">
          <cell r="E767">
            <v>0</v>
          </cell>
          <cell r="H767">
            <v>0</v>
          </cell>
        </row>
        <row r="768">
          <cell r="E768">
            <v>0</v>
          </cell>
          <cell r="H768">
            <v>0</v>
          </cell>
        </row>
        <row r="769">
          <cell r="E769">
            <v>0</v>
          </cell>
          <cell r="H769">
            <v>0</v>
          </cell>
        </row>
        <row r="770">
          <cell r="E770">
            <v>0</v>
          </cell>
          <cell r="H770">
            <v>0</v>
          </cell>
        </row>
        <row r="771">
          <cell r="E771">
            <v>0</v>
          </cell>
          <cell r="H771">
            <v>0</v>
          </cell>
        </row>
        <row r="772">
          <cell r="E772">
            <v>0</v>
          </cell>
          <cell r="H772">
            <v>0</v>
          </cell>
        </row>
        <row r="773">
          <cell r="E773">
            <v>0</v>
          </cell>
          <cell r="H773">
            <v>0</v>
          </cell>
        </row>
        <row r="774">
          <cell r="E774">
            <v>0</v>
          </cell>
          <cell r="H774">
            <v>0</v>
          </cell>
        </row>
        <row r="775">
          <cell r="E775">
            <v>0</v>
          </cell>
          <cell r="H775">
            <v>0</v>
          </cell>
        </row>
        <row r="776">
          <cell r="E776">
            <v>0</v>
          </cell>
          <cell r="H776">
            <v>0</v>
          </cell>
        </row>
        <row r="777">
          <cell r="E777">
            <v>0</v>
          </cell>
          <cell r="H777">
            <v>0</v>
          </cell>
        </row>
        <row r="778">
          <cell r="E778">
            <v>0</v>
          </cell>
          <cell r="H778">
            <v>0</v>
          </cell>
        </row>
        <row r="779">
          <cell r="E779">
            <v>0</v>
          </cell>
          <cell r="H779">
            <v>0</v>
          </cell>
        </row>
        <row r="780">
          <cell r="E780">
            <v>0</v>
          </cell>
          <cell r="H780">
            <v>0</v>
          </cell>
        </row>
        <row r="781">
          <cell r="E781">
            <v>0</v>
          </cell>
          <cell r="H781">
            <v>0</v>
          </cell>
        </row>
        <row r="782">
          <cell r="E782">
            <v>0</v>
          </cell>
          <cell r="H782">
            <v>0</v>
          </cell>
        </row>
        <row r="783">
          <cell r="E783">
            <v>0</v>
          </cell>
          <cell r="H783">
            <v>0</v>
          </cell>
        </row>
        <row r="784">
          <cell r="E784">
            <v>0</v>
          </cell>
          <cell r="H784">
            <v>0</v>
          </cell>
        </row>
        <row r="785">
          <cell r="E785">
            <v>0</v>
          </cell>
          <cell r="H785">
            <v>0</v>
          </cell>
        </row>
        <row r="786">
          <cell r="E786">
            <v>0</v>
          </cell>
          <cell r="H786">
            <v>0</v>
          </cell>
        </row>
        <row r="787">
          <cell r="E787">
            <v>0</v>
          </cell>
          <cell r="H787">
            <v>0</v>
          </cell>
        </row>
        <row r="788">
          <cell r="E788">
            <v>0</v>
          </cell>
          <cell r="H788">
            <v>0</v>
          </cell>
        </row>
        <row r="789">
          <cell r="E789">
            <v>0</v>
          </cell>
          <cell r="H789">
            <v>0</v>
          </cell>
        </row>
        <row r="790">
          <cell r="E790">
            <v>0</v>
          </cell>
          <cell r="H790">
            <v>0</v>
          </cell>
        </row>
        <row r="791">
          <cell r="E791">
            <v>0</v>
          </cell>
          <cell r="H791">
            <v>0</v>
          </cell>
        </row>
        <row r="792">
          <cell r="E792">
            <v>0</v>
          </cell>
          <cell r="H792">
            <v>0</v>
          </cell>
        </row>
        <row r="793">
          <cell r="E793">
            <v>0</v>
          </cell>
          <cell r="H793">
            <v>0</v>
          </cell>
        </row>
        <row r="794">
          <cell r="E794">
            <v>0</v>
          </cell>
          <cell r="H794">
            <v>0</v>
          </cell>
        </row>
        <row r="795">
          <cell r="E795">
            <v>0</v>
          </cell>
          <cell r="H795">
            <v>0</v>
          </cell>
        </row>
        <row r="796">
          <cell r="E796">
            <v>0</v>
          </cell>
          <cell r="H796">
            <v>0</v>
          </cell>
        </row>
        <row r="797">
          <cell r="E797">
            <v>0</v>
          </cell>
          <cell r="H797">
            <v>0</v>
          </cell>
        </row>
        <row r="798">
          <cell r="E798">
            <v>0</v>
          </cell>
          <cell r="H798">
            <v>0</v>
          </cell>
        </row>
        <row r="799">
          <cell r="E799">
            <v>0</v>
          </cell>
          <cell r="H799">
            <v>0</v>
          </cell>
        </row>
        <row r="800">
          <cell r="E800">
            <v>0</v>
          </cell>
          <cell r="H800">
            <v>0</v>
          </cell>
        </row>
        <row r="801">
          <cell r="E801">
            <v>0</v>
          </cell>
          <cell r="H801">
            <v>0</v>
          </cell>
        </row>
        <row r="802">
          <cell r="E802">
            <v>0</v>
          </cell>
          <cell r="H802">
            <v>0</v>
          </cell>
        </row>
        <row r="803">
          <cell r="E803">
            <v>0</v>
          </cell>
          <cell r="H803">
            <v>0</v>
          </cell>
        </row>
        <row r="804">
          <cell r="E804">
            <v>0</v>
          </cell>
          <cell r="H804">
            <v>0</v>
          </cell>
        </row>
        <row r="805">
          <cell r="E805">
            <v>0</v>
          </cell>
          <cell r="H805">
            <v>0</v>
          </cell>
        </row>
        <row r="806">
          <cell r="E806">
            <v>0</v>
          </cell>
          <cell r="H806">
            <v>0</v>
          </cell>
        </row>
        <row r="807">
          <cell r="E807">
            <v>0</v>
          </cell>
          <cell r="H807">
            <v>0</v>
          </cell>
        </row>
        <row r="808">
          <cell r="E808">
            <v>0</v>
          </cell>
          <cell r="H808">
            <v>0</v>
          </cell>
        </row>
        <row r="809">
          <cell r="E809">
            <v>0</v>
          </cell>
          <cell r="H809">
            <v>0</v>
          </cell>
        </row>
        <row r="810">
          <cell r="E810">
            <v>0</v>
          </cell>
          <cell r="H810">
            <v>0</v>
          </cell>
        </row>
        <row r="811">
          <cell r="E811">
            <v>0</v>
          </cell>
          <cell r="H811">
            <v>0</v>
          </cell>
        </row>
        <row r="812">
          <cell r="E812">
            <v>0</v>
          </cell>
          <cell r="H812">
            <v>0</v>
          </cell>
        </row>
        <row r="813">
          <cell r="E813">
            <v>0</v>
          </cell>
          <cell r="H813">
            <v>0</v>
          </cell>
        </row>
        <row r="814">
          <cell r="E814">
            <v>0</v>
          </cell>
          <cell r="H814">
            <v>0</v>
          </cell>
        </row>
        <row r="815">
          <cell r="E815">
            <v>0</v>
          </cell>
          <cell r="H815">
            <v>0</v>
          </cell>
        </row>
        <row r="816">
          <cell r="E816">
            <v>0</v>
          </cell>
          <cell r="H816">
            <v>0</v>
          </cell>
        </row>
        <row r="817">
          <cell r="E817">
            <v>0</v>
          </cell>
          <cell r="H817">
            <v>0</v>
          </cell>
        </row>
        <row r="818">
          <cell r="E818">
            <v>0</v>
          </cell>
          <cell r="H818">
            <v>0</v>
          </cell>
        </row>
        <row r="819">
          <cell r="E819">
            <v>0</v>
          </cell>
          <cell r="H819">
            <v>0</v>
          </cell>
        </row>
        <row r="820">
          <cell r="E820">
            <v>0</v>
          </cell>
          <cell r="H820">
            <v>0</v>
          </cell>
        </row>
        <row r="821">
          <cell r="E821">
            <v>0</v>
          </cell>
          <cell r="H821">
            <v>0</v>
          </cell>
        </row>
        <row r="822">
          <cell r="E822">
            <v>0</v>
          </cell>
          <cell r="H822">
            <v>0</v>
          </cell>
        </row>
        <row r="823">
          <cell r="E823">
            <v>0</v>
          </cell>
          <cell r="H823">
            <v>0</v>
          </cell>
        </row>
        <row r="824">
          <cell r="E824">
            <v>0</v>
          </cell>
          <cell r="H824">
            <v>0</v>
          </cell>
        </row>
        <row r="825">
          <cell r="E825">
            <v>0</v>
          </cell>
          <cell r="H825">
            <v>0</v>
          </cell>
        </row>
        <row r="826">
          <cell r="E826">
            <v>0</v>
          </cell>
          <cell r="H826">
            <v>0</v>
          </cell>
        </row>
        <row r="827">
          <cell r="E827">
            <v>0</v>
          </cell>
          <cell r="H827">
            <v>0</v>
          </cell>
        </row>
        <row r="828">
          <cell r="E828">
            <v>0</v>
          </cell>
          <cell r="H828">
            <v>0</v>
          </cell>
        </row>
        <row r="829">
          <cell r="E829">
            <v>0</v>
          </cell>
          <cell r="H829">
            <v>0</v>
          </cell>
        </row>
        <row r="830">
          <cell r="E830">
            <v>0</v>
          </cell>
          <cell r="H830">
            <v>0</v>
          </cell>
        </row>
        <row r="831">
          <cell r="E831">
            <v>0</v>
          </cell>
          <cell r="H831">
            <v>0</v>
          </cell>
        </row>
        <row r="832">
          <cell r="E832">
            <v>0</v>
          </cell>
          <cell r="H832">
            <v>0</v>
          </cell>
        </row>
        <row r="833">
          <cell r="E833">
            <v>0</v>
          </cell>
          <cell r="H833">
            <v>0</v>
          </cell>
        </row>
        <row r="834">
          <cell r="E834">
            <v>0</v>
          </cell>
          <cell r="H834">
            <v>0</v>
          </cell>
        </row>
        <row r="835">
          <cell r="E835">
            <v>0</v>
          </cell>
          <cell r="H835">
            <v>0</v>
          </cell>
        </row>
        <row r="836">
          <cell r="E836">
            <v>0</v>
          </cell>
          <cell r="H836">
            <v>0</v>
          </cell>
        </row>
        <row r="837">
          <cell r="E837">
            <v>0</v>
          </cell>
          <cell r="H837">
            <v>0</v>
          </cell>
        </row>
        <row r="838">
          <cell r="E838">
            <v>0</v>
          </cell>
          <cell r="H838">
            <v>0</v>
          </cell>
        </row>
        <row r="839">
          <cell r="E839">
            <v>0</v>
          </cell>
          <cell r="H839">
            <v>0</v>
          </cell>
        </row>
        <row r="840">
          <cell r="E840">
            <v>0</v>
          </cell>
          <cell r="H840">
            <v>0</v>
          </cell>
        </row>
        <row r="841">
          <cell r="E841">
            <v>0</v>
          </cell>
          <cell r="H841">
            <v>0</v>
          </cell>
        </row>
        <row r="842">
          <cell r="E842">
            <v>0</v>
          </cell>
          <cell r="H842">
            <v>0</v>
          </cell>
        </row>
        <row r="843">
          <cell r="E843">
            <v>0</v>
          </cell>
          <cell r="H843">
            <v>0</v>
          </cell>
        </row>
        <row r="844">
          <cell r="E844">
            <v>0</v>
          </cell>
          <cell r="H844">
            <v>0</v>
          </cell>
        </row>
        <row r="845">
          <cell r="E845">
            <v>0</v>
          </cell>
          <cell r="H845">
            <v>0</v>
          </cell>
        </row>
        <row r="846">
          <cell r="E846">
            <v>0</v>
          </cell>
          <cell r="H846">
            <v>0</v>
          </cell>
        </row>
        <row r="847">
          <cell r="E847">
            <v>0</v>
          </cell>
          <cell r="H847">
            <v>0</v>
          </cell>
        </row>
        <row r="848">
          <cell r="E848">
            <v>0</v>
          </cell>
          <cell r="H848">
            <v>0</v>
          </cell>
        </row>
        <row r="849">
          <cell r="E849">
            <v>0</v>
          </cell>
          <cell r="H849">
            <v>0</v>
          </cell>
        </row>
        <row r="850">
          <cell r="E850">
            <v>0</v>
          </cell>
          <cell r="H850">
            <v>0</v>
          </cell>
        </row>
        <row r="851">
          <cell r="E851">
            <v>0</v>
          </cell>
          <cell r="H851">
            <v>0</v>
          </cell>
        </row>
        <row r="852">
          <cell r="E852">
            <v>0</v>
          </cell>
          <cell r="H852">
            <v>0</v>
          </cell>
        </row>
        <row r="853">
          <cell r="E853">
            <v>0</v>
          </cell>
          <cell r="H853">
            <v>0</v>
          </cell>
        </row>
        <row r="854">
          <cell r="E854">
            <v>0</v>
          </cell>
          <cell r="H854">
            <v>0</v>
          </cell>
        </row>
        <row r="855">
          <cell r="E855">
            <v>0</v>
          </cell>
          <cell r="H855">
            <v>0</v>
          </cell>
        </row>
        <row r="856">
          <cell r="E856">
            <v>0</v>
          </cell>
          <cell r="H856">
            <v>0</v>
          </cell>
        </row>
        <row r="857">
          <cell r="E857">
            <v>0</v>
          </cell>
          <cell r="H857">
            <v>0</v>
          </cell>
        </row>
        <row r="858">
          <cell r="E858">
            <v>0</v>
          </cell>
          <cell r="H858">
            <v>0</v>
          </cell>
        </row>
        <row r="859">
          <cell r="E859">
            <v>0</v>
          </cell>
          <cell r="H859">
            <v>0</v>
          </cell>
        </row>
        <row r="860">
          <cell r="E860">
            <v>0</v>
          </cell>
          <cell r="H860">
            <v>0</v>
          </cell>
        </row>
        <row r="861">
          <cell r="E861">
            <v>0</v>
          </cell>
          <cell r="H861">
            <v>0</v>
          </cell>
        </row>
        <row r="862">
          <cell r="E862">
            <v>0</v>
          </cell>
          <cell r="H862">
            <v>0</v>
          </cell>
        </row>
        <row r="863">
          <cell r="E863">
            <v>0</v>
          </cell>
          <cell r="H863">
            <v>0</v>
          </cell>
        </row>
        <row r="864">
          <cell r="E864">
            <v>0</v>
          </cell>
          <cell r="H864">
            <v>0</v>
          </cell>
        </row>
        <row r="865">
          <cell r="E865">
            <v>0</v>
          </cell>
          <cell r="H865">
            <v>0</v>
          </cell>
        </row>
        <row r="866">
          <cell r="E866">
            <v>0</v>
          </cell>
          <cell r="H866">
            <v>0</v>
          </cell>
        </row>
        <row r="867">
          <cell r="E867">
            <v>0</v>
          </cell>
          <cell r="H867">
            <v>0</v>
          </cell>
        </row>
        <row r="868">
          <cell r="E868">
            <v>0</v>
          </cell>
          <cell r="H868">
            <v>0</v>
          </cell>
        </row>
        <row r="869">
          <cell r="E869">
            <v>0</v>
          </cell>
          <cell r="H869">
            <v>0</v>
          </cell>
        </row>
        <row r="870">
          <cell r="E870">
            <v>0</v>
          </cell>
          <cell r="H870">
            <v>0</v>
          </cell>
        </row>
        <row r="871">
          <cell r="E871">
            <v>0</v>
          </cell>
          <cell r="H871">
            <v>0</v>
          </cell>
        </row>
        <row r="872">
          <cell r="E872">
            <v>0</v>
          </cell>
          <cell r="H872">
            <v>0</v>
          </cell>
        </row>
        <row r="873">
          <cell r="E873">
            <v>0</v>
          </cell>
          <cell r="H873">
            <v>0</v>
          </cell>
        </row>
        <row r="874">
          <cell r="E874">
            <v>0</v>
          </cell>
          <cell r="H874">
            <v>0</v>
          </cell>
        </row>
        <row r="875">
          <cell r="E875">
            <v>0</v>
          </cell>
          <cell r="H875">
            <v>0</v>
          </cell>
        </row>
        <row r="876">
          <cell r="E876">
            <v>0</v>
          </cell>
          <cell r="H876">
            <v>0</v>
          </cell>
        </row>
        <row r="877">
          <cell r="E877">
            <v>0</v>
          </cell>
          <cell r="H877">
            <v>0</v>
          </cell>
        </row>
        <row r="878">
          <cell r="E878">
            <v>0</v>
          </cell>
          <cell r="H878">
            <v>0</v>
          </cell>
        </row>
        <row r="879">
          <cell r="E879">
            <v>0</v>
          </cell>
          <cell r="H879">
            <v>0</v>
          </cell>
        </row>
        <row r="880">
          <cell r="E880">
            <v>0</v>
          </cell>
          <cell r="H880">
            <v>0</v>
          </cell>
        </row>
        <row r="881">
          <cell r="E881">
            <v>0</v>
          </cell>
          <cell r="H881">
            <v>0</v>
          </cell>
        </row>
        <row r="882">
          <cell r="E882">
            <v>0</v>
          </cell>
          <cell r="H882">
            <v>0</v>
          </cell>
        </row>
        <row r="883">
          <cell r="E883">
            <v>0</v>
          </cell>
          <cell r="H883">
            <v>0</v>
          </cell>
        </row>
        <row r="884">
          <cell r="E884">
            <v>0</v>
          </cell>
          <cell r="H884">
            <v>0</v>
          </cell>
        </row>
        <row r="885">
          <cell r="E885">
            <v>0</v>
          </cell>
          <cell r="H885">
            <v>0</v>
          </cell>
        </row>
        <row r="886">
          <cell r="E886">
            <v>0</v>
          </cell>
          <cell r="H886">
            <v>0</v>
          </cell>
        </row>
        <row r="887">
          <cell r="E887">
            <v>0</v>
          </cell>
          <cell r="H887">
            <v>0</v>
          </cell>
        </row>
        <row r="888">
          <cell r="E888">
            <v>0</v>
          </cell>
          <cell r="H888">
            <v>0</v>
          </cell>
        </row>
        <row r="889">
          <cell r="E889">
            <v>0</v>
          </cell>
          <cell r="H889">
            <v>0</v>
          </cell>
        </row>
        <row r="890">
          <cell r="E890">
            <v>0</v>
          </cell>
          <cell r="H890">
            <v>0</v>
          </cell>
        </row>
        <row r="891">
          <cell r="E891">
            <v>0</v>
          </cell>
          <cell r="H891">
            <v>0</v>
          </cell>
        </row>
        <row r="892">
          <cell r="E892">
            <v>0</v>
          </cell>
          <cell r="H892">
            <v>0</v>
          </cell>
        </row>
        <row r="893">
          <cell r="E893">
            <v>0</v>
          </cell>
          <cell r="H893">
            <v>0</v>
          </cell>
        </row>
        <row r="894">
          <cell r="E894">
            <v>0</v>
          </cell>
          <cell r="H894">
            <v>0</v>
          </cell>
        </row>
        <row r="895">
          <cell r="E895">
            <v>0</v>
          </cell>
          <cell r="H895">
            <v>0</v>
          </cell>
        </row>
        <row r="896">
          <cell r="E896">
            <v>0</v>
          </cell>
          <cell r="H896">
            <v>0</v>
          </cell>
        </row>
        <row r="897">
          <cell r="E897">
            <v>0</v>
          </cell>
          <cell r="H897">
            <v>0</v>
          </cell>
        </row>
        <row r="898">
          <cell r="E898">
            <v>0</v>
          </cell>
          <cell r="H898">
            <v>0</v>
          </cell>
        </row>
        <row r="899">
          <cell r="E899">
            <v>0</v>
          </cell>
          <cell r="H899">
            <v>0</v>
          </cell>
        </row>
        <row r="900">
          <cell r="E900">
            <v>0</v>
          </cell>
          <cell r="H900">
            <v>0</v>
          </cell>
        </row>
        <row r="901">
          <cell r="E901">
            <v>0</v>
          </cell>
          <cell r="H901">
            <v>0</v>
          </cell>
        </row>
        <row r="902">
          <cell r="E902">
            <v>0</v>
          </cell>
          <cell r="H902">
            <v>0</v>
          </cell>
        </row>
        <row r="903">
          <cell r="E903">
            <v>0</v>
          </cell>
          <cell r="H903">
            <v>0</v>
          </cell>
        </row>
        <row r="904">
          <cell r="E904">
            <v>0</v>
          </cell>
          <cell r="H904">
            <v>0</v>
          </cell>
        </row>
        <row r="905">
          <cell r="E905">
            <v>0</v>
          </cell>
          <cell r="H905">
            <v>0</v>
          </cell>
        </row>
        <row r="906">
          <cell r="E906">
            <v>0</v>
          </cell>
          <cell r="H906">
            <v>0</v>
          </cell>
        </row>
        <row r="907">
          <cell r="E907">
            <v>0</v>
          </cell>
          <cell r="H907">
            <v>0</v>
          </cell>
        </row>
        <row r="908">
          <cell r="E908">
            <v>0</v>
          </cell>
          <cell r="H908">
            <v>0</v>
          </cell>
        </row>
        <row r="909">
          <cell r="E909">
            <v>0</v>
          </cell>
          <cell r="H909">
            <v>0</v>
          </cell>
        </row>
        <row r="910">
          <cell r="E910">
            <v>0</v>
          </cell>
          <cell r="H910">
            <v>0</v>
          </cell>
        </row>
        <row r="911">
          <cell r="E911">
            <v>0</v>
          </cell>
          <cell r="H911">
            <v>0</v>
          </cell>
        </row>
        <row r="912">
          <cell r="E912">
            <v>0</v>
          </cell>
          <cell r="H912">
            <v>0</v>
          </cell>
        </row>
        <row r="913">
          <cell r="E913">
            <v>0</v>
          </cell>
          <cell r="H913">
            <v>0</v>
          </cell>
        </row>
        <row r="914">
          <cell r="E914">
            <v>0</v>
          </cell>
          <cell r="H914">
            <v>0</v>
          </cell>
        </row>
        <row r="915">
          <cell r="E915">
            <v>0</v>
          </cell>
          <cell r="H915">
            <v>0</v>
          </cell>
        </row>
        <row r="916">
          <cell r="E916">
            <v>0</v>
          </cell>
          <cell r="H916">
            <v>0</v>
          </cell>
        </row>
        <row r="917">
          <cell r="E917">
            <v>0</v>
          </cell>
          <cell r="H917">
            <v>0</v>
          </cell>
        </row>
        <row r="918">
          <cell r="E918">
            <v>0</v>
          </cell>
          <cell r="H918">
            <v>0</v>
          </cell>
        </row>
        <row r="919">
          <cell r="E919">
            <v>0</v>
          </cell>
          <cell r="H919">
            <v>0</v>
          </cell>
        </row>
        <row r="920">
          <cell r="E920">
            <v>0</v>
          </cell>
          <cell r="H920">
            <v>0</v>
          </cell>
        </row>
        <row r="921">
          <cell r="E921">
            <v>0</v>
          </cell>
          <cell r="H921">
            <v>0</v>
          </cell>
        </row>
        <row r="922">
          <cell r="E922">
            <v>0</v>
          </cell>
          <cell r="H922">
            <v>0</v>
          </cell>
        </row>
        <row r="923">
          <cell r="E923">
            <v>0</v>
          </cell>
          <cell r="H923">
            <v>0</v>
          </cell>
        </row>
        <row r="924">
          <cell r="E924">
            <v>0</v>
          </cell>
          <cell r="H924">
            <v>0</v>
          </cell>
        </row>
        <row r="925">
          <cell r="E925">
            <v>0</v>
          </cell>
          <cell r="H925">
            <v>0</v>
          </cell>
        </row>
        <row r="926">
          <cell r="E926">
            <v>0</v>
          </cell>
          <cell r="H926">
            <v>0</v>
          </cell>
        </row>
        <row r="927">
          <cell r="E927">
            <v>0</v>
          </cell>
          <cell r="H927">
            <v>0</v>
          </cell>
        </row>
        <row r="928">
          <cell r="E928">
            <v>0</v>
          </cell>
          <cell r="H928">
            <v>0</v>
          </cell>
        </row>
        <row r="929">
          <cell r="E929">
            <v>0</v>
          </cell>
          <cell r="H929">
            <v>0</v>
          </cell>
        </row>
        <row r="930">
          <cell r="E930">
            <v>0</v>
          </cell>
          <cell r="H930">
            <v>0</v>
          </cell>
        </row>
        <row r="931">
          <cell r="E931">
            <v>0</v>
          </cell>
          <cell r="H931">
            <v>0</v>
          </cell>
        </row>
        <row r="932">
          <cell r="E932">
            <v>0</v>
          </cell>
          <cell r="H932">
            <v>0</v>
          </cell>
        </row>
        <row r="933">
          <cell r="E933">
            <v>0</v>
          </cell>
          <cell r="H933">
            <v>0</v>
          </cell>
        </row>
        <row r="934">
          <cell r="E934">
            <v>0</v>
          </cell>
          <cell r="H934">
            <v>0</v>
          </cell>
        </row>
        <row r="935">
          <cell r="E935">
            <v>0</v>
          </cell>
          <cell r="H935">
            <v>0</v>
          </cell>
        </row>
        <row r="936">
          <cell r="E936">
            <v>0</v>
          </cell>
          <cell r="H936">
            <v>0</v>
          </cell>
        </row>
        <row r="937">
          <cell r="E937">
            <v>0</v>
          </cell>
          <cell r="H937">
            <v>0</v>
          </cell>
        </row>
        <row r="938">
          <cell r="E938">
            <v>0</v>
          </cell>
          <cell r="H938">
            <v>0</v>
          </cell>
        </row>
        <row r="939">
          <cell r="E939">
            <v>0</v>
          </cell>
          <cell r="H939">
            <v>0</v>
          </cell>
        </row>
        <row r="940">
          <cell r="E940">
            <v>0</v>
          </cell>
          <cell r="H940">
            <v>0</v>
          </cell>
        </row>
        <row r="941">
          <cell r="E941">
            <v>0</v>
          </cell>
          <cell r="H941">
            <v>0</v>
          </cell>
        </row>
        <row r="942">
          <cell r="E942">
            <v>0</v>
          </cell>
          <cell r="H942">
            <v>0</v>
          </cell>
        </row>
        <row r="943">
          <cell r="E943">
            <v>0</v>
          </cell>
          <cell r="H943">
            <v>0</v>
          </cell>
        </row>
        <row r="944">
          <cell r="E944">
            <v>0</v>
          </cell>
          <cell r="H944">
            <v>0</v>
          </cell>
        </row>
        <row r="945">
          <cell r="E945">
            <v>0</v>
          </cell>
          <cell r="H945">
            <v>0</v>
          </cell>
        </row>
        <row r="946">
          <cell r="E946">
            <v>0</v>
          </cell>
          <cell r="H946">
            <v>0</v>
          </cell>
        </row>
        <row r="947">
          <cell r="E947">
            <v>0</v>
          </cell>
          <cell r="H947">
            <v>0</v>
          </cell>
        </row>
        <row r="948">
          <cell r="E948">
            <v>0</v>
          </cell>
          <cell r="H948">
            <v>0</v>
          </cell>
        </row>
        <row r="949">
          <cell r="E949">
            <v>0</v>
          </cell>
          <cell r="H949">
            <v>0</v>
          </cell>
        </row>
        <row r="950">
          <cell r="E950">
            <v>0</v>
          </cell>
          <cell r="H950">
            <v>0</v>
          </cell>
        </row>
        <row r="951">
          <cell r="E951">
            <v>0</v>
          </cell>
          <cell r="H951">
            <v>0</v>
          </cell>
        </row>
        <row r="952">
          <cell r="E952">
            <v>0</v>
          </cell>
          <cell r="H952">
            <v>0</v>
          </cell>
        </row>
        <row r="953">
          <cell r="E953">
            <v>0</v>
          </cell>
          <cell r="H953">
            <v>0</v>
          </cell>
        </row>
        <row r="954">
          <cell r="E954">
            <v>0</v>
          </cell>
          <cell r="H954">
            <v>0</v>
          </cell>
        </row>
        <row r="955">
          <cell r="E955">
            <v>0</v>
          </cell>
          <cell r="H955">
            <v>0</v>
          </cell>
        </row>
        <row r="956">
          <cell r="E956">
            <v>0</v>
          </cell>
          <cell r="H956">
            <v>0</v>
          </cell>
        </row>
        <row r="957">
          <cell r="E957">
            <v>0</v>
          </cell>
          <cell r="H957">
            <v>0</v>
          </cell>
        </row>
        <row r="958">
          <cell r="E958">
            <v>0</v>
          </cell>
          <cell r="H958">
            <v>0</v>
          </cell>
        </row>
        <row r="959">
          <cell r="E959">
            <v>0</v>
          </cell>
          <cell r="H959">
            <v>0</v>
          </cell>
        </row>
        <row r="960">
          <cell r="E960">
            <v>0</v>
          </cell>
          <cell r="H960">
            <v>0</v>
          </cell>
        </row>
        <row r="961">
          <cell r="E961">
            <v>0</v>
          </cell>
          <cell r="H961">
            <v>0</v>
          </cell>
        </row>
        <row r="962">
          <cell r="E962">
            <v>0</v>
          </cell>
          <cell r="H962">
            <v>0</v>
          </cell>
        </row>
        <row r="963">
          <cell r="E963">
            <v>0</v>
          </cell>
          <cell r="H963">
            <v>0</v>
          </cell>
        </row>
        <row r="964">
          <cell r="E964">
            <v>0</v>
          </cell>
          <cell r="H964">
            <v>0</v>
          </cell>
        </row>
        <row r="965">
          <cell r="E965">
            <v>0</v>
          </cell>
          <cell r="H965">
            <v>0</v>
          </cell>
        </row>
        <row r="966">
          <cell r="E966">
            <v>0</v>
          </cell>
          <cell r="H966">
            <v>0</v>
          </cell>
        </row>
        <row r="967">
          <cell r="E967">
            <v>0</v>
          </cell>
          <cell r="H967">
            <v>0</v>
          </cell>
        </row>
        <row r="968">
          <cell r="E968">
            <v>0</v>
          </cell>
          <cell r="H968">
            <v>0</v>
          </cell>
        </row>
        <row r="969">
          <cell r="E969">
            <v>0</v>
          </cell>
          <cell r="H969">
            <v>0</v>
          </cell>
        </row>
        <row r="970">
          <cell r="E970">
            <v>0</v>
          </cell>
          <cell r="H970">
            <v>0</v>
          </cell>
        </row>
        <row r="971">
          <cell r="E971">
            <v>0</v>
          </cell>
          <cell r="H971">
            <v>0</v>
          </cell>
        </row>
        <row r="972">
          <cell r="E972">
            <v>0</v>
          </cell>
          <cell r="H972">
            <v>0</v>
          </cell>
        </row>
        <row r="973">
          <cell r="E973">
            <v>0</v>
          </cell>
          <cell r="H973">
            <v>0</v>
          </cell>
        </row>
        <row r="974">
          <cell r="E974">
            <v>0</v>
          </cell>
          <cell r="H974">
            <v>0</v>
          </cell>
        </row>
        <row r="975">
          <cell r="E975">
            <v>0</v>
          </cell>
          <cell r="H975">
            <v>0</v>
          </cell>
        </row>
        <row r="976">
          <cell r="E976">
            <v>0</v>
          </cell>
          <cell r="H976">
            <v>0</v>
          </cell>
        </row>
        <row r="977">
          <cell r="E977">
            <v>0</v>
          </cell>
          <cell r="H977">
            <v>0</v>
          </cell>
        </row>
        <row r="978">
          <cell r="E978">
            <v>0</v>
          </cell>
          <cell r="H978">
            <v>0</v>
          </cell>
        </row>
        <row r="979">
          <cell r="E979">
            <v>0</v>
          </cell>
          <cell r="H979">
            <v>0</v>
          </cell>
        </row>
        <row r="980">
          <cell r="E980">
            <v>0</v>
          </cell>
          <cell r="H980">
            <v>0</v>
          </cell>
        </row>
        <row r="981">
          <cell r="E981">
            <v>0</v>
          </cell>
          <cell r="H981">
            <v>0</v>
          </cell>
        </row>
        <row r="982">
          <cell r="E982">
            <v>0</v>
          </cell>
          <cell r="H982">
            <v>0</v>
          </cell>
        </row>
        <row r="983">
          <cell r="E983">
            <v>0</v>
          </cell>
          <cell r="H983">
            <v>0</v>
          </cell>
        </row>
        <row r="984">
          <cell r="E984">
            <v>0</v>
          </cell>
          <cell r="H984">
            <v>0</v>
          </cell>
        </row>
        <row r="985">
          <cell r="E985">
            <v>0</v>
          </cell>
          <cell r="H985">
            <v>0</v>
          </cell>
        </row>
        <row r="986">
          <cell r="E986">
            <v>0</v>
          </cell>
          <cell r="H986">
            <v>0</v>
          </cell>
        </row>
        <row r="987">
          <cell r="E987">
            <v>0</v>
          </cell>
          <cell r="H987">
            <v>0</v>
          </cell>
        </row>
        <row r="988">
          <cell r="E988">
            <v>0</v>
          </cell>
          <cell r="H988">
            <v>0</v>
          </cell>
        </row>
        <row r="989">
          <cell r="E989">
            <v>0</v>
          </cell>
          <cell r="H989">
            <v>0</v>
          </cell>
        </row>
        <row r="990">
          <cell r="E990">
            <v>0</v>
          </cell>
          <cell r="H990">
            <v>0</v>
          </cell>
        </row>
        <row r="991">
          <cell r="E991">
            <v>0</v>
          </cell>
          <cell r="H991">
            <v>0</v>
          </cell>
        </row>
        <row r="992">
          <cell r="E992">
            <v>0</v>
          </cell>
          <cell r="H992">
            <v>0</v>
          </cell>
        </row>
        <row r="993">
          <cell r="E993">
            <v>0</v>
          </cell>
          <cell r="H993">
            <v>0</v>
          </cell>
        </row>
        <row r="994">
          <cell r="E994">
            <v>0</v>
          </cell>
          <cell r="H994">
            <v>0</v>
          </cell>
        </row>
        <row r="995">
          <cell r="E995">
            <v>0</v>
          </cell>
          <cell r="H995">
            <v>0</v>
          </cell>
        </row>
        <row r="996">
          <cell r="E996">
            <v>0</v>
          </cell>
          <cell r="H996">
            <v>0</v>
          </cell>
        </row>
        <row r="997">
          <cell r="E997">
            <v>0</v>
          </cell>
          <cell r="H997">
            <v>0</v>
          </cell>
        </row>
        <row r="998">
          <cell r="E998">
            <v>0</v>
          </cell>
          <cell r="H998">
            <v>0</v>
          </cell>
        </row>
        <row r="999">
          <cell r="E999">
            <v>0</v>
          </cell>
          <cell r="H999">
            <v>0</v>
          </cell>
        </row>
        <row r="1000">
          <cell r="E1000">
            <v>0</v>
          </cell>
          <cell r="H1000">
            <v>0</v>
          </cell>
        </row>
        <row r="1001">
          <cell r="E1001">
            <v>0</v>
          </cell>
          <cell r="H1001">
            <v>0</v>
          </cell>
        </row>
        <row r="1002">
          <cell r="E1002">
            <v>0</v>
          </cell>
          <cell r="H1002">
            <v>0</v>
          </cell>
        </row>
        <row r="1003">
          <cell r="E1003">
            <v>0</v>
          </cell>
          <cell r="H1003">
            <v>0</v>
          </cell>
        </row>
        <row r="1004">
          <cell r="E1004">
            <v>0</v>
          </cell>
          <cell r="H1004">
            <v>0</v>
          </cell>
        </row>
        <row r="1005">
          <cell r="E1005">
            <v>0</v>
          </cell>
          <cell r="H1005">
            <v>0</v>
          </cell>
        </row>
        <row r="1006">
          <cell r="E1006">
            <v>0</v>
          </cell>
          <cell r="H1006">
            <v>0</v>
          </cell>
        </row>
        <row r="1007">
          <cell r="E1007">
            <v>0</v>
          </cell>
          <cell r="H1007">
            <v>0</v>
          </cell>
        </row>
        <row r="1008">
          <cell r="E1008">
            <v>0</v>
          </cell>
          <cell r="H1008">
            <v>0</v>
          </cell>
        </row>
        <row r="1009">
          <cell r="E1009">
            <v>0</v>
          </cell>
          <cell r="H1009">
            <v>0</v>
          </cell>
        </row>
        <row r="1010">
          <cell r="E1010">
            <v>0</v>
          </cell>
          <cell r="H1010">
            <v>0</v>
          </cell>
        </row>
        <row r="1011">
          <cell r="E1011">
            <v>0</v>
          </cell>
          <cell r="H1011">
            <v>0</v>
          </cell>
        </row>
        <row r="1012">
          <cell r="E1012">
            <v>0</v>
          </cell>
          <cell r="H1012">
            <v>0</v>
          </cell>
        </row>
        <row r="1013">
          <cell r="E1013">
            <v>0</v>
          </cell>
          <cell r="H1013">
            <v>0</v>
          </cell>
        </row>
        <row r="1014">
          <cell r="E1014">
            <v>0</v>
          </cell>
          <cell r="H1014">
            <v>0</v>
          </cell>
        </row>
        <row r="1015">
          <cell r="E1015">
            <v>0</v>
          </cell>
          <cell r="H1015">
            <v>0</v>
          </cell>
        </row>
        <row r="1016">
          <cell r="E1016">
            <v>0</v>
          </cell>
          <cell r="H1016">
            <v>0</v>
          </cell>
        </row>
        <row r="1017">
          <cell r="E1017">
            <v>0</v>
          </cell>
          <cell r="H1017">
            <v>0</v>
          </cell>
        </row>
        <row r="1018">
          <cell r="E1018">
            <v>0</v>
          </cell>
          <cell r="H1018">
            <v>0</v>
          </cell>
        </row>
        <row r="1019">
          <cell r="E1019">
            <v>0</v>
          </cell>
          <cell r="H1019">
            <v>0</v>
          </cell>
        </row>
        <row r="1020">
          <cell r="E1020">
            <v>0</v>
          </cell>
          <cell r="H1020">
            <v>0</v>
          </cell>
        </row>
        <row r="1021">
          <cell r="E1021">
            <v>0</v>
          </cell>
          <cell r="H1021">
            <v>0</v>
          </cell>
        </row>
        <row r="1022">
          <cell r="E1022">
            <v>0</v>
          </cell>
          <cell r="H1022">
            <v>0</v>
          </cell>
        </row>
        <row r="1023">
          <cell r="E1023">
            <v>0</v>
          </cell>
          <cell r="H1023">
            <v>0</v>
          </cell>
        </row>
        <row r="1024">
          <cell r="E1024">
            <v>0</v>
          </cell>
          <cell r="H1024">
            <v>0</v>
          </cell>
        </row>
        <row r="1025">
          <cell r="E1025">
            <v>0</v>
          </cell>
          <cell r="H1025">
            <v>0</v>
          </cell>
        </row>
        <row r="1026">
          <cell r="E1026">
            <v>0</v>
          </cell>
          <cell r="H1026">
            <v>0</v>
          </cell>
        </row>
        <row r="1027">
          <cell r="E1027">
            <v>0</v>
          </cell>
          <cell r="H1027">
            <v>0</v>
          </cell>
        </row>
        <row r="1028">
          <cell r="E1028">
            <v>0</v>
          </cell>
          <cell r="H1028">
            <v>0</v>
          </cell>
        </row>
        <row r="1029">
          <cell r="E1029">
            <v>0</v>
          </cell>
          <cell r="H1029">
            <v>0</v>
          </cell>
        </row>
        <row r="1030">
          <cell r="E1030">
            <v>0</v>
          </cell>
          <cell r="H1030">
            <v>0</v>
          </cell>
        </row>
        <row r="1031">
          <cell r="E1031">
            <v>0</v>
          </cell>
          <cell r="H1031">
            <v>0</v>
          </cell>
        </row>
        <row r="1032">
          <cell r="E1032">
            <v>0</v>
          </cell>
          <cell r="H1032">
            <v>0</v>
          </cell>
        </row>
        <row r="1033">
          <cell r="E1033">
            <v>0</v>
          </cell>
          <cell r="H1033">
            <v>0</v>
          </cell>
        </row>
        <row r="1034">
          <cell r="E1034">
            <v>0</v>
          </cell>
          <cell r="H1034">
            <v>0</v>
          </cell>
        </row>
        <row r="1035">
          <cell r="E1035">
            <v>0</v>
          </cell>
          <cell r="H1035">
            <v>0</v>
          </cell>
        </row>
        <row r="1036">
          <cell r="E1036">
            <v>0</v>
          </cell>
          <cell r="H1036">
            <v>0</v>
          </cell>
        </row>
        <row r="1037">
          <cell r="E1037">
            <v>0</v>
          </cell>
          <cell r="H1037">
            <v>0</v>
          </cell>
        </row>
        <row r="1038">
          <cell r="E1038">
            <v>0</v>
          </cell>
          <cell r="H1038">
            <v>0</v>
          </cell>
        </row>
        <row r="1039">
          <cell r="E1039">
            <v>0</v>
          </cell>
          <cell r="H1039">
            <v>0</v>
          </cell>
        </row>
        <row r="1040">
          <cell r="E1040">
            <v>0</v>
          </cell>
          <cell r="H1040">
            <v>0</v>
          </cell>
        </row>
        <row r="1041">
          <cell r="E1041">
            <v>0</v>
          </cell>
          <cell r="H1041">
            <v>0</v>
          </cell>
        </row>
        <row r="1042">
          <cell r="E1042">
            <v>0</v>
          </cell>
          <cell r="H1042">
            <v>0</v>
          </cell>
        </row>
        <row r="1043">
          <cell r="E1043">
            <v>0</v>
          </cell>
          <cell r="H1043">
            <v>0</v>
          </cell>
        </row>
        <row r="1044">
          <cell r="E1044">
            <v>0</v>
          </cell>
          <cell r="H1044">
            <v>0</v>
          </cell>
        </row>
        <row r="1045">
          <cell r="E1045">
            <v>0</v>
          </cell>
          <cell r="H1045">
            <v>0</v>
          </cell>
        </row>
        <row r="1046">
          <cell r="E1046">
            <v>0</v>
          </cell>
          <cell r="H1046">
            <v>0</v>
          </cell>
        </row>
        <row r="1047">
          <cell r="E1047">
            <v>0</v>
          </cell>
          <cell r="H1047">
            <v>0</v>
          </cell>
        </row>
        <row r="1048">
          <cell r="E1048">
            <v>0</v>
          </cell>
          <cell r="H1048">
            <v>0</v>
          </cell>
        </row>
        <row r="1049">
          <cell r="E1049">
            <v>0</v>
          </cell>
          <cell r="H1049">
            <v>0</v>
          </cell>
        </row>
        <row r="1050">
          <cell r="E1050">
            <v>0</v>
          </cell>
          <cell r="H1050">
            <v>0</v>
          </cell>
        </row>
        <row r="1051">
          <cell r="E1051">
            <v>0</v>
          </cell>
          <cell r="H1051">
            <v>0</v>
          </cell>
        </row>
        <row r="1052">
          <cell r="E1052">
            <v>0</v>
          </cell>
          <cell r="H1052">
            <v>0</v>
          </cell>
        </row>
        <row r="1053">
          <cell r="E1053">
            <v>0</v>
          </cell>
          <cell r="H1053">
            <v>0</v>
          </cell>
        </row>
        <row r="1054">
          <cell r="E1054">
            <v>0</v>
          </cell>
          <cell r="H1054">
            <v>0</v>
          </cell>
        </row>
        <row r="1055">
          <cell r="E1055">
            <v>0</v>
          </cell>
          <cell r="H1055">
            <v>0</v>
          </cell>
        </row>
        <row r="1056">
          <cell r="E1056">
            <v>0</v>
          </cell>
          <cell r="H1056">
            <v>0</v>
          </cell>
        </row>
        <row r="1057">
          <cell r="E1057">
            <v>0</v>
          </cell>
          <cell r="H1057">
            <v>0</v>
          </cell>
        </row>
        <row r="1058">
          <cell r="E1058">
            <v>0</v>
          </cell>
          <cell r="H1058">
            <v>0</v>
          </cell>
        </row>
        <row r="1059">
          <cell r="E1059">
            <v>0</v>
          </cell>
          <cell r="H1059">
            <v>0</v>
          </cell>
        </row>
        <row r="1060">
          <cell r="E1060">
            <v>0</v>
          </cell>
          <cell r="H1060">
            <v>0</v>
          </cell>
        </row>
        <row r="1061">
          <cell r="E1061">
            <v>0</v>
          </cell>
          <cell r="H1061">
            <v>0</v>
          </cell>
        </row>
        <row r="1062">
          <cell r="E1062">
            <v>0</v>
          </cell>
          <cell r="H1062">
            <v>0</v>
          </cell>
        </row>
        <row r="1063">
          <cell r="E1063">
            <v>0</v>
          </cell>
          <cell r="H1063">
            <v>0</v>
          </cell>
        </row>
        <row r="1064">
          <cell r="E1064">
            <v>0</v>
          </cell>
          <cell r="H1064">
            <v>0</v>
          </cell>
        </row>
        <row r="1065">
          <cell r="E1065">
            <v>0</v>
          </cell>
          <cell r="H1065">
            <v>0</v>
          </cell>
        </row>
        <row r="1066">
          <cell r="E1066">
            <v>0</v>
          </cell>
          <cell r="H1066">
            <v>0</v>
          </cell>
        </row>
        <row r="1067">
          <cell r="E1067">
            <v>0</v>
          </cell>
          <cell r="H1067">
            <v>0</v>
          </cell>
        </row>
        <row r="1068">
          <cell r="E1068">
            <v>0</v>
          </cell>
          <cell r="H1068">
            <v>0</v>
          </cell>
        </row>
        <row r="1069">
          <cell r="E1069">
            <v>0</v>
          </cell>
          <cell r="H1069">
            <v>0</v>
          </cell>
        </row>
        <row r="1070">
          <cell r="E1070">
            <v>0</v>
          </cell>
          <cell r="H1070">
            <v>0</v>
          </cell>
        </row>
        <row r="1071">
          <cell r="E1071">
            <v>0</v>
          </cell>
          <cell r="H1071">
            <v>0</v>
          </cell>
        </row>
        <row r="1072">
          <cell r="E1072">
            <v>0</v>
          </cell>
          <cell r="H1072">
            <v>0</v>
          </cell>
        </row>
        <row r="1073">
          <cell r="E1073">
            <v>0</v>
          </cell>
          <cell r="H1073">
            <v>0</v>
          </cell>
        </row>
        <row r="1074">
          <cell r="E1074">
            <v>0</v>
          </cell>
          <cell r="H1074">
            <v>0</v>
          </cell>
        </row>
        <row r="1075">
          <cell r="E1075">
            <v>0</v>
          </cell>
          <cell r="H1075">
            <v>0</v>
          </cell>
        </row>
        <row r="1076">
          <cell r="E1076">
            <v>0</v>
          </cell>
          <cell r="H1076">
            <v>0</v>
          </cell>
        </row>
        <row r="1077">
          <cell r="E1077">
            <v>0</v>
          </cell>
          <cell r="H1077">
            <v>0</v>
          </cell>
        </row>
        <row r="1078">
          <cell r="E1078">
            <v>0</v>
          </cell>
          <cell r="H1078">
            <v>0</v>
          </cell>
        </row>
        <row r="1079">
          <cell r="E1079">
            <v>0</v>
          </cell>
          <cell r="H1079">
            <v>0</v>
          </cell>
        </row>
        <row r="1080">
          <cell r="E1080">
            <v>0</v>
          </cell>
          <cell r="H1080">
            <v>0</v>
          </cell>
        </row>
        <row r="1081">
          <cell r="E1081">
            <v>0</v>
          </cell>
          <cell r="H1081">
            <v>0</v>
          </cell>
        </row>
        <row r="1082">
          <cell r="E1082">
            <v>0</v>
          </cell>
          <cell r="H1082">
            <v>0</v>
          </cell>
        </row>
        <row r="1083">
          <cell r="E1083">
            <v>0</v>
          </cell>
          <cell r="H1083">
            <v>0</v>
          </cell>
        </row>
        <row r="1084">
          <cell r="E1084">
            <v>0</v>
          </cell>
          <cell r="H1084">
            <v>0</v>
          </cell>
        </row>
        <row r="1085">
          <cell r="E1085">
            <v>0</v>
          </cell>
          <cell r="H1085">
            <v>0</v>
          </cell>
        </row>
        <row r="1086">
          <cell r="E1086">
            <v>0</v>
          </cell>
          <cell r="H1086">
            <v>0</v>
          </cell>
        </row>
        <row r="1087">
          <cell r="E1087">
            <v>0</v>
          </cell>
          <cell r="H1087">
            <v>0</v>
          </cell>
        </row>
        <row r="1088">
          <cell r="E1088">
            <v>0</v>
          </cell>
          <cell r="H1088">
            <v>0</v>
          </cell>
        </row>
        <row r="1089">
          <cell r="E1089">
            <v>0</v>
          </cell>
          <cell r="H1089">
            <v>0</v>
          </cell>
        </row>
        <row r="1090">
          <cell r="E1090">
            <v>0</v>
          </cell>
          <cell r="H1090">
            <v>0</v>
          </cell>
        </row>
        <row r="1091">
          <cell r="E1091">
            <v>0</v>
          </cell>
          <cell r="H1091">
            <v>0</v>
          </cell>
        </row>
        <row r="1092">
          <cell r="E1092">
            <v>0</v>
          </cell>
          <cell r="H1092">
            <v>0</v>
          </cell>
        </row>
        <row r="1093">
          <cell r="E1093">
            <v>0</v>
          </cell>
          <cell r="H1093">
            <v>0</v>
          </cell>
        </row>
        <row r="1094">
          <cell r="E1094">
            <v>0</v>
          </cell>
          <cell r="H1094">
            <v>0</v>
          </cell>
        </row>
        <row r="1095">
          <cell r="E1095">
            <v>0</v>
          </cell>
          <cell r="H1095">
            <v>0</v>
          </cell>
        </row>
        <row r="1096">
          <cell r="E1096">
            <v>0</v>
          </cell>
          <cell r="H1096">
            <v>0</v>
          </cell>
        </row>
        <row r="1097">
          <cell r="E1097">
            <v>0</v>
          </cell>
          <cell r="H1097">
            <v>0</v>
          </cell>
        </row>
        <row r="1098">
          <cell r="E1098">
            <v>0</v>
          </cell>
          <cell r="H1098">
            <v>0</v>
          </cell>
        </row>
        <row r="1099">
          <cell r="E1099">
            <v>0</v>
          </cell>
          <cell r="H1099">
            <v>0</v>
          </cell>
        </row>
        <row r="1100">
          <cell r="E1100">
            <v>0</v>
          </cell>
          <cell r="H1100">
            <v>0</v>
          </cell>
        </row>
        <row r="1101">
          <cell r="E1101">
            <v>0</v>
          </cell>
          <cell r="H1101">
            <v>0</v>
          </cell>
        </row>
        <row r="1102">
          <cell r="E1102">
            <v>0</v>
          </cell>
          <cell r="H1102">
            <v>0</v>
          </cell>
        </row>
        <row r="1103">
          <cell r="E1103">
            <v>0</v>
          </cell>
          <cell r="H1103">
            <v>0</v>
          </cell>
        </row>
        <row r="1104">
          <cell r="E1104">
            <v>0</v>
          </cell>
          <cell r="H1104">
            <v>0</v>
          </cell>
        </row>
        <row r="1105">
          <cell r="E1105">
            <v>0</v>
          </cell>
          <cell r="H1105">
            <v>0</v>
          </cell>
        </row>
        <row r="1106">
          <cell r="E1106">
            <v>0</v>
          </cell>
          <cell r="H1106">
            <v>0</v>
          </cell>
        </row>
        <row r="1107">
          <cell r="E1107">
            <v>0</v>
          </cell>
          <cell r="H1107">
            <v>0</v>
          </cell>
        </row>
        <row r="1108">
          <cell r="E1108">
            <v>0</v>
          </cell>
          <cell r="H1108">
            <v>0</v>
          </cell>
        </row>
        <row r="1109">
          <cell r="E1109">
            <v>0</v>
          </cell>
          <cell r="H1109">
            <v>0</v>
          </cell>
        </row>
        <row r="1110">
          <cell r="E1110">
            <v>0</v>
          </cell>
          <cell r="H1110">
            <v>0</v>
          </cell>
        </row>
        <row r="1111">
          <cell r="E1111">
            <v>0</v>
          </cell>
          <cell r="H1111">
            <v>0</v>
          </cell>
        </row>
        <row r="1112">
          <cell r="E1112">
            <v>0</v>
          </cell>
          <cell r="H1112">
            <v>0</v>
          </cell>
        </row>
        <row r="1113">
          <cell r="E1113">
            <v>0</v>
          </cell>
          <cell r="H1113">
            <v>0</v>
          </cell>
        </row>
        <row r="1114">
          <cell r="E1114">
            <v>0</v>
          </cell>
          <cell r="H1114">
            <v>0</v>
          </cell>
        </row>
        <row r="1115">
          <cell r="E1115">
            <v>0</v>
          </cell>
          <cell r="H1115">
            <v>0</v>
          </cell>
        </row>
        <row r="1116">
          <cell r="E1116">
            <v>0</v>
          </cell>
          <cell r="H1116">
            <v>0</v>
          </cell>
        </row>
        <row r="1117">
          <cell r="E1117">
            <v>0</v>
          </cell>
          <cell r="H1117">
            <v>0</v>
          </cell>
        </row>
        <row r="1118">
          <cell r="E1118">
            <v>0</v>
          </cell>
          <cell r="H1118">
            <v>0</v>
          </cell>
        </row>
        <row r="1119">
          <cell r="E1119">
            <v>0</v>
          </cell>
          <cell r="H1119">
            <v>0</v>
          </cell>
        </row>
        <row r="1120">
          <cell r="E1120">
            <v>0</v>
          </cell>
          <cell r="H1120">
            <v>0</v>
          </cell>
        </row>
        <row r="1121">
          <cell r="E1121">
            <v>0</v>
          </cell>
          <cell r="H1121">
            <v>0</v>
          </cell>
        </row>
        <row r="1122">
          <cell r="E1122">
            <v>0</v>
          </cell>
          <cell r="H1122">
            <v>0</v>
          </cell>
        </row>
        <row r="1123">
          <cell r="E1123">
            <v>0</v>
          </cell>
          <cell r="H1123">
            <v>0</v>
          </cell>
        </row>
        <row r="1124">
          <cell r="E1124">
            <v>0</v>
          </cell>
          <cell r="H1124">
            <v>0</v>
          </cell>
        </row>
        <row r="1125">
          <cell r="E1125">
            <v>0</v>
          </cell>
          <cell r="H1125">
            <v>0</v>
          </cell>
        </row>
        <row r="1126">
          <cell r="E1126">
            <v>0</v>
          </cell>
          <cell r="H1126">
            <v>0</v>
          </cell>
        </row>
        <row r="1127">
          <cell r="E1127">
            <v>0</v>
          </cell>
          <cell r="H1127">
            <v>0</v>
          </cell>
        </row>
        <row r="1128">
          <cell r="E1128">
            <v>0</v>
          </cell>
          <cell r="H1128">
            <v>0</v>
          </cell>
        </row>
        <row r="1129">
          <cell r="E1129">
            <v>0</v>
          </cell>
          <cell r="H1129">
            <v>0</v>
          </cell>
        </row>
        <row r="1130">
          <cell r="E1130">
            <v>0</v>
          </cell>
          <cell r="H1130">
            <v>0</v>
          </cell>
        </row>
        <row r="1131">
          <cell r="E1131">
            <v>0</v>
          </cell>
          <cell r="H1131">
            <v>0</v>
          </cell>
        </row>
        <row r="1132">
          <cell r="E1132">
            <v>0</v>
          </cell>
          <cell r="H1132">
            <v>0</v>
          </cell>
        </row>
        <row r="1133">
          <cell r="E1133">
            <v>0</v>
          </cell>
          <cell r="H1133">
            <v>0</v>
          </cell>
        </row>
        <row r="1134">
          <cell r="E1134">
            <v>0</v>
          </cell>
          <cell r="H1134">
            <v>0</v>
          </cell>
        </row>
        <row r="1135">
          <cell r="E1135">
            <v>0</v>
          </cell>
          <cell r="H1135">
            <v>0</v>
          </cell>
        </row>
        <row r="1136">
          <cell r="E1136">
            <v>0</v>
          </cell>
          <cell r="H1136">
            <v>0</v>
          </cell>
        </row>
        <row r="1137">
          <cell r="E1137">
            <v>0</v>
          </cell>
          <cell r="H1137">
            <v>0</v>
          </cell>
        </row>
        <row r="1138">
          <cell r="E1138">
            <v>0</v>
          </cell>
          <cell r="H1138">
            <v>0</v>
          </cell>
        </row>
        <row r="1139">
          <cell r="E1139">
            <v>0</v>
          </cell>
          <cell r="H1139">
            <v>0</v>
          </cell>
        </row>
        <row r="1140">
          <cell r="E1140">
            <v>0</v>
          </cell>
          <cell r="H1140">
            <v>0</v>
          </cell>
        </row>
        <row r="1141">
          <cell r="E1141">
            <v>0</v>
          </cell>
          <cell r="H1141">
            <v>0</v>
          </cell>
        </row>
        <row r="1142">
          <cell r="E1142">
            <v>0</v>
          </cell>
          <cell r="H1142">
            <v>0</v>
          </cell>
        </row>
        <row r="1143">
          <cell r="E1143">
            <v>0</v>
          </cell>
          <cell r="H1143">
            <v>0</v>
          </cell>
        </row>
        <row r="1144">
          <cell r="E1144">
            <v>0</v>
          </cell>
          <cell r="H1144">
            <v>0</v>
          </cell>
        </row>
        <row r="1145">
          <cell r="E1145">
            <v>0</v>
          </cell>
          <cell r="H1145">
            <v>0</v>
          </cell>
        </row>
        <row r="1146">
          <cell r="E1146">
            <v>0</v>
          </cell>
          <cell r="H1146">
            <v>0</v>
          </cell>
        </row>
        <row r="1147">
          <cell r="E1147">
            <v>0</v>
          </cell>
          <cell r="H1147">
            <v>0</v>
          </cell>
        </row>
        <row r="1148">
          <cell r="E1148">
            <v>0</v>
          </cell>
          <cell r="H1148">
            <v>0</v>
          </cell>
        </row>
        <row r="1149">
          <cell r="E1149">
            <v>0</v>
          </cell>
          <cell r="H1149">
            <v>0</v>
          </cell>
        </row>
        <row r="1150">
          <cell r="E1150">
            <v>0</v>
          </cell>
          <cell r="H1150">
            <v>0</v>
          </cell>
        </row>
        <row r="1151">
          <cell r="E1151">
            <v>0</v>
          </cell>
          <cell r="H1151">
            <v>0</v>
          </cell>
        </row>
        <row r="1152">
          <cell r="E1152">
            <v>0</v>
          </cell>
          <cell r="H1152">
            <v>0</v>
          </cell>
        </row>
        <row r="1153">
          <cell r="E1153">
            <v>0</v>
          </cell>
          <cell r="H1153">
            <v>0</v>
          </cell>
        </row>
        <row r="1154">
          <cell r="E1154">
            <v>0</v>
          </cell>
          <cell r="H1154">
            <v>0</v>
          </cell>
        </row>
        <row r="1155">
          <cell r="E1155">
            <v>0</v>
          </cell>
          <cell r="H1155">
            <v>0</v>
          </cell>
        </row>
        <row r="1156">
          <cell r="E1156">
            <v>0</v>
          </cell>
          <cell r="H1156">
            <v>0</v>
          </cell>
        </row>
        <row r="1157">
          <cell r="E1157">
            <v>0</v>
          </cell>
          <cell r="H1157">
            <v>0</v>
          </cell>
        </row>
        <row r="1158">
          <cell r="E1158">
            <v>0</v>
          </cell>
          <cell r="H1158">
            <v>0</v>
          </cell>
        </row>
        <row r="1159">
          <cell r="E1159">
            <v>0</v>
          </cell>
          <cell r="H1159">
            <v>0</v>
          </cell>
        </row>
        <row r="1160">
          <cell r="E1160">
            <v>0</v>
          </cell>
          <cell r="H1160">
            <v>0</v>
          </cell>
        </row>
        <row r="1161">
          <cell r="E1161">
            <v>0</v>
          </cell>
          <cell r="H1161">
            <v>0</v>
          </cell>
        </row>
        <row r="1162">
          <cell r="E1162">
            <v>0</v>
          </cell>
          <cell r="H1162">
            <v>0</v>
          </cell>
        </row>
        <row r="1163">
          <cell r="E1163">
            <v>0</v>
          </cell>
          <cell r="H1163">
            <v>0</v>
          </cell>
        </row>
        <row r="1164">
          <cell r="E1164">
            <v>0</v>
          </cell>
          <cell r="H1164">
            <v>0</v>
          </cell>
        </row>
        <row r="1165">
          <cell r="E1165">
            <v>0</v>
          </cell>
          <cell r="H1165">
            <v>0</v>
          </cell>
        </row>
        <row r="1166">
          <cell r="E1166">
            <v>0</v>
          </cell>
          <cell r="H1166">
            <v>0</v>
          </cell>
        </row>
        <row r="1167">
          <cell r="E1167">
            <v>0</v>
          </cell>
          <cell r="H1167">
            <v>0</v>
          </cell>
        </row>
        <row r="1168">
          <cell r="E1168">
            <v>0</v>
          </cell>
          <cell r="H1168">
            <v>0</v>
          </cell>
        </row>
        <row r="1169">
          <cell r="E1169">
            <v>0</v>
          </cell>
          <cell r="H1169">
            <v>0</v>
          </cell>
        </row>
        <row r="1170">
          <cell r="E1170">
            <v>0</v>
          </cell>
          <cell r="H1170">
            <v>0</v>
          </cell>
        </row>
        <row r="1171">
          <cell r="E1171">
            <v>0</v>
          </cell>
          <cell r="H1171">
            <v>0</v>
          </cell>
        </row>
        <row r="1172">
          <cell r="E1172">
            <v>0</v>
          </cell>
          <cell r="H1172">
            <v>0</v>
          </cell>
        </row>
        <row r="1173">
          <cell r="E1173">
            <v>0</v>
          </cell>
          <cell r="H1173">
            <v>0</v>
          </cell>
        </row>
        <row r="1174">
          <cell r="E1174">
            <v>0</v>
          </cell>
          <cell r="H1174">
            <v>0</v>
          </cell>
        </row>
        <row r="1175">
          <cell r="E1175">
            <v>0</v>
          </cell>
          <cell r="H1175">
            <v>0</v>
          </cell>
        </row>
        <row r="1176">
          <cell r="E1176">
            <v>0</v>
          </cell>
          <cell r="H1176">
            <v>0</v>
          </cell>
        </row>
        <row r="1177">
          <cell r="E1177">
            <v>0</v>
          </cell>
          <cell r="H1177">
            <v>0</v>
          </cell>
        </row>
        <row r="1178">
          <cell r="E1178">
            <v>0</v>
          </cell>
          <cell r="H1178">
            <v>0</v>
          </cell>
        </row>
        <row r="1179">
          <cell r="E1179">
            <v>0</v>
          </cell>
          <cell r="H1179">
            <v>0</v>
          </cell>
        </row>
        <row r="1180">
          <cell r="E1180">
            <v>0</v>
          </cell>
          <cell r="H1180">
            <v>0</v>
          </cell>
        </row>
        <row r="1181">
          <cell r="E1181">
            <v>0</v>
          </cell>
          <cell r="H1181">
            <v>0</v>
          </cell>
        </row>
        <row r="1182">
          <cell r="E1182">
            <v>0</v>
          </cell>
          <cell r="H1182">
            <v>0</v>
          </cell>
        </row>
        <row r="1183">
          <cell r="E1183">
            <v>0</v>
          </cell>
          <cell r="H1183">
            <v>0</v>
          </cell>
        </row>
        <row r="1184">
          <cell r="E1184">
            <v>0</v>
          </cell>
          <cell r="H1184">
            <v>0</v>
          </cell>
        </row>
        <row r="1185">
          <cell r="E1185">
            <v>0</v>
          </cell>
          <cell r="H1185">
            <v>0</v>
          </cell>
        </row>
        <row r="1186">
          <cell r="E1186">
            <v>0</v>
          </cell>
          <cell r="H1186">
            <v>0</v>
          </cell>
        </row>
        <row r="1187">
          <cell r="E1187">
            <v>0</v>
          </cell>
          <cell r="H1187">
            <v>0</v>
          </cell>
        </row>
        <row r="1188">
          <cell r="E1188">
            <v>0</v>
          </cell>
          <cell r="H1188">
            <v>0</v>
          </cell>
        </row>
        <row r="1189">
          <cell r="E1189">
            <v>0</v>
          </cell>
          <cell r="H1189">
            <v>0</v>
          </cell>
        </row>
        <row r="1190">
          <cell r="E1190">
            <v>0</v>
          </cell>
          <cell r="H1190">
            <v>0</v>
          </cell>
        </row>
        <row r="1191">
          <cell r="E1191">
            <v>0</v>
          </cell>
          <cell r="H1191">
            <v>0</v>
          </cell>
        </row>
        <row r="1192">
          <cell r="E1192">
            <v>0</v>
          </cell>
          <cell r="H1192">
            <v>0</v>
          </cell>
        </row>
        <row r="1193">
          <cell r="E1193">
            <v>0</v>
          </cell>
          <cell r="H1193">
            <v>0</v>
          </cell>
        </row>
        <row r="1194">
          <cell r="E1194">
            <v>0</v>
          </cell>
          <cell r="H1194">
            <v>0</v>
          </cell>
        </row>
        <row r="1195">
          <cell r="E1195">
            <v>0</v>
          </cell>
          <cell r="H1195">
            <v>0</v>
          </cell>
        </row>
        <row r="1196">
          <cell r="E1196">
            <v>0</v>
          </cell>
          <cell r="H1196">
            <v>0</v>
          </cell>
        </row>
        <row r="1197">
          <cell r="E1197">
            <v>0</v>
          </cell>
          <cell r="H1197">
            <v>0</v>
          </cell>
        </row>
        <row r="1198">
          <cell r="E1198">
            <v>0</v>
          </cell>
          <cell r="H1198">
            <v>0</v>
          </cell>
        </row>
        <row r="1199">
          <cell r="E1199">
            <v>0</v>
          </cell>
          <cell r="H1199">
            <v>0</v>
          </cell>
        </row>
        <row r="1200">
          <cell r="E1200">
            <v>0</v>
          </cell>
          <cell r="H1200">
            <v>0</v>
          </cell>
        </row>
        <row r="1201">
          <cell r="E1201">
            <v>0</v>
          </cell>
          <cell r="H1201">
            <v>0</v>
          </cell>
        </row>
        <row r="1202">
          <cell r="E1202">
            <v>0</v>
          </cell>
          <cell r="H1202">
            <v>0</v>
          </cell>
        </row>
        <row r="1203">
          <cell r="E1203">
            <v>0</v>
          </cell>
          <cell r="H1203">
            <v>0</v>
          </cell>
        </row>
        <row r="1204">
          <cell r="E1204">
            <v>0</v>
          </cell>
          <cell r="H1204">
            <v>0</v>
          </cell>
        </row>
        <row r="1205">
          <cell r="E1205">
            <v>0</v>
          </cell>
          <cell r="H1205">
            <v>0</v>
          </cell>
        </row>
        <row r="1206">
          <cell r="E1206">
            <v>0</v>
          </cell>
          <cell r="H1206">
            <v>0</v>
          </cell>
        </row>
        <row r="1207">
          <cell r="E1207">
            <v>0</v>
          </cell>
          <cell r="H1207">
            <v>0</v>
          </cell>
        </row>
        <row r="1208">
          <cell r="E1208">
            <v>0</v>
          </cell>
          <cell r="H1208">
            <v>0</v>
          </cell>
        </row>
        <row r="1209">
          <cell r="E1209">
            <v>0</v>
          </cell>
          <cell r="H1209">
            <v>0</v>
          </cell>
        </row>
        <row r="1210">
          <cell r="E1210">
            <v>0</v>
          </cell>
          <cell r="H1210">
            <v>0</v>
          </cell>
        </row>
        <row r="1211">
          <cell r="E1211">
            <v>0</v>
          </cell>
          <cell r="H1211">
            <v>0</v>
          </cell>
        </row>
        <row r="1212">
          <cell r="E1212">
            <v>0</v>
          </cell>
          <cell r="H1212">
            <v>0</v>
          </cell>
        </row>
        <row r="1213">
          <cell r="E1213">
            <v>0</v>
          </cell>
          <cell r="H1213">
            <v>0</v>
          </cell>
        </row>
        <row r="1214">
          <cell r="E1214">
            <v>0</v>
          </cell>
          <cell r="H1214">
            <v>0</v>
          </cell>
        </row>
        <row r="1215">
          <cell r="E1215">
            <v>0</v>
          </cell>
          <cell r="H1215">
            <v>0</v>
          </cell>
        </row>
        <row r="1216">
          <cell r="E1216">
            <v>0</v>
          </cell>
          <cell r="H1216">
            <v>0</v>
          </cell>
        </row>
        <row r="1217">
          <cell r="E1217">
            <v>0</v>
          </cell>
          <cell r="H1217">
            <v>0</v>
          </cell>
        </row>
        <row r="1218">
          <cell r="E1218">
            <v>0</v>
          </cell>
          <cell r="H1218">
            <v>0</v>
          </cell>
        </row>
        <row r="1219">
          <cell r="E1219">
            <v>0</v>
          </cell>
          <cell r="H1219">
            <v>0</v>
          </cell>
        </row>
        <row r="1220">
          <cell r="E1220">
            <v>0</v>
          </cell>
          <cell r="H1220">
            <v>0</v>
          </cell>
        </row>
        <row r="1221">
          <cell r="E1221">
            <v>0</v>
          </cell>
          <cell r="H1221">
            <v>0</v>
          </cell>
        </row>
        <row r="1222">
          <cell r="E1222">
            <v>0</v>
          </cell>
          <cell r="H1222">
            <v>0</v>
          </cell>
        </row>
        <row r="1223">
          <cell r="E1223">
            <v>0</v>
          </cell>
          <cell r="H1223">
            <v>0</v>
          </cell>
        </row>
        <row r="1224">
          <cell r="E1224">
            <v>0</v>
          </cell>
          <cell r="H1224">
            <v>0</v>
          </cell>
        </row>
        <row r="1225">
          <cell r="E1225">
            <v>0</v>
          </cell>
          <cell r="H1225">
            <v>0</v>
          </cell>
        </row>
        <row r="1226">
          <cell r="E1226">
            <v>0</v>
          </cell>
          <cell r="H1226">
            <v>0</v>
          </cell>
        </row>
        <row r="1227">
          <cell r="E1227">
            <v>0</v>
          </cell>
          <cell r="H1227">
            <v>0</v>
          </cell>
        </row>
        <row r="1228">
          <cell r="E1228">
            <v>0</v>
          </cell>
          <cell r="H1228">
            <v>0</v>
          </cell>
        </row>
        <row r="1229">
          <cell r="E1229">
            <v>0</v>
          </cell>
          <cell r="H1229">
            <v>0</v>
          </cell>
        </row>
        <row r="1230">
          <cell r="E1230">
            <v>0</v>
          </cell>
          <cell r="H1230">
            <v>0</v>
          </cell>
        </row>
        <row r="1231">
          <cell r="E1231">
            <v>0</v>
          </cell>
          <cell r="H1231">
            <v>0</v>
          </cell>
        </row>
        <row r="1232">
          <cell r="E1232">
            <v>0</v>
          </cell>
          <cell r="H1232">
            <v>0</v>
          </cell>
        </row>
        <row r="1233">
          <cell r="E1233">
            <v>0</v>
          </cell>
          <cell r="H1233">
            <v>0</v>
          </cell>
        </row>
        <row r="1234">
          <cell r="E1234">
            <v>0</v>
          </cell>
          <cell r="H1234">
            <v>0</v>
          </cell>
        </row>
        <row r="1235">
          <cell r="E1235">
            <v>0</v>
          </cell>
          <cell r="H1235">
            <v>0</v>
          </cell>
        </row>
        <row r="1236">
          <cell r="E1236">
            <v>0</v>
          </cell>
          <cell r="H1236">
            <v>0</v>
          </cell>
        </row>
        <row r="1237">
          <cell r="E1237">
            <v>0</v>
          </cell>
          <cell r="H1237">
            <v>0</v>
          </cell>
        </row>
        <row r="1238">
          <cell r="E1238">
            <v>0</v>
          </cell>
          <cell r="H1238">
            <v>0</v>
          </cell>
        </row>
        <row r="1239">
          <cell r="E1239">
            <v>0</v>
          </cell>
          <cell r="H1239">
            <v>0</v>
          </cell>
        </row>
        <row r="1240">
          <cell r="E1240">
            <v>0</v>
          </cell>
          <cell r="H1240">
            <v>0</v>
          </cell>
        </row>
        <row r="1241">
          <cell r="E1241">
            <v>0</v>
          </cell>
          <cell r="H1241">
            <v>0</v>
          </cell>
        </row>
        <row r="1242">
          <cell r="E1242">
            <v>0</v>
          </cell>
          <cell r="H1242">
            <v>0</v>
          </cell>
        </row>
        <row r="1243">
          <cell r="E1243">
            <v>0</v>
          </cell>
          <cell r="H1243">
            <v>0</v>
          </cell>
        </row>
        <row r="1244">
          <cell r="E1244">
            <v>0</v>
          </cell>
          <cell r="H1244">
            <v>0</v>
          </cell>
        </row>
        <row r="1245">
          <cell r="E1245">
            <v>0</v>
          </cell>
          <cell r="H1245">
            <v>0</v>
          </cell>
        </row>
        <row r="1246">
          <cell r="E1246">
            <v>0</v>
          </cell>
          <cell r="H1246">
            <v>0</v>
          </cell>
        </row>
        <row r="1247">
          <cell r="E1247">
            <v>0</v>
          </cell>
          <cell r="H1247">
            <v>0</v>
          </cell>
        </row>
        <row r="1248">
          <cell r="E1248">
            <v>0</v>
          </cell>
          <cell r="H1248">
            <v>0</v>
          </cell>
        </row>
        <row r="1249">
          <cell r="E1249">
            <v>0</v>
          </cell>
          <cell r="H1249">
            <v>0</v>
          </cell>
        </row>
        <row r="1250">
          <cell r="E1250">
            <v>0</v>
          </cell>
          <cell r="H1250">
            <v>0</v>
          </cell>
        </row>
        <row r="1251">
          <cell r="E1251">
            <v>0</v>
          </cell>
          <cell r="H1251">
            <v>0</v>
          </cell>
        </row>
        <row r="1252">
          <cell r="E1252">
            <v>0</v>
          </cell>
          <cell r="H1252">
            <v>0</v>
          </cell>
        </row>
        <row r="1253">
          <cell r="E1253">
            <v>0</v>
          </cell>
          <cell r="H1253">
            <v>0</v>
          </cell>
        </row>
        <row r="1254">
          <cell r="E1254">
            <v>0</v>
          </cell>
          <cell r="H1254">
            <v>0</v>
          </cell>
        </row>
        <row r="1255">
          <cell r="E1255">
            <v>0</v>
          </cell>
          <cell r="H1255">
            <v>0</v>
          </cell>
        </row>
        <row r="1256">
          <cell r="E1256">
            <v>0</v>
          </cell>
          <cell r="H1256">
            <v>0</v>
          </cell>
        </row>
        <row r="1257">
          <cell r="E1257">
            <v>0</v>
          </cell>
          <cell r="H1257">
            <v>0</v>
          </cell>
        </row>
        <row r="1258">
          <cell r="E1258">
            <v>0</v>
          </cell>
          <cell r="H1258">
            <v>0</v>
          </cell>
        </row>
        <row r="1259">
          <cell r="E1259">
            <v>0</v>
          </cell>
          <cell r="H1259">
            <v>0</v>
          </cell>
        </row>
        <row r="1260">
          <cell r="E1260">
            <v>0</v>
          </cell>
          <cell r="H1260">
            <v>0</v>
          </cell>
        </row>
        <row r="1261">
          <cell r="E1261">
            <v>0</v>
          </cell>
          <cell r="H1261">
            <v>0</v>
          </cell>
        </row>
        <row r="1262">
          <cell r="E1262">
            <v>0</v>
          </cell>
          <cell r="H1262">
            <v>0</v>
          </cell>
        </row>
        <row r="1263">
          <cell r="E1263">
            <v>0</v>
          </cell>
          <cell r="H1263">
            <v>0</v>
          </cell>
        </row>
        <row r="1264">
          <cell r="E1264">
            <v>0</v>
          </cell>
          <cell r="H1264">
            <v>0</v>
          </cell>
        </row>
        <row r="1265">
          <cell r="E1265">
            <v>0</v>
          </cell>
          <cell r="H1265">
            <v>0</v>
          </cell>
        </row>
        <row r="1266">
          <cell r="E1266">
            <v>0</v>
          </cell>
          <cell r="H1266">
            <v>0</v>
          </cell>
        </row>
        <row r="1267">
          <cell r="E1267">
            <v>0</v>
          </cell>
          <cell r="H1267">
            <v>0</v>
          </cell>
        </row>
        <row r="1268">
          <cell r="E1268">
            <v>0</v>
          </cell>
          <cell r="H1268">
            <v>0</v>
          </cell>
        </row>
        <row r="1269">
          <cell r="E1269">
            <v>0</v>
          </cell>
          <cell r="H1269">
            <v>0</v>
          </cell>
        </row>
        <row r="1270">
          <cell r="E1270">
            <v>0</v>
          </cell>
          <cell r="H1270">
            <v>0</v>
          </cell>
        </row>
        <row r="1271">
          <cell r="E1271">
            <v>0</v>
          </cell>
          <cell r="H1271">
            <v>0</v>
          </cell>
        </row>
        <row r="1272">
          <cell r="E1272">
            <v>0</v>
          </cell>
          <cell r="H1272">
            <v>0</v>
          </cell>
        </row>
        <row r="1273">
          <cell r="E1273">
            <v>0</v>
          </cell>
          <cell r="H1273">
            <v>0</v>
          </cell>
        </row>
        <row r="1274">
          <cell r="E1274">
            <v>0</v>
          </cell>
          <cell r="H1274">
            <v>0</v>
          </cell>
        </row>
        <row r="1275">
          <cell r="E1275">
            <v>0</v>
          </cell>
          <cell r="H1275">
            <v>0</v>
          </cell>
        </row>
        <row r="1276">
          <cell r="E1276">
            <v>0</v>
          </cell>
          <cell r="H1276">
            <v>0</v>
          </cell>
        </row>
        <row r="1277">
          <cell r="E1277">
            <v>0</v>
          </cell>
          <cell r="H1277">
            <v>0</v>
          </cell>
        </row>
        <row r="1278">
          <cell r="E1278">
            <v>0</v>
          </cell>
          <cell r="H1278">
            <v>0</v>
          </cell>
        </row>
        <row r="1279">
          <cell r="E1279">
            <v>0</v>
          </cell>
          <cell r="H1279">
            <v>0</v>
          </cell>
        </row>
        <row r="1280">
          <cell r="E1280">
            <v>0</v>
          </cell>
          <cell r="H1280">
            <v>0</v>
          </cell>
        </row>
        <row r="1281">
          <cell r="E1281">
            <v>0</v>
          </cell>
          <cell r="H1281">
            <v>0</v>
          </cell>
        </row>
        <row r="1282">
          <cell r="E1282">
            <v>0</v>
          </cell>
          <cell r="H1282">
            <v>0</v>
          </cell>
        </row>
        <row r="1283">
          <cell r="E1283">
            <v>0</v>
          </cell>
          <cell r="H1283">
            <v>0</v>
          </cell>
        </row>
        <row r="1284">
          <cell r="E1284">
            <v>0</v>
          </cell>
          <cell r="H1284">
            <v>0</v>
          </cell>
        </row>
        <row r="1285">
          <cell r="E1285">
            <v>0</v>
          </cell>
          <cell r="H1285">
            <v>0</v>
          </cell>
        </row>
        <row r="1286">
          <cell r="E1286">
            <v>0</v>
          </cell>
          <cell r="H1286">
            <v>0</v>
          </cell>
        </row>
        <row r="1287">
          <cell r="E1287">
            <v>0</v>
          </cell>
          <cell r="H1287">
            <v>0</v>
          </cell>
        </row>
        <row r="1288">
          <cell r="E1288">
            <v>0</v>
          </cell>
          <cell r="H1288">
            <v>0</v>
          </cell>
        </row>
        <row r="1289">
          <cell r="E1289">
            <v>0</v>
          </cell>
          <cell r="H1289">
            <v>0</v>
          </cell>
        </row>
        <row r="1290">
          <cell r="E1290">
            <v>0</v>
          </cell>
          <cell r="H1290">
            <v>0</v>
          </cell>
        </row>
        <row r="1291">
          <cell r="E1291">
            <v>0</v>
          </cell>
          <cell r="H1291">
            <v>0</v>
          </cell>
        </row>
        <row r="1292">
          <cell r="E1292">
            <v>0</v>
          </cell>
          <cell r="H1292">
            <v>0</v>
          </cell>
        </row>
        <row r="1293">
          <cell r="E1293">
            <v>0</v>
          </cell>
          <cell r="H1293">
            <v>0</v>
          </cell>
        </row>
        <row r="1294">
          <cell r="E1294">
            <v>0</v>
          </cell>
          <cell r="H1294">
            <v>0</v>
          </cell>
        </row>
        <row r="1295">
          <cell r="E1295">
            <v>0</v>
          </cell>
          <cell r="H1295">
            <v>0</v>
          </cell>
        </row>
        <row r="1296">
          <cell r="E1296">
            <v>0</v>
          </cell>
          <cell r="H1296">
            <v>0</v>
          </cell>
        </row>
        <row r="1297">
          <cell r="E1297">
            <v>0</v>
          </cell>
          <cell r="H1297">
            <v>0</v>
          </cell>
        </row>
        <row r="1298">
          <cell r="E1298">
            <v>0</v>
          </cell>
          <cell r="H1298">
            <v>0</v>
          </cell>
        </row>
        <row r="1299">
          <cell r="E1299">
            <v>0</v>
          </cell>
          <cell r="H1299">
            <v>0</v>
          </cell>
        </row>
        <row r="1300">
          <cell r="E1300">
            <v>0</v>
          </cell>
          <cell r="H1300">
            <v>0</v>
          </cell>
        </row>
        <row r="1301">
          <cell r="E1301">
            <v>0</v>
          </cell>
          <cell r="H1301">
            <v>0</v>
          </cell>
        </row>
        <row r="1302">
          <cell r="E1302">
            <v>0</v>
          </cell>
          <cell r="H1302">
            <v>0</v>
          </cell>
        </row>
        <row r="1303">
          <cell r="E1303">
            <v>0</v>
          </cell>
          <cell r="H1303">
            <v>0</v>
          </cell>
        </row>
        <row r="1304">
          <cell r="E1304">
            <v>0</v>
          </cell>
          <cell r="H1304">
            <v>0</v>
          </cell>
        </row>
        <row r="1305">
          <cell r="E1305">
            <v>0</v>
          </cell>
          <cell r="H1305">
            <v>0</v>
          </cell>
        </row>
        <row r="1306">
          <cell r="E1306">
            <v>0</v>
          </cell>
          <cell r="H1306">
            <v>0</v>
          </cell>
        </row>
        <row r="1307">
          <cell r="E1307">
            <v>0</v>
          </cell>
          <cell r="H1307">
            <v>0</v>
          </cell>
        </row>
        <row r="1308">
          <cell r="E1308">
            <v>0</v>
          </cell>
          <cell r="H1308">
            <v>0</v>
          </cell>
        </row>
        <row r="1309">
          <cell r="E1309">
            <v>0</v>
          </cell>
          <cell r="H1309">
            <v>0</v>
          </cell>
        </row>
        <row r="1310">
          <cell r="E1310">
            <v>0</v>
          </cell>
          <cell r="H1310">
            <v>0</v>
          </cell>
        </row>
        <row r="1311">
          <cell r="E1311">
            <v>0</v>
          </cell>
          <cell r="H1311">
            <v>0</v>
          </cell>
        </row>
        <row r="1312">
          <cell r="E1312">
            <v>0</v>
          </cell>
          <cell r="H1312">
            <v>0</v>
          </cell>
        </row>
        <row r="1313">
          <cell r="E1313">
            <v>0</v>
          </cell>
          <cell r="H1313">
            <v>0</v>
          </cell>
        </row>
        <row r="1314">
          <cell r="E1314">
            <v>0</v>
          </cell>
          <cell r="H1314">
            <v>0</v>
          </cell>
        </row>
        <row r="1315">
          <cell r="E1315">
            <v>0</v>
          </cell>
          <cell r="H1315">
            <v>0</v>
          </cell>
        </row>
        <row r="1316">
          <cell r="E1316">
            <v>0</v>
          </cell>
          <cell r="H1316">
            <v>0</v>
          </cell>
        </row>
        <row r="1317">
          <cell r="E1317">
            <v>0</v>
          </cell>
          <cell r="H1317">
            <v>0</v>
          </cell>
        </row>
        <row r="1318">
          <cell r="E1318">
            <v>0</v>
          </cell>
          <cell r="H1318">
            <v>0</v>
          </cell>
        </row>
        <row r="1319">
          <cell r="E1319">
            <v>0</v>
          </cell>
          <cell r="H1319">
            <v>0</v>
          </cell>
        </row>
        <row r="1320">
          <cell r="E1320">
            <v>0</v>
          </cell>
          <cell r="H1320">
            <v>0</v>
          </cell>
        </row>
        <row r="1321">
          <cell r="E1321">
            <v>0</v>
          </cell>
          <cell r="H1321">
            <v>0</v>
          </cell>
        </row>
        <row r="1322">
          <cell r="E1322">
            <v>0</v>
          </cell>
          <cell r="H1322">
            <v>0</v>
          </cell>
        </row>
        <row r="1323">
          <cell r="E1323">
            <v>0</v>
          </cell>
          <cell r="H1323">
            <v>0</v>
          </cell>
        </row>
        <row r="1324">
          <cell r="E1324">
            <v>0</v>
          </cell>
          <cell r="H1324">
            <v>0</v>
          </cell>
        </row>
        <row r="1325">
          <cell r="E1325">
            <v>0</v>
          </cell>
          <cell r="H1325">
            <v>0</v>
          </cell>
        </row>
        <row r="1326">
          <cell r="E1326">
            <v>0</v>
          </cell>
          <cell r="H1326">
            <v>0</v>
          </cell>
        </row>
        <row r="1327">
          <cell r="E1327">
            <v>0</v>
          </cell>
          <cell r="H1327">
            <v>0</v>
          </cell>
        </row>
        <row r="1328">
          <cell r="E1328">
            <v>0</v>
          </cell>
          <cell r="H1328">
            <v>0</v>
          </cell>
        </row>
        <row r="1329">
          <cell r="E1329">
            <v>0</v>
          </cell>
          <cell r="H1329">
            <v>0</v>
          </cell>
        </row>
        <row r="1330">
          <cell r="E1330">
            <v>0</v>
          </cell>
          <cell r="H1330">
            <v>0</v>
          </cell>
        </row>
        <row r="1331">
          <cell r="E1331">
            <v>0</v>
          </cell>
          <cell r="H1331">
            <v>0</v>
          </cell>
        </row>
        <row r="1332">
          <cell r="E1332">
            <v>0</v>
          </cell>
          <cell r="H1332">
            <v>0</v>
          </cell>
        </row>
        <row r="1333">
          <cell r="E1333">
            <v>0</v>
          </cell>
          <cell r="H1333">
            <v>0</v>
          </cell>
        </row>
        <row r="1334">
          <cell r="E1334">
            <v>0</v>
          </cell>
          <cell r="H1334">
            <v>0</v>
          </cell>
        </row>
        <row r="1335">
          <cell r="E1335">
            <v>0</v>
          </cell>
          <cell r="H1335">
            <v>0</v>
          </cell>
        </row>
        <row r="1336">
          <cell r="E1336">
            <v>0</v>
          </cell>
          <cell r="H1336">
            <v>0</v>
          </cell>
        </row>
        <row r="1337">
          <cell r="E1337">
            <v>0</v>
          </cell>
          <cell r="H1337">
            <v>0</v>
          </cell>
        </row>
        <row r="1338">
          <cell r="E1338">
            <v>0</v>
          </cell>
          <cell r="H1338">
            <v>0</v>
          </cell>
        </row>
        <row r="1339">
          <cell r="E1339">
            <v>0</v>
          </cell>
          <cell r="H1339">
            <v>0</v>
          </cell>
        </row>
        <row r="1340">
          <cell r="E1340">
            <v>0</v>
          </cell>
          <cell r="H1340">
            <v>0</v>
          </cell>
        </row>
        <row r="1341">
          <cell r="E1341">
            <v>0</v>
          </cell>
          <cell r="H1341">
            <v>0</v>
          </cell>
        </row>
        <row r="1342">
          <cell r="E1342">
            <v>0</v>
          </cell>
          <cell r="H1342">
            <v>0</v>
          </cell>
        </row>
        <row r="1343">
          <cell r="E1343">
            <v>0</v>
          </cell>
          <cell r="H1343">
            <v>0</v>
          </cell>
        </row>
        <row r="1344">
          <cell r="E1344">
            <v>0</v>
          </cell>
          <cell r="H1344">
            <v>0</v>
          </cell>
        </row>
        <row r="1345">
          <cell r="E1345">
            <v>0</v>
          </cell>
          <cell r="H1345">
            <v>0</v>
          </cell>
        </row>
        <row r="1346">
          <cell r="E1346">
            <v>0</v>
          </cell>
          <cell r="H1346">
            <v>0</v>
          </cell>
        </row>
        <row r="1347">
          <cell r="E1347">
            <v>0</v>
          </cell>
          <cell r="H1347">
            <v>0</v>
          </cell>
        </row>
        <row r="1348">
          <cell r="E1348">
            <v>0</v>
          </cell>
          <cell r="H1348">
            <v>0</v>
          </cell>
        </row>
        <row r="1349">
          <cell r="E1349">
            <v>0</v>
          </cell>
          <cell r="H1349">
            <v>0</v>
          </cell>
        </row>
        <row r="1350">
          <cell r="E1350">
            <v>0</v>
          </cell>
          <cell r="H1350">
            <v>0</v>
          </cell>
        </row>
        <row r="1351">
          <cell r="E1351">
            <v>0</v>
          </cell>
          <cell r="H1351">
            <v>0</v>
          </cell>
        </row>
        <row r="1352">
          <cell r="E1352">
            <v>0</v>
          </cell>
          <cell r="H1352">
            <v>0</v>
          </cell>
        </row>
        <row r="1353">
          <cell r="E1353">
            <v>0</v>
          </cell>
          <cell r="H1353">
            <v>0</v>
          </cell>
        </row>
        <row r="1354">
          <cell r="E1354">
            <v>0</v>
          </cell>
          <cell r="H1354">
            <v>0</v>
          </cell>
        </row>
        <row r="1355">
          <cell r="E1355">
            <v>0</v>
          </cell>
          <cell r="H1355">
            <v>0</v>
          </cell>
        </row>
        <row r="1356">
          <cell r="E1356">
            <v>0</v>
          </cell>
          <cell r="H1356">
            <v>0</v>
          </cell>
        </row>
        <row r="1357">
          <cell r="E1357">
            <v>0</v>
          </cell>
          <cell r="H1357">
            <v>0</v>
          </cell>
        </row>
        <row r="1358">
          <cell r="E1358">
            <v>0</v>
          </cell>
          <cell r="H1358">
            <v>0</v>
          </cell>
        </row>
        <row r="1359">
          <cell r="E1359">
            <v>0</v>
          </cell>
          <cell r="H1359">
            <v>0</v>
          </cell>
        </row>
        <row r="1360">
          <cell r="E1360">
            <v>0</v>
          </cell>
          <cell r="H1360">
            <v>0</v>
          </cell>
        </row>
        <row r="1361">
          <cell r="E1361">
            <v>0</v>
          </cell>
          <cell r="H1361">
            <v>0</v>
          </cell>
        </row>
        <row r="1362">
          <cell r="E1362">
            <v>0</v>
          </cell>
          <cell r="H1362">
            <v>0</v>
          </cell>
        </row>
        <row r="1363">
          <cell r="E1363">
            <v>0</v>
          </cell>
          <cell r="H1363">
            <v>0</v>
          </cell>
        </row>
        <row r="1364">
          <cell r="E1364">
            <v>0</v>
          </cell>
          <cell r="H1364">
            <v>0</v>
          </cell>
        </row>
        <row r="1365">
          <cell r="E1365">
            <v>0</v>
          </cell>
          <cell r="H1365">
            <v>0</v>
          </cell>
        </row>
        <row r="1366">
          <cell r="E1366">
            <v>0</v>
          </cell>
          <cell r="H1366">
            <v>0</v>
          </cell>
        </row>
        <row r="1367">
          <cell r="E1367">
            <v>0</v>
          </cell>
          <cell r="H1367">
            <v>0</v>
          </cell>
        </row>
        <row r="1368">
          <cell r="E1368">
            <v>0</v>
          </cell>
          <cell r="H1368">
            <v>0</v>
          </cell>
        </row>
        <row r="1369">
          <cell r="E1369">
            <v>0</v>
          </cell>
          <cell r="H1369">
            <v>0</v>
          </cell>
        </row>
        <row r="1370">
          <cell r="E1370">
            <v>0</v>
          </cell>
          <cell r="H1370">
            <v>0</v>
          </cell>
        </row>
        <row r="1371">
          <cell r="E1371">
            <v>0</v>
          </cell>
          <cell r="H1371">
            <v>0</v>
          </cell>
        </row>
        <row r="1372">
          <cell r="E1372">
            <v>0</v>
          </cell>
          <cell r="H1372">
            <v>0</v>
          </cell>
        </row>
        <row r="1373">
          <cell r="E1373">
            <v>0</v>
          </cell>
          <cell r="H1373">
            <v>0</v>
          </cell>
        </row>
        <row r="1374">
          <cell r="E1374">
            <v>0</v>
          </cell>
          <cell r="H1374">
            <v>0</v>
          </cell>
        </row>
        <row r="1375">
          <cell r="E1375">
            <v>0</v>
          </cell>
          <cell r="H1375">
            <v>0</v>
          </cell>
        </row>
        <row r="1376">
          <cell r="E1376">
            <v>0</v>
          </cell>
          <cell r="H1376">
            <v>0</v>
          </cell>
        </row>
        <row r="1377">
          <cell r="E1377">
            <v>0</v>
          </cell>
          <cell r="H1377">
            <v>0</v>
          </cell>
        </row>
        <row r="1378">
          <cell r="E1378">
            <v>0</v>
          </cell>
          <cell r="H1378">
            <v>0</v>
          </cell>
        </row>
        <row r="1379">
          <cell r="E1379">
            <v>0</v>
          </cell>
          <cell r="H1379">
            <v>0</v>
          </cell>
        </row>
        <row r="1380">
          <cell r="E1380">
            <v>0</v>
          </cell>
          <cell r="H1380">
            <v>0</v>
          </cell>
        </row>
        <row r="1381">
          <cell r="E1381">
            <v>0</v>
          </cell>
          <cell r="H1381">
            <v>0</v>
          </cell>
        </row>
        <row r="1382">
          <cell r="E1382">
            <v>0</v>
          </cell>
          <cell r="H1382">
            <v>0</v>
          </cell>
        </row>
        <row r="1383">
          <cell r="E1383">
            <v>0</v>
          </cell>
          <cell r="H1383">
            <v>0</v>
          </cell>
        </row>
        <row r="1384">
          <cell r="E1384">
            <v>0</v>
          </cell>
          <cell r="H1384">
            <v>0</v>
          </cell>
        </row>
        <row r="1385">
          <cell r="E1385">
            <v>0</v>
          </cell>
          <cell r="H1385">
            <v>0</v>
          </cell>
        </row>
        <row r="1386">
          <cell r="E1386">
            <v>0</v>
          </cell>
          <cell r="H1386">
            <v>0</v>
          </cell>
        </row>
        <row r="1387">
          <cell r="E1387">
            <v>0</v>
          </cell>
          <cell r="H1387">
            <v>0</v>
          </cell>
        </row>
        <row r="1388">
          <cell r="E1388">
            <v>0</v>
          </cell>
          <cell r="H1388">
            <v>0</v>
          </cell>
        </row>
        <row r="1389">
          <cell r="E1389">
            <v>0</v>
          </cell>
          <cell r="H1389">
            <v>0</v>
          </cell>
        </row>
        <row r="1390">
          <cell r="E1390">
            <v>0</v>
          </cell>
          <cell r="H1390">
            <v>0</v>
          </cell>
        </row>
        <row r="1391">
          <cell r="E1391">
            <v>0</v>
          </cell>
          <cell r="H1391">
            <v>0</v>
          </cell>
        </row>
        <row r="1392">
          <cell r="E1392">
            <v>0</v>
          </cell>
          <cell r="H1392">
            <v>0</v>
          </cell>
        </row>
        <row r="1393">
          <cell r="E1393">
            <v>0</v>
          </cell>
          <cell r="H1393">
            <v>0</v>
          </cell>
        </row>
        <row r="1394">
          <cell r="E1394">
            <v>0</v>
          </cell>
          <cell r="H1394">
            <v>0</v>
          </cell>
        </row>
        <row r="1395">
          <cell r="E1395">
            <v>0</v>
          </cell>
          <cell r="H1395">
            <v>0</v>
          </cell>
        </row>
        <row r="1396">
          <cell r="E1396">
            <v>0</v>
          </cell>
          <cell r="H1396">
            <v>0</v>
          </cell>
        </row>
        <row r="1397">
          <cell r="E1397">
            <v>0</v>
          </cell>
          <cell r="H1397">
            <v>0</v>
          </cell>
        </row>
        <row r="1398">
          <cell r="E1398">
            <v>0</v>
          </cell>
          <cell r="H1398">
            <v>0</v>
          </cell>
        </row>
        <row r="1399">
          <cell r="E1399">
            <v>0</v>
          </cell>
          <cell r="H1399">
            <v>0</v>
          </cell>
        </row>
        <row r="1400">
          <cell r="E1400">
            <v>0</v>
          </cell>
          <cell r="H1400">
            <v>0</v>
          </cell>
        </row>
        <row r="1401">
          <cell r="E1401">
            <v>0</v>
          </cell>
          <cell r="H1401">
            <v>0</v>
          </cell>
        </row>
        <row r="1402">
          <cell r="E1402">
            <v>0</v>
          </cell>
          <cell r="H1402">
            <v>0</v>
          </cell>
        </row>
        <row r="1403">
          <cell r="E1403">
            <v>0</v>
          </cell>
          <cell r="H1403">
            <v>0</v>
          </cell>
        </row>
        <row r="1404">
          <cell r="E1404">
            <v>0</v>
          </cell>
          <cell r="H1404">
            <v>0</v>
          </cell>
        </row>
        <row r="1405">
          <cell r="E1405">
            <v>0</v>
          </cell>
          <cell r="H1405">
            <v>0</v>
          </cell>
        </row>
        <row r="1406">
          <cell r="E1406">
            <v>0</v>
          </cell>
          <cell r="H1406">
            <v>0</v>
          </cell>
        </row>
        <row r="1407">
          <cell r="E1407">
            <v>0</v>
          </cell>
          <cell r="H1407">
            <v>0</v>
          </cell>
        </row>
        <row r="1408">
          <cell r="E1408">
            <v>0</v>
          </cell>
          <cell r="H1408">
            <v>0</v>
          </cell>
        </row>
        <row r="1409">
          <cell r="E1409">
            <v>0</v>
          </cell>
          <cell r="H1409">
            <v>0</v>
          </cell>
        </row>
        <row r="1410">
          <cell r="E1410">
            <v>0</v>
          </cell>
          <cell r="H1410">
            <v>0</v>
          </cell>
        </row>
        <row r="1411">
          <cell r="E1411">
            <v>0</v>
          </cell>
          <cell r="H1411">
            <v>0</v>
          </cell>
        </row>
        <row r="1412">
          <cell r="E1412">
            <v>0</v>
          </cell>
          <cell r="H1412">
            <v>0</v>
          </cell>
        </row>
        <row r="1413">
          <cell r="E1413">
            <v>0</v>
          </cell>
          <cell r="H1413">
            <v>0</v>
          </cell>
        </row>
        <row r="1414">
          <cell r="E1414">
            <v>0</v>
          </cell>
          <cell r="H1414">
            <v>0</v>
          </cell>
        </row>
        <row r="1415">
          <cell r="E1415">
            <v>0</v>
          </cell>
          <cell r="H1415">
            <v>0</v>
          </cell>
        </row>
        <row r="1416">
          <cell r="E1416">
            <v>0</v>
          </cell>
          <cell r="H1416">
            <v>0</v>
          </cell>
        </row>
        <row r="1417">
          <cell r="E1417">
            <v>0</v>
          </cell>
          <cell r="H1417">
            <v>0</v>
          </cell>
        </row>
        <row r="1418">
          <cell r="E1418">
            <v>0</v>
          </cell>
          <cell r="H1418">
            <v>0</v>
          </cell>
        </row>
        <row r="1419">
          <cell r="E1419">
            <v>0</v>
          </cell>
          <cell r="H1419">
            <v>0</v>
          </cell>
        </row>
        <row r="1420">
          <cell r="E1420">
            <v>0</v>
          </cell>
          <cell r="H1420">
            <v>0</v>
          </cell>
        </row>
        <row r="1421">
          <cell r="E1421">
            <v>0</v>
          </cell>
          <cell r="H1421">
            <v>0</v>
          </cell>
        </row>
        <row r="1422">
          <cell r="E1422">
            <v>0</v>
          </cell>
          <cell r="H1422">
            <v>0</v>
          </cell>
        </row>
        <row r="1423">
          <cell r="E1423">
            <v>0</v>
          </cell>
          <cell r="H1423">
            <v>0</v>
          </cell>
        </row>
        <row r="1424">
          <cell r="E1424">
            <v>0</v>
          </cell>
          <cell r="H1424">
            <v>0</v>
          </cell>
        </row>
        <row r="1425">
          <cell r="E1425">
            <v>0</v>
          </cell>
          <cell r="H1425">
            <v>0</v>
          </cell>
        </row>
        <row r="1426">
          <cell r="E1426">
            <v>0</v>
          </cell>
          <cell r="H1426">
            <v>0</v>
          </cell>
        </row>
        <row r="1427">
          <cell r="E1427">
            <v>0</v>
          </cell>
          <cell r="H1427">
            <v>0</v>
          </cell>
        </row>
        <row r="1428">
          <cell r="E1428">
            <v>0</v>
          </cell>
          <cell r="H1428">
            <v>0</v>
          </cell>
        </row>
        <row r="1429">
          <cell r="E1429">
            <v>0</v>
          </cell>
          <cell r="H1429">
            <v>0</v>
          </cell>
        </row>
        <row r="1430">
          <cell r="E1430">
            <v>0</v>
          </cell>
          <cell r="H1430">
            <v>0</v>
          </cell>
        </row>
        <row r="1431">
          <cell r="E1431">
            <v>0</v>
          </cell>
          <cell r="H1431">
            <v>0</v>
          </cell>
        </row>
        <row r="1432">
          <cell r="E1432">
            <v>0</v>
          </cell>
          <cell r="H1432">
            <v>0</v>
          </cell>
        </row>
        <row r="1433">
          <cell r="E1433">
            <v>0</v>
          </cell>
          <cell r="H1433">
            <v>0</v>
          </cell>
        </row>
        <row r="1434">
          <cell r="E1434">
            <v>0</v>
          </cell>
          <cell r="H1434">
            <v>0</v>
          </cell>
        </row>
        <row r="1435">
          <cell r="E1435">
            <v>0</v>
          </cell>
          <cell r="H1435">
            <v>0</v>
          </cell>
        </row>
        <row r="1436">
          <cell r="E1436">
            <v>0</v>
          </cell>
          <cell r="H1436">
            <v>0</v>
          </cell>
        </row>
        <row r="1437">
          <cell r="E1437">
            <v>0</v>
          </cell>
          <cell r="H1437">
            <v>0</v>
          </cell>
        </row>
        <row r="1438">
          <cell r="E1438">
            <v>0</v>
          </cell>
          <cell r="H1438">
            <v>0</v>
          </cell>
        </row>
        <row r="1439">
          <cell r="E1439">
            <v>0</v>
          </cell>
          <cell r="H1439">
            <v>0</v>
          </cell>
        </row>
        <row r="1440">
          <cell r="E1440">
            <v>0</v>
          </cell>
          <cell r="H1440">
            <v>0</v>
          </cell>
        </row>
        <row r="1441">
          <cell r="E1441">
            <v>0</v>
          </cell>
          <cell r="H1441">
            <v>0</v>
          </cell>
        </row>
        <row r="1442">
          <cell r="E1442">
            <v>0</v>
          </cell>
          <cell r="H1442">
            <v>0</v>
          </cell>
        </row>
        <row r="1443">
          <cell r="E1443">
            <v>0</v>
          </cell>
          <cell r="H1443">
            <v>0</v>
          </cell>
        </row>
        <row r="1444">
          <cell r="E1444">
            <v>0</v>
          </cell>
          <cell r="H1444">
            <v>0</v>
          </cell>
        </row>
        <row r="1445">
          <cell r="E1445">
            <v>0</v>
          </cell>
          <cell r="H1445">
            <v>0</v>
          </cell>
        </row>
        <row r="1446">
          <cell r="E1446">
            <v>0</v>
          </cell>
          <cell r="H1446">
            <v>0</v>
          </cell>
        </row>
        <row r="1447">
          <cell r="E1447">
            <v>0</v>
          </cell>
          <cell r="H1447">
            <v>0</v>
          </cell>
        </row>
        <row r="1448">
          <cell r="E1448">
            <v>0</v>
          </cell>
          <cell r="H1448">
            <v>0</v>
          </cell>
        </row>
        <row r="1449">
          <cell r="E1449">
            <v>0</v>
          </cell>
          <cell r="H1449">
            <v>0</v>
          </cell>
        </row>
        <row r="1450">
          <cell r="E1450">
            <v>0</v>
          </cell>
          <cell r="H1450">
            <v>0</v>
          </cell>
        </row>
        <row r="1451">
          <cell r="E1451">
            <v>0</v>
          </cell>
          <cell r="H1451">
            <v>0</v>
          </cell>
        </row>
        <row r="1452">
          <cell r="E1452">
            <v>0</v>
          </cell>
          <cell r="H1452">
            <v>0</v>
          </cell>
        </row>
        <row r="1453">
          <cell r="E1453">
            <v>0</v>
          </cell>
          <cell r="H1453">
            <v>0</v>
          </cell>
        </row>
        <row r="1454">
          <cell r="E1454">
            <v>0</v>
          </cell>
          <cell r="H1454">
            <v>0</v>
          </cell>
        </row>
        <row r="1455">
          <cell r="E1455">
            <v>0</v>
          </cell>
          <cell r="H1455">
            <v>0</v>
          </cell>
        </row>
        <row r="1456">
          <cell r="E1456">
            <v>0</v>
          </cell>
          <cell r="H1456">
            <v>0</v>
          </cell>
        </row>
        <row r="1457">
          <cell r="E1457">
            <v>0</v>
          </cell>
          <cell r="H1457">
            <v>0</v>
          </cell>
        </row>
        <row r="1458">
          <cell r="E1458">
            <v>0</v>
          </cell>
          <cell r="H1458">
            <v>0</v>
          </cell>
        </row>
        <row r="1459">
          <cell r="E1459">
            <v>0</v>
          </cell>
          <cell r="H1459">
            <v>0</v>
          </cell>
        </row>
        <row r="1460">
          <cell r="E1460">
            <v>0</v>
          </cell>
          <cell r="H1460">
            <v>0</v>
          </cell>
        </row>
        <row r="1461">
          <cell r="E1461">
            <v>0</v>
          </cell>
          <cell r="H1461">
            <v>0</v>
          </cell>
        </row>
        <row r="1462">
          <cell r="E1462">
            <v>0</v>
          </cell>
          <cell r="H1462">
            <v>0</v>
          </cell>
        </row>
        <row r="1463">
          <cell r="E1463">
            <v>0</v>
          </cell>
          <cell r="H1463">
            <v>0</v>
          </cell>
        </row>
        <row r="1464">
          <cell r="E1464">
            <v>0</v>
          </cell>
          <cell r="H1464">
            <v>0</v>
          </cell>
        </row>
        <row r="1465">
          <cell r="E1465">
            <v>0</v>
          </cell>
          <cell r="H1465">
            <v>0</v>
          </cell>
        </row>
        <row r="1466">
          <cell r="E1466">
            <v>0</v>
          </cell>
          <cell r="H1466">
            <v>0</v>
          </cell>
        </row>
        <row r="1467">
          <cell r="E1467">
            <v>0</v>
          </cell>
          <cell r="H1467">
            <v>0</v>
          </cell>
        </row>
        <row r="1468">
          <cell r="E1468">
            <v>0</v>
          </cell>
          <cell r="H1468">
            <v>0</v>
          </cell>
        </row>
        <row r="1469">
          <cell r="E1469">
            <v>0</v>
          </cell>
          <cell r="H1469">
            <v>0</v>
          </cell>
        </row>
        <row r="1470">
          <cell r="E1470">
            <v>0</v>
          </cell>
          <cell r="H1470">
            <v>0</v>
          </cell>
        </row>
        <row r="1471">
          <cell r="E1471">
            <v>0</v>
          </cell>
          <cell r="H1471">
            <v>0</v>
          </cell>
        </row>
        <row r="1472">
          <cell r="E1472">
            <v>0</v>
          </cell>
          <cell r="H1472">
            <v>0</v>
          </cell>
        </row>
        <row r="1473">
          <cell r="E1473">
            <v>0</v>
          </cell>
          <cell r="H1473">
            <v>0</v>
          </cell>
        </row>
        <row r="1474">
          <cell r="E1474">
            <v>0</v>
          </cell>
          <cell r="H1474">
            <v>0</v>
          </cell>
        </row>
        <row r="1475">
          <cell r="E1475">
            <v>0</v>
          </cell>
          <cell r="H1475">
            <v>0</v>
          </cell>
        </row>
        <row r="1476">
          <cell r="E1476">
            <v>0</v>
          </cell>
          <cell r="H1476">
            <v>0</v>
          </cell>
        </row>
        <row r="1477">
          <cell r="E1477">
            <v>0</v>
          </cell>
          <cell r="H1477">
            <v>0</v>
          </cell>
        </row>
        <row r="1478">
          <cell r="E1478">
            <v>0</v>
          </cell>
          <cell r="H1478">
            <v>0</v>
          </cell>
        </row>
        <row r="1479">
          <cell r="E1479">
            <v>0</v>
          </cell>
          <cell r="H1479">
            <v>0</v>
          </cell>
        </row>
        <row r="1480">
          <cell r="E1480">
            <v>0</v>
          </cell>
          <cell r="H1480">
            <v>0</v>
          </cell>
        </row>
        <row r="1481">
          <cell r="E1481">
            <v>0</v>
          </cell>
          <cell r="H1481">
            <v>0</v>
          </cell>
        </row>
        <row r="1482">
          <cell r="E1482">
            <v>0</v>
          </cell>
          <cell r="H1482">
            <v>0</v>
          </cell>
        </row>
        <row r="1483">
          <cell r="E1483">
            <v>0</v>
          </cell>
          <cell r="H1483">
            <v>0</v>
          </cell>
        </row>
        <row r="1484">
          <cell r="E1484">
            <v>0</v>
          </cell>
          <cell r="H1484">
            <v>0</v>
          </cell>
        </row>
        <row r="1485">
          <cell r="E1485">
            <v>0</v>
          </cell>
          <cell r="H1485">
            <v>0</v>
          </cell>
        </row>
        <row r="1486">
          <cell r="E1486">
            <v>0</v>
          </cell>
          <cell r="H1486">
            <v>0</v>
          </cell>
        </row>
        <row r="1487">
          <cell r="E1487">
            <v>0</v>
          </cell>
          <cell r="H1487">
            <v>0</v>
          </cell>
        </row>
        <row r="1488">
          <cell r="E1488">
            <v>0</v>
          </cell>
          <cell r="H1488">
            <v>0</v>
          </cell>
        </row>
        <row r="1489">
          <cell r="E1489">
            <v>0</v>
          </cell>
          <cell r="H1489">
            <v>0</v>
          </cell>
        </row>
        <row r="1490">
          <cell r="E1490">
            <v>0</v>
          </cell>
          <cell r="H1490">
            <v>0</v>
          </cell>
        </row>
        <row r="1491">
          <cell r="E1491">
            <v>0</v>
          </cell>
          <cell r="H1491">
            <v>0</v>
          </cell>
        </row>
        <row r="1492">
          <cell r="E1492">
            <v>0</v>
          </cell>
          <cell r="H1492">
            <v>0</v>
          </cell>
        </row>
        <row r="1493">
          <cell r="E1493">
            <v>0</v>
          </cell>
          <cell r="H1493">
            <v>0</v>
          </cell>
        </row>
        <row r="1494">
          <cell r="E1494">
            <v>0</v>
          </cell>
          <cell r="H1494">
            <v>0</v>
          </cell>
        </row>
        <row r="1495">
          <cell r="E1495">
            <v>0</v>
          </cell>
          <cell r="H1495">
            <v>0</v>
          </cell>
        </row>
        <row r="1496">
          <cell r="E1496">
            <v>0</v>
          </cell>
          <cell r="H1496">
            <v>0</v>
          </cell>
        </row>
        <row r="1497">
          <cell r="E1497">
            <v>0</v>
          </cell>
          <cell r="H1497">
            <v>0</v>
          </cell>
        </row>
        <row r="1498">
          <cell r="E1498">
            <v>0</v>
          </cell>
          <cell r="H1498">
            <v>0</v>
          </cell>
        </row>
        <row r="1499">
          <cell r="E1499">
            <v>0</v>
          </cell>
          <cell r="H1499">
            <v>0</v>
          </cell>
        </row>
        <row r="1500">
          <cell r="E1500">
            <v>0</v>
          </cell>
          <cell r="H1500">
            <v>0</v>
          </cell>
        </row>
        <row r="1501">
          <cell r="E1501">
            <v>0</v>
          </cell>
          <cell r="H1501">
            <v>0</v>
          </cell>
        </row>
        <row r="1502">
          <cell r="E1502">
            <v>0</v>
          </cell>
          <cell r="H1502">
            <v>0</v>
          </cell>
        </row>
        <row r="1503">
          <cell r="E1503">
            <v>0</v>
          </cell>
          <cell r="H1503">
            <v>0</v>
          </cell>
        </row>
        <row r="1504">
          <cell r="E1504">
            <v>0</v>
          </cell>
          <cell r="H1504">
            <v>0</v>
          </cell>
        </row>
        <row r="1505">
          <cell r="E1505">
            <v>0</v>
          </cell>
          <cell r="H1505">
            <v>0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2DAD-F9DA-4A3D-A308-1A1CF574CFD9}">
  <sheetPr>
    <tabColor rgb="FFFF00FF"/>
  </sheetPr>
  <dimension ref="B1:R550"/>
  <sheetViews>
    <sheetView tabSelected="1" zoomScale="70" zoomScaleNormal="70" workbookViewId="0">
      <pane ySplit="13" topLeftCell="A95" activePane="bottomLeft" state="frozen"/>
      <selection activeCell="R14" sqref="R14"/>
      <selection pane="bottomLeft" activeCell="G102" sqref="G102"/>
    </sheetView>
  </sheetViews>
  <sheetFormatPr baseColWidth="10" defaultColWidth="11.28515625" defaultRowHeight="13.5" x14ac:dyDescent="0.25"/>
  <cols>
    <col min="1" max="1" width="11.28515625" style="49" customWidth="1"/>
    <col min="2" max="2" width="12.28515625" style="49" hidden="1" customWidth="1"/>
    <col min="3" max="3" width="16.28515625" style="49" customWidth="1"/>
    <col min="4" max="4" width="17.28515625" style="49" customWidth="1"/>
    <col min="5" max="5" width="40.28515625" style="49" customWidth="1"/>
    <col min="6" max="8" width="16.28515625" style="49" customWidth="1"/>
    <col min="9" max="9" width="18.28515625" style="49" customWidth="1"/>
    <col min="10" max="10" width="19.28515625" style="49" customWidth="1"/>
    <col min="11" max="11" width="12.28515625" style="49" customWidth="1"/>
    <col min="12" max="12" width="14.28515625" style="49" customWidth="1"/>
    <col min="13" max="16" width="19.28515625" style="49" customWidth="1"/>
    <col min="17" max="17" width="21.28515625" style="49" customWidth="1"/>
    <col min="18" max="23" width="14.28515625" style="49" customWidth="1"/>
    <col min="24" max="16384" width="11.28515625" style="49"/>
  </cols>
  <sheetData>
    <row r="1" spans="2:18" s="1" customFormat="1" ht="32.25" customHeight="1" x14ac:dyDescent="0.25">
      <c r="C1" s="2" t="s">
        <v>0</v>
      </c>
      <c r="D1" s="2"/>
      <c r="E1" s="2"/>
      <c r="F1" s="2"/>
      <c r="G1" s="2"/>
      <c r="H1" s="2"/>
      <c r="I1" s="2"/>
      <c r="J1" s="3" t="s">
        <v>1</v>
      </c>
      <c r="K1" s="3"/>
    </row>
    <row r="2" spans="2:18" s="1" customFormat="1" ht="36.75" customHeight="1" thickBot="1" x14ac:dyDescent="0.3">
      <c r="C2" s="4" t="s">
        <v>2</v>
      </c>
      <c r="D2" s="4"/>
      <c r="E2" s="4"/>
      <c r="F2" s="4"/>
      <c r="G2" s="4"/>
      <c r="H2" s="4"/>
      <c r="I2" s="4"/>
      <c r="J2" s="4"/>
      <c r="K2" s="4"/>
    </row>
    <row r="3" spans="2:18" s="1" customFormat="1" ht="30" customHeight="1" thickTop="1" thickBot="1" x14ac:dyDescent="0.3">
      <c r="C3" s="5" t="s">
        <v>3</v>
      </c>
      <c r="D3" s="6"/>
      <c r="E3" s="7" t="s">
        <v>4</v>
      </c>
      <c r="F3" s="8" t="s">
        <v>5</v>
      </c>
      <c r="G3" s="8"/>
    </row>
    <row r="4" spans="2:18" s="1" customFormat="1" ht="30" customHeight="1" thickTop="1" x14ac:dyDescent="0.25">
      <c r="C4" s="9" t="s">
        <v>6</v>
      </c>
      <c r="D4" s="10"/>
      <c r="E4" s="11">
        <f>COUNTIF(D14:D548,J1)</f>
        <v>88</v>
      </c>
      <c r="F4" s="12">
        <f ca="1">IF(E6=0,0,(E6)/(E4-E9))</f>
        <v>0.45454545454545453</v>
      </c>
      <c r="G4" s="13"/>
    </row>
    <row r="5" spans="2:18" s="1" customFormat="1" ht="30" customHeight="1" x14ac:dyDescent="0.25">
      <c r="C5" s="14" t="s">
        <v>7</v>
      </c>
      <c r="D5" s="15"/>
      <c r="E5" s="16">
        <f>R549</f>
        <v>87</v>
      </c>
      <c r="F5" s="17"/>
      <c r="G5" s="18"/>
    </row>
    <row r="6" spans="2:18" s="1" customFormat="1" ht="30" customHeight="1" thickBot="1" x14ac:dyDescent="0.3">
      <c r="C6" s="19" t="s">
        <v>8</v>
      </c>
      <c r="D6" s="20"/>
      <c r="E6" s="21">
        <f>SUM(B14:B548)</f>
        <v>40</v>
      </c>
      <c r="F6" s="17"/>
      <c r="G6" s="18"/>
    </row>
    <row r="7" spans="2:18" s="1" customFormat="1" ht="30" customHeight="1" thickTop="1" x14ac:dyDescent="0.25">
      <c r="C7" s="22" t="s">
        <v>9</v>
      </c>
      <c r="D7" s="23"/>
      <c r="E7" s="11">
        <f>SUMIF('[1]REP DISEÑO'!$N$9:$N$1508,J1,'[1]REP DISEÑO'!$AA$9:$AA$1508)</f>
        <v>10</v>
      </c>
      <c r="F7" s="17"/>
      <c r="G7" s="18"/>
    </row>
    <row r="8" spans="2:18" s="1" customFormat="1" ht="30" customHeight="1" thickBot="1" x14ac:dyDescent="0.3">
      <c r="C8" s="24"/>
      <c r="D8" s="25"/>
      <c r="E8" s="26">
        <f>E7/E4</f>
        <v>0.11363636363636363</v>
      </c>
      <c r="F8" s="17"/>
      <c r="G8" s="18"/>
    </row>
    <row r="9" spans="2:18" s="1" customFormat="1" ht="30" customHeight="1" thickTop="1" x14ac:dyDescent="0.25">
      <c r="C9" s="27" t="s">
        <v>10</v>
      </c>
      <c r="D9" s="28"/>
      <c r="E9" s="29">
        <f ca="1">SUMIF($I$14:$I$548,TEXT(TODAY(),"mmmm"),$B$14:$B$548)</f>
        <v>0</v>
      </c>
      <c r="F9" s="17"/>
      <c r="G9" s="18"/>
    </row>
    <row r="10" spans="2:18" s="1" customFormat="1" ht="30" customHeight="1" thickBot="1" x14ac:dyDescent="0.3">
      <c r="C10" s="30" t="s">
        <v>11</v>
      </c>
      <c r="D10" s="31"/>
      <c r="E10" s="32">
        <f ca="1">E4/(TEXT(TODAY(),"m"))</f>
        <v>22</v>
      </c>
      <c r="F10" s="33"/>
      <c r="G10" s="34"/>
    </row>
    <row r="11" spans="2:18" s="1" customFormat="1" ht="17.25" customHeight="1" thickTop="1" thickBot="1" x14ac:dyDescent="0.3">
      <c r="C11" s="35"/>
    </row>
    <row r="12" spans="2:18" s="36" customFormat="1" ht="27" customHeight="1" thickTop="1" thickBot="1" x14ac:dyDescent="0.3">
      <c r="C12" s="37" t="s">
        <v>12</v>
      </c>
      <c r="D12" s="38"/>
      <c r="E12" s="38"/>
      <c r="F12" s="38"/>
      <c r="G12" s="38"/>
      <c r="H12" s="38"/>
      <c r="I12" s="38"/>
      <c r="J12" s="38"/>
      <c r="K12" s="39"/>
      <c r="M12" s="40" t="s">
        <v>13</v>
      </c>
      <c r="N12" s="40"/>
      <c r="O12" s="40"/>
      <c r="P12" s="40"/>
    </row>
    <row r="13" spans="2:18" s="41" customFormat="1" ht="33" customHeight="1" thickTop="1" thickBot="1" x14ac:dyDescent="0.3">
      <c r="C13" s="42" t="s">
        <v>14</v>
      </c>
      <c r="D13" s="43" t="s">
        <v>15</v>
      </c>
      <c r="E13" s="43" t="s">
        <v>16</v>
      </c>
      <c r="F13" s="43" t="s">
        <v>17</v>
      </c>
      <c r="G13" s="43" t="s">
        <v>18</v>
      </c>
      <c r="H13" s="43" t="s">
        <v>19</v>
      </c>
      <c r="I13" s="43" t="s">
        <v>20</v>
      </c>
      <c r="J13" s="42" t="s">
        <v>21</v>
      </c>
      <c r="K13" s="42" t="s">
        <v>14</v>
      </c>
      <c r="M13" s="44" t="s">
        <v>22</v>
      </c>
      <c r="N13" s="45" t="s">
        <v>23</v>
      </c>
      <c r="O13" s="46" t="s">
        <v>24</v>
      </c>
      <c r="P13" s="47" t="s">
        <v>25</v>
      </c>
      <c r="R13" s="48" t="s">
        <v>26</v>
      </c>
    </row>
    <row r="14" spans="2:18" ht="26.25" customHeight="1" thickTop="1" x14ac:dyDescent="0.25">
      <c r="B14" s="49">
        <f>IF(J14="",0,IF(OR(J14&gt;0,ISNUMBER(FIND("AMU",$C$14:$C$548))),1,0))</f>
        <v>0</v>
      </c>
      <c r="C14" s="50" t="str">
        <f t="array" ref="C14">IFERROR(INDEX('[1]REP DISEÑO'!$D$9:$D$1008,SMALL(IF('[1]REP DISEÑO'!$AW$9:$AW$1008=$J$1,ROW('[1]REP DISEÑO'!$N$9:$N$1008)-ROW('[1]REP DISEÑO'!$N$9),""),ROWS(C$14:C14))+1),"")</f>
        <v>N26-3981</v>
      </c>
      <c r="D14" s="51" t="str">
        <f>IFERROR(INDEX('[1]REP DISEÑO'!$N$9:$N$1508,MATCH(C14,'[1]REP DISEÑO'!$D$9:$D$1508,0)),"")</f>
        <v>GABRIELA D.</v>
      </c>
      <c r="E14" s="51" t="str">
        <f>IFERROR(INDEX('[1]REP DISEÑO'!$G$9:$G$1508,MATCH(C14,'[1]REP DISEÑO'!$D$9:$D$1508,0)),"")</f>
        <v>TALÓN 0</v>
      </c>
      <c r="F14" s="51" t="str">
        <f>IFERROR(INDEX('[1]REP DISEÑO'!$I$9:$I$1508,MATCH(C14,'[1]REP DISEÑO'!$D$9:$D$1508,0)),"")</f>
        <v>PREESCOLAR NIÑO</v>
      </c>
      <c r="G14" s="51" t="str">
        <f>IFERROR(INDEX('[1]REP DISEÑO'!$M$9:$M$1508,MATCH(C14,'[1]REP DISEÑO'!$D$9:$D$1508,0)),"")</f>
        <v>DE PRATI</v>
      </c>
      <c r="H14" s="51" t="str">
        <f>IFERROR(INDEX('[1]REP DISEÑO'!$J$9:$J$1508,MATCH(C14,'[1]REP DISEÑO'!$D$9:$D$1508,0)),"")</f>
        <v/>
      </c>
      <c r="I14" s="52" t="str">
        <f>IFERROR(INDEX('[1]REP DISEÑO'!$C$9:$C$1508,MATCH(C14,'[1]REP DISEÑO'!$D$9:$D$1508,0)),"")</f>
        <v>enero</v>
      </c>
      <c r="J14" s="53">
        <f>IF(C14="","",IF(ISNUMBER(FIND("AMU",$C$14:$C$548)),1,(SUMIF('[1]REP PRODUCCIÓN'!$H$6:$H$1505,"*"&amp;C14&amp;"*",'[1]REP PRODUCCIÓN'!$E$6:$E$1505))))</f>
        <v>0</v>
      </c>
      <c r="K14" s="53" t="str">
        <f>IF(B14=1,"OK","")</f>
        <v/>
      </c>
      <c r="M14" s="54" t="str">
        <f>IFERROR(INDEX('[1]REP DISEÑO'!$BA$9:$BA$1008,MATCH('INDIC-DIS2'!C14,'[1]REP DISEÑO'!$D$9:$D$1008,0)),"")</f>
        <v>DE PRATI</v>
      </c>
      <c r="N14" s="55"/>
      <c r="O14" s="55"/>
      <c r="P14" s="56"/>
      <c r="R14" s="57">
        <f>IF(M14="","",1)</f>
        <v>1</v>
      </c>
    </row>
    <row r="15" spans="2:18" ht="26.25" customHeight="1" x14ac:dyDescent="0.25">
      <c r="B15" s="49">
        <f t="shared" ref="B15:B78" si="0">IF(J15="",0,IF(OR(J15&gt;0,ISNUMBER(FIND("AMU",$C$14:$C$548))),1,0))</f>
        <v>0</v>
      </c>
      <c r="C15" s="50" t="str">
        <f t="array" ref="C15">IFERROR(INDEX('[1]REP DISEÑO'!$D$9:$D$1008,SMALL(IF('[1]REP DISEÑO'!$AW$9:$AW$1008=$J$1,ROW('[1]REP DISEÑO'!$N$9:$N$1008)-ROW('[1]REP DISEÑO'!$N$9),""),ROWS(C$14:C15))+1),"")</f>
        <v>N26-3982</v>
      </c>
      <c r="D15" s="51" t="str">
        <f>IFERROR(INDEX('[1]REP DISEÑO'!$N$9:$N$1508,MATCH(C15,'[1]REP DISEÑO'!$D$9:$D$1508,0)),"")</f>
        <v>GABRIELA D.</v>
      </c>
      <c r="E15" s="51" t="str">
        <f>IFERROR(INDEX('[1]REP DISEÑO'!$G$9:$G$1508,MATCH(C15,'[1]REP DISEÑO'!$D$9:$D$1508,0)),"")</f>
        <v>TALÓN 0</v>
      </c>
      <c r="F15" s="51" t="str">
        <f>IFERROR(INDEX('[1]REP DISEÑO'!$I$9:$I$1508,MATCH(C15,'[1]REP DISEÑO'!$D$9:$D$1508,0)),"")</f>
        <v>PREESCOLAR NIÑO</v>
      </c>
      <c r="G15" s="51" t="str">
        <f>IFERROR(INDEX('[1]REP DISEÑO'!$M$9:$M$1508,MATCH(C15,'[1]REP DISEÑO'!$D$9:$D$1508,0)),"")</f>
        <v>DE PRATI</v>
      </c>
      <c r="H15" s="51" t="str">
        <f>IFERROR(INDEX('[1]REP DISEÑO'!$J$9:$J$1508,MATCH(C15,'[1]REP DISEÑO'!$D$9:$D$1508,0)),"")</f>
        <v/>
      </c>
      <c r="I15" s="52" t="str">
        <f>IFERROR(INDEX('[1]REP DISEÑO'!$C$9:$C$1508,MATCH(C15,'[1]REP DISEÑO'!$D$9:$D$1508,0)),"")</f>
        <v>enero</v>
      </c>
      <c r="J15" s="53">
        <f>IF(C15="","",IF(ISNUMBER(FIND("AMU",$C$14:$C$548)),1,(SUMIF('[1]REP PRODUCCIÓN'!$H$6:$H$1505,"*"&amp;C15&amp;"*",'[1]REP PRODUCCIÓN'!$E$6:$E$1505))))</f>
        <v>0</v>
      </c>
      <c r="K15" s="53">
        <f t="shared" ref="K15:K78" si="1">IF(B15=1,"OK",0)</f>
        <v>0</v>
      </c>
      <c r="M15" s="54" t="str">
        <f>IFERROR(INDEX('[1]REP DISEÑO'!$BA$9:$BA$1008,MATCH('INDIC-DIS2'!C15,'[1]REP DISEÑO'!$D$9:$D$1008,0)),"")</f>
        <v>DE PRATI</v>
      </c>
      <c r="N15" s="55"/>
      <c r="O15" s="55"/>
      <c r="P15" s="55"/>
      <c r="R15" s="57">
        <f t="shared" ref="R15:R78" si="2">IF(M15="","",1)</f>
        <v>1</v>
      </c>
    </row>
    <row r="16" spans="2:18" ht="26.25" customHeight="1" x14ac:dyDescent="0.25">
      <c r="B16" s="49">
        <f t="shared" si="0"/>
        <v>1</v>
      </c>
      <c r="C16" s="50" t="str">
        <f t="array" ref="C16">IFERROR(INDEX('[1]REP DISEÑO'!$D$9:$D$1008,SMALL(IF('[1]REP DISEÑO'!$AW$9:$AW$1008=$J$1,ROW('[1]REP DISEÑO'!$N$9:$N$1008)-ROW('[1]REP DISEÑO'!$N$9),""),ROWS(C$14:C16))+1),"")</f>
        <v>N26-3990</v>
      </c>
      <c r="D16" s="51" t="str">
        <f>IFERROR(INDEX('[1]REP DISEÑO'!$N$9:$N$1508,MATCH(C16,'[1]REP DISEÑO'!$D$9:$D$1508,0)),"")</f>
        <v>GABRIELA D.</v>
      </c>
      <c r="E16" s="51" t="str">
        <f>IFERROR(INDEX('[1]REP DISEÑO'!$G$9:$G$1508,MATCH(C16,'[1]REP DISEÑO'!$D$9:$D$1508,0)),"")</f>
        <v>TALÓN 0</v>
      </c>
      <c r="F16" s="51" t="str">
        <f>IFERROR(INDEX('[1]REP DISEÑO'!$I$9:$I$1508,MATCH(C16,'[1]REP DISEÑO'!$D$9:$D$1508,0)),"")</f>
        <v>PREESCOLAR NIÑO</v>
      </c>
      <c r="G16" s="51" t="str">
        <f>IFERROR(INDEX('[1]REP DISEÑO'!$M$9:$M$1508,MATCH(C16,'[1]REP DISEÑO'!$D$9:$D$1508,0)),"")</f>
        <v>DE PRATI</v>
      </c>
      <c r="H16" s="51" t="str">
        <f>IFERROR(INDEX('[1]REP DISEÑO'!$J$9:$J$1508,MATCH(C16,'[1]REP DISEÑO'!$D$9:$D$1508,0)),"")</f>
        <v/>
      </c>
      <c r="I16" s="52" t="str">
        <f>IFERROR(INDEX('[1]REP DISEÑO'!$C$9:$C$1508,MATCH(C16,'[1]REP DISEÑO'!$D$9:$D$1508,0)),"")</f>
        <v>enero</v>
      </c>
      <c r="J16" s="53">
        <f>IF(C16="","",IF(ISNUMBER(FIND("AMU",$C$14:$C$548)),1,(SUMIF('[1]REP PRODUCCIÓN'!$H$6:$H$1505,"*"&amp;C16&amp;"*",'[1]REP PRODUCCIÓN'!$E$6:$E$1505))))</f>
        <v>84</v>
      </c>
      <c r="K16" s="53" t="str">
        <f t="shared" si="1"/>
        <v>OK</v>
      </c>
      <c r="M16" s="54" t="str">
        <f>IFERROR(INDEX('[1]REP DISEÑO'!$BA$9:$BA$1008,MATCH('INDIC-DIS2'!C16,'[1]REP DISEÑO'!$D$9:$D$1008,0)),"")</f>
        <v>DE PRATI</v>
      </c>
      <c r="N16" s="55"/>
      <c r="O16" s="55"/>
      <c r="P16" s="55"/>
      <c r="R16" s="57">
        <f t="shared" si="2"/>
        <v>1</v>
      </c>
    </row>
    <row r="17" spans="2:18" ht="26.25" customHeight="1" x14ac:dyDescent="0.25">
      <c r="B17" s="49">
        <f t="shared" si="0"/>
        <v>0</v>
      </c>
      <c r="C17" s="50" t="str">
        <f t="array" ref="C17">IFERROR(INDEX('[1]REP DISEÑO'!$D$9:$D$1008,SMALL(IF('[1]REP DISEÑO'!$AW$9:$AW$1008=$J$1,ROW('[1]REP DISEÑO'!$N$9:$N$1008)-ROW('[1]REP DISEÑO'!$N$9),""),ROWS(C$14:C17))+1),"")</f>
        <v>N26-3992</v>
      </c>
      <c r="D17" s="51" t="str">
        <f>IFERROR(INDEX('[1]REP DISEÑO'!$N$9:$N$1508,MATCH(C17,'[1]REP DISEÑO'!$D$9:$D$1508,0)),"")</f>
        <v>GABRIELA D.</v>
      </c>
      <c r="E17" s="51" t="str">
        <f>IFERROR(INDEX('[1]REP DISEÑO'!$G$9:$G$1508,MATCH(C17,'[1]REP DISEÑO'!$D$9:$D$1508,0)),"")</f>
        <v>TALÓN 0</v>
      </c>
      <c r="F17" s="51" t="str">
        <f>IFERROR(INDEX('[1]REP DISEÑO'!$I$9:$I$1508,MATCH(C17,'[1]REP DISEÑO'!$D$9:$D$1508,0)),"")</f>
        <v>PREESCOLAR NIÑO</v>
      </c>
      <c r="G17" s="51" t="str">
        <f>IFERROR(INDEX('[1]REP DISEÑO'!$M$9:$M$1508,MATCH(C17,'[1]REP DISEÑO'!$D$9:$D$1508,0)),"")</f>
        <v>DE PRATI</v>
      </c>
      <c r="H17" s="51" t="str">
        <f>IFERROR(INDEX('[1]REP DISEÑO'!$J$9:$J$1508,MATCH(C17,'[1]REP DISEÑO'!$D$9:$D$1508,0)),"")</f>
        <v/>
      </c>
      <c r="I17" s="52" t="str">
        <f>IFERROR(INDEX('[1]REP DISEÑO'!$C$9:$C$1508,MATCH(C17,'[1]REP DISEÑO'!$D$9:$D$1508,0)),"")</f>
        <v>enero</v>
      </c>
      <c r="J17" s="53">
        <f>IF(C17="","",IF(ISNUMBER(FIND("AMU",$C$14:$C$548)),1,(SUMIF('[1]REP PRODUCCIÓN'!$H$6:$H$1505,"*"&amp;C17&amp;"*",'[1]REP PRODUCCIÓN'!$E$6:$E$1505))))</f>
        <v>0</v>
      </c>
      <c r="K17" s="53">
        <f t="shared" si="1"/>
        <v>0</v>
      </c>
      <c r="M17" s="54" t="str">
        <f>IFERROR(INDEX('[1]REP DISEÑO'!$BA$9:$BA$1008,MATCH('INDIC-DIS2'!C17,'[1]REP DISEÑO'!$D$9:$D$1008,0)),"")</f>
        <v>DE PRATI</v>
      </c>
      <c r="N17" s="55"/>
      <c r="O17" s="55"/>
      <c r="P17" s="55"/>
      <c r="R17" s="57">
        <f t="shared" si="2"/>
        <v>1</v>
      </c>
    </row>
    <row r="18" spans="2:18" ht="26.25" customHeight="1" x14ac:dyDescent="0.25">
      <c r="B18" s="49">
        <f t="shared" si="0"/>
        <v>1</v>
      </c>
      <c r="C18" s="50" t="str">
        <f t="array" ref="C18">IFERROR(INDEX('[1]REP DISEÑO'!$D$9:$D$1008,SMALL(IF('[1]REP DISEÑO'!$AW$9:$AW$1008=$J$1,ROW('[1]REP DISEÑO'!$N$9:$N$1008)-ROW('[1]REP DISEÑO'!$N$9),""),ROWS(C$14:C18))+1),"")</f>
        <v>N26-3993</v>
      </c>
      <c r="D18" s="51" t="str">
        <f>IFERROR(INDEX('[1]REP DISEÑO'!$N$9:$N$1508,MATCH(C18,'[1]REP DISEÑO'!$D$9:$D$1508,0)),"")</f>
        <v>GABRIELA D.</v>
      </c>
      <c r="E18" s="51" t="str">
        <f>IFERROR(INDEX('[1]REP DISEÑO'!$G$9:$G$1508,MATCH(C18,'[1]REP DISEÑO'!$D$9:$D$1508,0)),"")</f>
        <v>TALÓN 0</v>
      </c>
      <c r="F18" s="51" t="str">
        <f>IFERROR(INDEX('[1]REP DISEÑO'!$I$9:$I$1508,MATCH(C18,'[1]REP DISEÑO'!$D$9:$D$1508,0)),"")</f>
        <v>PREESCOLAR NIÑO</v>
      </c>
      <c r="G18" s="51" t="str">
        <f>IFERROR(INDEX('[1]REP DISEÑO'!$M$9:$M$1508,MATCH(C18,'[1]REP DISEÑO'!$D$9:$D$1508,0)),"")</f>
        <v>DE PRATI</v>
      </c>
      <c r="H18" s="51" t="str">
        <f>IFERROR(INDEX('[1]REP DISEÑO'!$J$9:$J$1508,MATCH(C18,'[1]REP DISEÑO'!$D$9:$D$1508,0)),"")</f>
        <v/>
      </c>
      <c r="I18" s="52" t="str">
        <f>IFERROR(INDEX('[1]REP DISEÑO'!$C$9:$C$1508,MATCH(C18,'[1]REP DISEÑO'!$D$9:$D$1508,0)),"")</f>
        <v>enero</v>
      </c>
      <c r="J18" s="53">
        <f>IF(C18="","",IF(ISNUMBER(FIND("AMU",$C$14:$C$548)),1,(SUMIF('[1]REP PRODUCCIÓN'!$H$6:$H$1505,"*"&amp;C18&amp;"*",'[1]REP PRODUCCIÓN'!$E$6:$E$1505))))</f>
        <v>84</v>
      </c>
      <c r="K18" s="53" t="str">
        <f t="shared" si="1"/>
        <v>OK</v>
      </c>
      <c r="M18" s="54" t="str">
        <f>IFERROR(INDEX('[1]REP DISEÑO'!$BA$9:$BA$1008,MATCH('INDIC-DIS2'!C18,'[1]REP DISEÑO'!$D$9:$D$1008,0)),"")</f>
        <v>DE PRATI</v>
      </c>
      <c r="N18" s="55"/>
      <c r="O18" s="55"/>
      <c r="P18" s="55"/>
      <c r="R18" s="57">
        <f t="shared" si="2"/>
        <v>1</v>
      </c>
    </row>
    <row r="19" spans="2:18" ht="26.25" customHeight="1" x14ac:dyDescent="0.25">
      <c r="B19" s="49">
        <f t="shared" si="0"/>
        <v>1</v>
      </c>
      <c r="C19" s="50" t="str">
        <f t="array" ref="C19">IFERROR(INDEX('[1]REP DISEÑO'!$D$9:$D$1008,SMALL(IF('[1]REP DISEÑO'!$AW$9:$AW$1008=$J$1,ROW('[1]REP DISEÑO'!$N$9:$N$1008)-ROW('[1]REP DISEÑO'!$N$9),""),ROWS(C$14:C19))+1),"")</f>
        <v>N26-3994</v>
      </c>
      <c r="D19" s="51" t="str">
        <f>IFERROR(INDEX('[1]REP DISEÑO'!$N$9:$N$1508,MATCH(C19,'[1]REP DISEÑO'!$D$9:$D$1508,0)),"")</f>
        <v>GABRIELA D.</v>
      </c>
      <c r="E19" s="51" t="str">
        <f>IFERROR(INDEX('[1]REP DISEÑO'!$G$9:$G$1508,MATCH(C19,'[1]REP DISEÑO'!$D$9:$D$1508,0)),"")</f>
        <v>TALÓN 0</v>
      </c>
      <c r="F19" s="51" t="str">
        <f>IFERROR(INDEX('[1]REP DISEÑO'!$I$9:$I$1508,MATCH(C19,'[1]REP DISEÑO'!$D$9:$D$1508,0)),"")</f>
        <v>PREESCOLAR NIÑO</v>
      </c>
      <c r="G19" s="51" t="str">
        <f>IFERROR(INDEX('[1]REP DISEÑO'!$M$9:$M$1508,MATCH(C19,'[1]REP DISEÑO'!$D$9:$D$1508,0)),"")</f>
        <v>DE PRATI</v>
      </c>
      <c r="H19" s="51" t="str">
        <f>IFERROR(INDEX('[1]REP DISEÑO'!$J$9:$J$1508,MATCH(C19,'[1]REP DISEÑO'!$D$9:$D$1508,0)),"")</f>
        <v/>
      </c>
      <c r="I19" s="52" t="str">
        <f>IFERROR(INDEX('[1]REP DISEÑO'!$C$9:$C$1508,MATCH(C19,'[1]REP DISEÑO'!$D$9:$D$1508,0)),"")</f>
        <v>enero</v>
      </c>
      <c r="J19" s="53">
        <f>IF(C19="","",IF(ISNUMBER(FIND("AMU",$C$14:$C$548)),1,(SUMIF('[1]REP PRODUCCIÓN'!$H$6:$H$1505,"*"&amp;C19&amp;"*",'[1]REP PRODUCCIÓN'!$E$6:$E$1505))))</f>
        <v>84</v>
      </c>
      <c r="K19" s="53" t="str">
        <f t="shared" si="1"/>
        <v>OK</v>
      </c>
      <c r="M19" s="54" t="str">
        <f>IFERROR(INDEX('[1]REP DISEÑO'!$BA$9:$BA$1008,MATCH('INDIC-DIS2'!C19,'[1]REP DISEÑO'!$D$9:$D$1008,0)),"")</f>
        <v>DE PRATI</v>
      </c>
      <c r="N19" s="55"/>
      <c r="O19" s="55"/>
      <c r="P19" s="55"/>
      <c r="R19" s="57">
        <f t="shared" si="2"/>
        <v>1</v>
      </c>
    </row>
    <row r="20" spans="2:18" ht="26.25" customHeight="1" x14ac:dyDescent="0.25">
      <c r="B20" s="49">
        <f t="shared" si="0"/>
        <v>1</v>
      </c>
      <c r="C20" s="50" t="str">
        <f t="array" ref="C20">IFERROR(INDEX('[1]REP DISEÑO'!$D$9:$D$1008,SMALL(IF('[1]REP DISEÑO'!$AW$9:$AW$1008=$J$1,ROW('[1]REP DISEÑO'!$N$9:$N$1008)-ROW('[1]REP DISEÑO'!$N$9),""),ROWS(C$14:C20))+1),"")</f>
        <v>N26-3995</v>
      </c>
      <c r="D20" s="51" t="str">
        <f>IFERROR(INDEX('[1]REP DISEÑO'!$N$9:$N$1508,MATCH(C20,'[1]REP DISEÑO'!$D$9:$D$1508,0)),"")</f>
        <v>GABRIELA D.</v>
      </c>
      <c r="E20" s="51" t="str">
        <f>IFERROR(INDEX('[1]REP DISEÑO'!$G$9:$G$1508,MATCH(C20,'[1]REP DISEÑO'!$D$9:$D$1508,0)),"")</f>
        <v>TALÓN 0</v>
      </c>
      <c r="F20" s="51" t="str">
        <f>IFERROR(INDEX('[1]REP DISEÑO'!$I$9:$I$1508,MATCH(C20,'[1]REP DISEÑO'!$D$9:$D$1508,0)),"")</f>
        <v>PREESCOLAR NIÑO</v>
      </c>
      <c r="G20" s="51" t="str">
        <f>IFERROR(INDEX('[1]REP DISEÑO'!$M$9:$M$1508,MATCH(C20,'[1]REP DISEÑO'!$D$9:$D$1508,0)),"")</f>
        <v>DE PRATI</v>
      </c>
      <c r="H20" s="51" t="str">
        <f>IFERROR(INDEX('[1]REP DISEÑO'!$J$9:$J$1508,MATCH(C20,'[1]REP DISEÑO'!$D$9:$D$1508,0)),"")</f>
        <v/>
      </c>
      <c r="I20" s="52" t="str">
        <f>IFERROR(INDEX('[1]REP DISEÑO'!$C$9:$C$1508,MATCH(C20,'[1]REP DISEÑO'!$D$9:$D$1508,0)),"")</f>
        <v>enero</v>
      </c>
      <c r="J20" s="53">
        <f>IF(C20="","",IF(ISNUMBER(FIND("AMU",$C$14:$C$548)),1,(SUMIF('[1]REP PRODUCCIÓN'!$H$6:$H$1505,"*"&amp;C20&amp;"*",'[1]REP PRODUCCIÓN'!$E$6:$E$1505))))</f>
        <v>84</v>
      </c>
      <c r="K20" s="53" t="str">
        <f t="shared" si="1"/>
        <v>OK</v>
      </c>
      <c r="M20" s="54" t="str">
        <f>IFERROR(INDEX('[1]REP DISEÑO'!$BA$9:$BA$1008,MATCH('INDIC-DIS2'!C20,'[1]REP DISEÑO'!$D$9:$D$1008,0)),"")</f>
        <v>DE PRATI</v>
      </c>
      <c r="N20" s="55"/>
      <c r="O20" s="55"/>
      <c r="P20" s="55"/>
      <c r="R20" s="57">
        <f t="shared" si="2"/>
        <v>1</v>
      </c>
    </row>
    <row r="21" spans="2:18" ht="26.25" customHeight="1" x14ac:dyDescent="0.25">
      <c r="B21" s="49">
        <f t="shared" si="0"/>
        <v>0</v>
      </c>
      <c r="C21" s="50" t="str">
        <f t="array" ref="C21">IFERROR(INDEX('[1]REP DISEÑO'!$D$9:$D$1008,SMALL(IF('[1]REP DISEÑO'!$AW$9:$AW$1008=$J$1,ROW('[1]REP DISEÑO'!$N$9:$N$1008)-ROW('[1]REP DISEÑO'!$N$9),""),ROWS(C$14:C21))+1),"")</f>
        <v>G26-5045</v>
      </c>
      <c r="D21" s="51" t="str">
        <f>IFERROR(INDEX('[1]REP DISEÑO'!$N$9:$N$1508,MATCH(C21,'[1]REP DISEÑO'!$D$9:$D$1508,0)),"")</f>
        <v>GABRIELA D.</v>
      </c>
      <c r="E21" s="51" t="str">
        <f>IFERROR(INDEX('[1]REP DISEÑO'!$G$9:$G$1508,MATCH(C21,'[1]REP DISEÑO'!$D$9:$D$1508,0)),"")</f>
        <v>SUECA 0</v>
      </c>
      <c r="F21" s="51" t="str">
        <f>IFERROR(INDEX('[1]REP DISEÑO'!$I$9:$I$1508,MATCH(C21,'[1]REP DISEÑO'!$D$9:$D$1508,0)),"")</f>
        <v>ESCOLAR NIÑA</v>
      </c>
      <c r="G21" s="51" t="str">
        <f>IFERROR(INDEX('[1]REP DISEÑO'!$M$9:$M$1508,MATCH(C21,'[1]REP DISEÑO'!$D$9:$D$1508,0)),"")</f>
        <v>DE PRATI</v>
      </c>
      <c r="H21" s="51" t="str">
        <f>IFERROR(INDEX('[1]REP DISEÑO'!$J$9:$J$1508,MATCH(C21,'[1]REP DISEÑO'!$D$9:$D$1508,0)),"")</f>
        <v/>
      </c>
      <c r="I21" s="52" t="str">
        <f>IFERROR(INDEX('[1]REP DISEÑO'!$C$9:$C$1508,MATCH(C21,'[1]REP DISEÑO'!$D$9:$D$1508,0)),"")</f>
        <v>enero</v>
      </c>
      <c r="J21" s="53">
        <f>IF(C21="","",IF(ISNUMBER(FIND("AMU",$C$14:$C$548)),1,(SUMIF('[1]REP PRODUCCIÓN'!$H$6:$H$1505,"*"&amp;C21&amp;"*",'[1]REP PRODUCCIÓN'!$E$6:$E$1505))))</f>
        <v>0</v>
      </c>
      <c r="K21" s="53">
        <f t="shared" si="1"/>
        <v>0</v>
      </c>
      <c r="M21" s="54" t="str">
        <f>IFERROR(INDEX('[1]REP DISEÑO'!$BA$9:$BA$1008,MATCH('INDIC-DIS2'!C21,'[1]REP DISEÑO'!$D$9:$D$1008,0)),"")</f>
        <v>DE PRATI</v>
      </c>
      <c r="N21" s="55"/>
      <c r="O21" s="55"/>
      <c r="P21" s="55"/>
      <c r="R21" s="57">
        <f t="shared" si="2"/>
        <v>1</v>
      </c>
    </row>
    <row r="22" spans="2:18" ht="26.25" customHeight="1" x14ac:dyDescent="0.25">
      <c r="B22" s="49">
        <f t="shared" si="0"/>
        <v>1</v>
      </c>
      <c r="C22" s="50" t="str">
        <f t="array" ref="C22">IFERROR(INDEX('[1]REP DISEÑO'!$D$9:$D$1008,SMALL(IF('[1]REP DISEÑO'!$AW$9:$AW$1008=$J$1,ROW('[1]REP DISEÑO'!$N$9:$N$1008)-ROW('[1]REP DISEÑO'!$N$9),""),ROWS(C$14:C22))+1),"")</f>
        <v>G26-5046</v>
      </c>
      <c r="D22" s="51" t="str">
        <f>IFERROR(INDEX('[1]REP DISEÑO'!$N$9:$N$1508,MATCH(C22,'[1]REP DISEÑO'!$D$9:$D$1508,0)),"")</f>
        <v>GABRIELA D.</v>
      </c>
      <c r="E22" s="51" t="str">
        <f>IFERROR(INDEX('[1]REP DISEÑO'!$G$9:$G$1508,MATCH(C22,'[1]REP DISEÑO'!$D$9:$D$1508,0)),"")</f>
        <v>SUECA CON FILO</v>
      </c>
      <c r="F22" s="51" t="str">
        <f>IFERROR(INDEX('[1]REP DISEÑO'!$I$9:$I$1508,MATCH(C22,'[1]REP DISEÑO'!$D$9:$D$1508,0)),"")</f>
        <v>ESCOLAR NIÑA</v>
      </c>
      <c r="G22" s="51" t="str">
        <f>IFERROR(INDEX('[1]REP DISEÑO'!$M$9:$M$1508,MATCH(C22,'[1]REP DISEÑO'!$D$9:$D$1508,0)),"")</f>
        <v>DE PRATI</v>
      </c>
      <c r="H22" s="51" t="str">
        <f>IFERROR(INDEX('[1]REP DISEÑO'!$J$9:$J$1508,MATCH(C22,'[1]REP DISEÑO'!$D$9:$D$1508,0)),"")</f>
        <v/>
      </c>
      <c r="I22" s="52" t="str">
        <f>IFERROR(INDEX('[1]REP DISEÑO'!$C$9:$C$1508,MATCH(C22,'[1]REP DISEÑO'!$D$9:$D$1508,0)),"")</f>
        <v>enero</v>
      </c>
      <c r="J22" s="53">
        <f>IF(C22="","",IF(ISNUMBER(FIND("AMU",$C$14:$C$548)),1,(SUMIF('[1]REP PRODUCCIÓN'!$H$6:$H$1505,"*"&amp;C22&amp;"*",'[1]REP PRODUCCIÓN'!$E$6:$E$1505))))</f>
        <v>84</v>
      </c>
      <c r="K22" s="53" t="str">
        <f t="shared" si="1"/>
        <v>OK</v>
      </c>
      <c r="M22" s="54" t="str">
        <f>IFERROR(INDEX('[1]REP DISEÑO'!$BA$9:$BA$1008,MATCH('INDIC-DIS2'!C22,'[1]REP DISEÑO'!$D$9:$D$1008,0)),"")</f>
        <v>DE PRATI</v>
      </c>
      <c r="N22" s="55"/>
      <c r="O22" s="55"/>
      <c r="P22" s="55"/>
      <c r="R22" s="57">
        <f t="shared" si="2"/>
        <v>1</v>
      </c>
    </row>
    <row r="23" spans="2:18" ht="26.25" customHeight="1" x14ac:dyDescent="0.25">
      <c r="B23" s="49">
        <f t="shared" si="0"/>
        <v>1</v>
      </c>
      <c r="C23" s="50" t="str">
        <f t="array" ref="C23">IFERROR(INDEX('[1]REP DISEÑO'!$D$9:$D$1008,SMALL(IF('[1]REP DISEÑO'!$AW$9:$AW$1008=$J$1,ROW('[1]REP DISEÑO'!$N$9:$N$1008)-ROW('[1]REP DISEÑO'!$N$9),""),ROWS(C$14:C23))+1),"")</f>
        <v>G26-5047</v>
      </c>
      <c r="D23" s="51" t="str">
        <f>IFERROR(INDEX('[1]REP DISEÑO'!$N$9:$N$1508,MATCH(C23,'[1]REP DISEÑO'!$D$9:$D$1508,0)),"")</f>
        <v>GABRIELA D.</v>
      </c>
      <c r="E23" s="51" t="str">
        <f>IFERROR(INDEX('[1]REP DISEÑO'!$G$9:$G$1508,MATCH(C23,'[1]REP DISEÑO'!$D$9:$D$1508,0)),"")</f>
        <v>DESTALONADA 0</v>
      </c>
      <c r="F23" s="51" t="str">
        <f>IFERROR(INDEX('[1]REP DISEÑO'!$I$9:$I$1508,MATCH(C23,'[1]REP DISEÑO'!$D$9:$D$1508,0)),"")</f>
        <v>ESCOLAR NIÑA</v>
      </c>
      <c r="G23" s="51" t="str">
        <f>IFERROR(INDEX('[1]REP DISEÑO'!$M$9:$M$1508,MATCH(C23,'[1]REP DISEÑO'!$D$9:$D$1508,0)),"")</f>
        <v>DE PRATI</v>
      </c>
      <c r="H23" s="51" t="str">
        <f>IFERROR(INDEX('[1]REP DISEÑO'!$J$9:$J$1508,MATCH(C23,'[1]REP DISEÑO'!$D$9:$D$1508,0)),"")</f>
        <v/>
      </c>
      <c r="I23" s="52" t="str">
        <f>IFERROR(INDEX('[1]REP DISEÑO'!$C$9:$C$1508,MATCH(C23,'[1]REP DISEÑO'!$D$9:$D$1508,0)),"")</f>
        <v>enero</v>
      </c>
      <c r="J23" s="53">
        <f>IF(C23="","",IF(ISNUMBER(FIND("AMU",$C$14:$C$548)),1,(SUMIF('[1]REP PRODUCCIÓN'!$H$6:$H$1505,"*"&amp;C23&amp;"*",'[1]REP PRODUCCIÓN'!$E$6:$E$1505))))</f>
        <v>84</v>
      </c>
      <c r="K23" s="53" t="str">
        <f t="shared" si="1"/>
        <v>OK</v>
      </c>
      <c r="M23" s="54" t="str">
        <f>IFERROR(INDEX('[1]REP DISEÑO'!$BA$9:$BA$1008,MATCH('INDIC-DIS2'!C23,'[1]REP DISEÑO'!$D$9:$D$1008,0)),"")</f>
        <v>DE PRATI</v>
      </c>
      <c r="N23" s="55"/>
      <c r="O23" s="55"/>
      <c r="P23" s="55"/>
      <c r="R23" s="57">
        <f t="shared" si="2"/>
        <v>1</v>
      </c>
    </row>
    <row r="24" spans="2:18" ht="26.25" customHeight="1" x14ac:dyDescent="0.25">
      <c r="B24" s="49">
        <f t="shared" si="0"/>
        <v>1</v>
      </c>
      <c r="C24" s="50" t="str">
        <f t="array" ref="C24">IFERROR(INDEX('[1]REP DISEÑO'!$D$9:$D$1008,SMALL(IF('[1]REP DISEÑO'!$AW$9:$AW$1008=$J$1,ROW('[1]REP DISEÑO'!$N$9:$N$1008)-ROW('[1]REP DISEÑO'!$N$9),""),ROWS(C$14:C24))+1),"")</f>
        <v>G26-5048</v>
      </c>
      <c r="D24" s="51" t="str">
        <f>IFERROR(INDEX('[1]REP DISEÑO'!$N$9:$N$1508,MATCH(C24,'[1]REP DISEÑO'!$D$9:$D$1508,0)),"")</f>
        <v>GABRIELA D.</v>
      </c>
      <c r="E24" s="51" t="str">
        <f>IFERROR(INDEX('[1]REP DISEÑO'!$G$9:$G$1508,MATCH(C24,'[1]REP DISEÑO'!$D$9:$D$1508,0)),"")</f>
        <v>TALÓN 0</v>
      </c>
      <c r="F24" s="51" t="str">
        <f>IFERROR(INDEX('[1]REP DISEÑO'!$I$9:$I$1508,MATCH(C24,'[1]REP DISEÑO'!$D$9:$D$1508,0)),"")</f>
        <v>PREESCOLAR NIÑA</v>
      </c>
      <c r="G24" s="51" t="str">
        <f>IFERROR(INDEX('[1]REP DISEÑO'!$M$9:$M$1508,MATCH(C24,'[1]REP DISEÑO'!$D$9:$D$1508,0)),"")</f>
        <v>DE PRATI</v>
      </c>
      <c r="H24" s="51" t="str">
        <f>IFERROR(INDEX('[1]REP DISEÑO'!$J$9:$J$1508,MATCH(C24,'[1]REP DISEÑO'!$D$9:$D$1508,0)),"")</f>
        <v/>
      </c>
      <c r="I24" s="52" t="str">
        <f>IFERROR(INDEX('[1]REP DISEÑO'!$C$9:$C$1508,MATCH(C24,'[1]REP DISEÑO'!$D$9:$D$1508,0)),"")</f>
        <v>enero</v>
      </c>
      <c r="J24" s="53">
        <f>IF(C24="","",IF(ISNUMBER(FIND("AMU",$C$14:$C$548)),1,(SUMIF('[1]REP PRODUCCIÓN'!$H$6:$H$1505,"*"&amp;C24&amp;"*",'[1]REP PRODUCCIÓN'!$E$6:$E$1505))))</f>
        <v>84</v>
      </c>
      <c r="K24" s="53" t="str">
        <f t="shared" si="1"/>
        <v>OK</v>
      </c>
      <c r="M24" s="54" t="str">
        <f>IFERROR(INDEX('[1]REP DISEÑO'!$BA$9:$BA$1008,MATCH('INDIC-DIS2'!C24,'[1]REP DISEÑO'!$D$9:$D$1008,0)),"")</f>
        <v>DE PRATI</v>
      </c>
      <c r="N24" s="55"/>
      <c r="O24" s="55"/>
      <c r="P24" s="55"/>
      <c r="R24" s="57">
        <f t="shared" si="2"/>
        <v>1</v>
      </c>
    </row>
    <row r="25" spans="2:18" ht="26.25" customHeight="1" x14ac:dyDescent="0.25">
      <c r="B25" s="49">
        <f t="shared" si="0"/>
        <v>0</v>
      </c>
      <c r="C25" s="50" t="str">
        <f t="array" ref="C25">IFERROR(INDEX('[1]REP DISEÑO'!$D$9:$D$1008,SMALL(IF('[1]REP DISEÑO'!$AW$9:$AW$1008=$J$1,ROW('[1]REP DISEÑO'!$N$9:$N$1008)-ROW('[1]REP DISEÑO'!$N$9),""),ROWS(C$14:C25))+1),"")</f>
        <v>G26-5049</v>
      </c>
      <c r="D25" s="51" t="str">
        <f>IFERROR(INDEX('[1]REP DISEÑO'!$N$9:$N$1508,MATCH(C25,'[1]REP DISEÑO'!$D$9:$D$1508,0)),"")</f>
        <v>GABRIELA D.</v>
      </c>
      <c r="E25" s="51" t="str">
        <f>IFERROR(INDEX('[1]REP DISEÑO'!$G$9:$G$1508,MATCH(C25,'[1]REP DISEÑO'!$D$9:$D$1508,0)),"")</f>
        <v>TALÓN 0</v>
      </c>
      <c r="F25" s="51" t="str">
        <f>IFERROR(INDEX('[1]REP DISEÑO'!$I$9:$I$1508,MATCH(C25,'[1]REP DISEÑO'!$D$9:$D$1508,0)),"")</f>
        <v>PREESCOLAR NIÑA</v>
      </c>
      <c r="G25" s="51" t="str">
        <f>IFERROR(INDEX('[1]REP DISEÑO'!$M$9:$M$1508,MATCH(C25,'[1]REP DISEÑO'!$D$9:$D$1508,0)),"")</f>
        <v>DE PRATI</v>
      </c>
      <c r="H25" s="51" t="str">
        <f>IFERROR(INDEX('[1]REP DISEÑO'!$J$9:$J$1508,MATCH(C25,'[1]REP DISEÑO'!$D$9:$D$1508,0)),"")</f>
        <v/>
      </c>
      <c r="I25" s="52" t="str">
        <f>IFERROR(INDEX('[1]REP DISEÑO'!$C$9:$C$1508,MATCH(C25,'[1]REP DISEÑO'!$D$9:$D$1508,0)),"")</f>
        <v>enero</v>
      </c>
      <c r="J25" s="53">
        <f>IF(C25="","",IF(ISNUMBER(FIND("AMU",$C$14:$C$548)),1,(SUMIF('[1]REP PRODUCCIÓN'!$H$6:$H$1505,"*"&amp;C25&amp;"*",'[1]REP PRODUCCIÓN'!$E$6:$E$1505))))</f>
        <v>0</v>
      </c>
      <c r="K25" s="53">
        <f t="shared" si="1"/>
        <v>0</v>
      </c>
      <c r="M25" s="54" t="str">
        <f>IFERROR(INDEX('[1]REP DISEÑO'!$BA$9:$BA$1008,MATCH('INDIC-DIS2'!C25,'[1]REP DISEÑO'!$D$9:$D$1008,0)),"")</f>
        <v>DE PRATI</v>
      </c>
      <c r="N25" s="55"/>
      <c r="O25" s="55"/>
      <c r="P25" s="55"/>
      <c r="R25" s="57">
        <f t="shared" si="2"/>
        <v>1</v>
      </c>
    </row>
    <row r="26" spans="2:18" ht="26.25" customHeight="1" x14ac:dyDescent="0.25">
      <c r="B26" s="49">
        <f t="shared" si="0"/>
        <v>0</v>
      </c>
      <c r="C26" s="50" t="str">
        <f t="array" ref="C26">IFERROR(INDEX('[1]REP DISEÑO'!$D$9:$D$1008,SMALL(IF('[1]REP DISEÑO'!$AW$9:$AW$1008=$J$1,ROW('[1]REP DISEÑO'!$N$9:$N$1008)-ROW('[1]REP DISEÑO'!$N$9),""),ROWS(C$14:C26))+1),"")</f>
        <v>G26-5050</v>
      </c>
      <c r="D26" s="51" t="str">
        <f>IFERROR(INDEX('[1]REP DISEÑO'!$N$9:$N$1508,MATCH(C26,'[1]REP DISEÑO'!$D$9:$D$1508,0)),"")</f>
        <v>GABRIELA D.</v>
      </c>
      <c r="E26" s="51" t="str">
        <f>IFERROR(INDEX('[1]REP DISEÑO'!$G$9:$G$1508,MATCH(C26,'[1]REP DISEÑO'!$D$9:$D$1508,0)),"")</f>
        <v>BOTA 0</v>
      </c>
      <c r="F26" s="51" t="str">
        <f>IFERROR(INDEX('[1]REP DISEÑO'!$I$9:$I$1508,MATCH(C26,'[1]REP DISEÑO'!$D$9:$D$1508,0)),"")</f>
        <v>PREESCOLAR NIÑA</v>
      </c>
      <c r="G26" s="51" t="str">
        <f>IFERROR(INDEX('[1]REP DISEÑO'!$M$9:$M$1508,MATCH(C26,'[1]REP DISEÑO'!$D$9:$D$1508,0)),"")</f>
        <v>DE PRATI</v>
      </c>
      <c r="H26" s="51" t="str">
        <f>IFERROR(INDEX('[1]REP DISEÑO'!$J$9:$J$1508,MATCH(C26,'[1]REP DISEÑO'!$D$9:$D$1508,0)),"")</f>
        <v/>
      </c>
      <c r="I26" s="52" t="str">
        <f>IFERROR(INDEX('[1]REP DISEÑO'!$C$9:$C$1508,MATCH(C26,'[1]REP DISEÑO'!$D$9:$D$1508,0)),"")</f>
        <v>enero</v>
      </c>
      <c r="J26" s="53">
        <f>IF(C26="","",IF(ISNUMBER(FIND("AMU",$C$14:$C$548)),1,(SUMIF('[1]REP PRODUCCIÓN'!$H$6:$H$1505,"*"&amp;C26&amp;"*",'[1]REP PRODUCCIÓN'!$E$6:$E$1505))))</f>
        <v>0</v>
      </c>
      <c r="K26" s="53">
        <f t="shared" si="1"/>
        <v>0</v>
      </c>
      <c r="M26" s="54" t="str">
        <f>IFERROR(INDEX('[1]REP DISEÑO'!$BA$9:$BA$1008,MATCH('INDIC-DIS2'!C26,'[1]REP DISEÑO'!$D$9:$D$1008,0)),"")</f>
        <v>DE PRATI</v>
      </c>
      <c r="N26" s="55"/>
      <c r="O26" s="55"/>
      <c r="P26" s="55"/>
      <c r="R26" s="57">
        <f t="shared" si="2"/>
        <v>1</v>
      </c>
    </row>
    <row r="27" spans="2:18" ht="26.25" customHeight="1" x14ac:dyDescent="0.25">
      <c r="B27" s="49">
        <f t="shared" si="0"/>
        <v>0</v>
      </c>
      <c r="C27" s="50" t="str">
        <f t="array" ref="C27">IFERROR(INDEX('[1]REP DISEÑO'!$D$9:$D$1008,SMALL(IF('[1]REP DISEÑO'!$AW$9:$AW$1008=$J$1,ROW('[1]REP DISEÑO'!$N$9:$N$1008)-ROW('[1]REP DISEÑO'!$N$9),""),ROWS(C$14:C27))+1),"")</f>
        <v>G26-5053</v>
      </c>
      <c r="D27" s="51" t="str">
        <f>IFERROR(INDEX('[1]REP DISEÑO'!$N$9:$N$1508,MATCH(C27,'[1]REP DISEÑO'!$D$9:$D$1508,0)),"")</f>
        <v>GABRIELA D.</v>
      </c>
      <c r="E27" s="51" t="str">
        <f>IFERROR(INDEX('[1]REP DISEÑO'!$G$9:$G$1508,MATCH(C27,'[1]REP DISEÑO'!$D$9:$D$1508,0)),"")</f>
        <v>TALÓN 0</v>
      </c>
      <c r="F27" s="51" t="str">
        <f>IFERROR(INDEX('[1]REP DISEÑO'!$I$9:$I$1508,MATCH(C27,'[1]REP DISEÑO'!$D$9:$D$1508,0)),"")</f>
        <v>PREESCOLAR NIÑA</v>
      </c>
      <c r="G27" s="51" t="str">
        <f>IFERROR(INDEX('[1]REP DISEÑO'!$M$9:$M$1508,MATCH(C27,'[1]REP DISEÑO'!$D$9:$D$1508,0)),"")</f>
        <v>DE PRATI</v>
      </c>
      <c r="H27" s="51" t="str">
        <f>IFERROR(INDEX('[1]REP DISEÑO'!$J$9:$J$1508,MATCH(C27,'[1]REP DISEÑO'!$D$9:$D$1508,0)),"")</f>
        <v/>
      </c>
      <c r="I27" s="52" t="str">
        <f>IFERROR(INDEX('[1]REP DISEÑO'!$C$9:$C$1508,MATCH(C27,'[1]REP DISEÑO'!$D$9:$D$1508,0)),"")</f>
        <v>enero</v>
      </c>
      <c r="J27" s="53">
        <f>IF(C27="","",IF(ISNUMBER(FIND("AMU",$C$14:$C$548)),1,(SUMIF('[1]REP PRODUCCIÓN'!$H$6:$H$1505,"*"&amp;C27&amp;"*",'[1]REP PRODUCCIÓN'!$E$6:$E$1505))))</f>
        <v>0</v>
      </c>
      <c r="K27" s="53">
        <f t="shared" si="1"/>
        <v>0</v>
      </c>
      <c r="M27" s="54" t="str">
        <f>IFERROR(INDEX('[1]REP DISEÑO'!$BA$9:$BA$1008,MATCH('INDIC-DIS2'!C27,'[1]REP DISEÑO'!$D$9:$D$1008,0)),"")</f>
        <v>DE PRATI</v>
      </c>
      <c r="N27" s="55"/>
      <c r="O27" s="55"/>
      <c r="P27" s="55"/>
      <c r="R27" s="57">
        <f t="shared" si="2"/>
        <v>1</v>
      </c>
    </row>
    <row r="28" spans="2:18" ht="26.25" customHeight="1" x14ac:dyDescent="0.25">
      <c r="B28" s="49">
        <f t="shared" si="0"/>
        <v>0</v>
      </c>
      <c r="C28" s="50" t="str">
        <f t="array" ref="C28">IFERROR(INDEX('[1]REP DISEÑO'!$D$9:$D$1008,SMALL(IF('[1]REP DISEÑO'!$AW$9:$AW$1008=$J$1,ROW('[1]REP DISEÑO'!$N$9:$N$1008)-ROW('[1]REP DISEÑO'!$N$9),""),ROWS(C$14:C28))+1),"")</f>
        <v>G26-5054</v>
      </c>
      <c r="D28" s="51" t="str">
        <f>IFERROR(INDEX('[1]REP DISEÑO'!$N$9:$N$1508,MATCH(C28,'[1]REP DISEÑO'!$D$9:$D$1508,0)),"")</f>
        <v>GABRIELA D.</v>
      </c>
      <c r="E28" s="51" t="str">
        <f>IFERROR(INDEX('[1]REP DISEÑO'!$G$9:$G$1508,MATCH(C28,'[1]REP DISEÑO'!$D$9:$D$1508,0)),"")</f>
        <v>TALÓN 0</v>
      </c>
      <c r="F28" s="51" t="str">
        <f>IFERROR(INDEX('[1]REP DISEÑO'!$I$9:$I$1508,MATCH(C28,'[1]REP DISEÑO'!$D$9:$D$1508,0)),"")</f>
        <v>PREESCOLAR NIÑA</v>
      </c>
      <c r="G28" s="51" t="str">
        <f>IFERROR(INDEX('[1]REP DISEÑO'!$M$9:$M$1508,MATCH(C28,'[1]REP DISEÑO'!$D$9:$D$1508,0)),"")</f>
        <v>DE PRATI</v>
      </c>
      <c r="H28" s="51" t="str">
        <f>IFERROR(INDEX('[1]REP DISEÑO'!$J$9:$J$1508,MATCH(C28,'[1]REP DISEÑO'!$D$9:$D$1508,0)),"")</f>
        <v/>
      </c>
      <c r="I28" s="52" t="str">
        <f>IFERROR(INDEX('[1]REP DISEÑO'!$C$9:$C$1508,MATCH(C28,'[1]REP DISEÑO'!$D$9:$D$1508,0)),"")</f>
        <v>enero</v>
      </c>
      <c r="J28" s="53">
        <f>IF(C28="","",IF(ISNUMBER(FIND("AMU",$C$14:$C$548)),1,(SUMIF('[1]REP PRODUCCIÓN'!$H$6:$H$1505,"*"&amp;C28&amp;"*",'[1]REP PRODUCCIÓN'!$E$6:$E$1505))))</f>
        <v>0</v>
      </c>
      <c r="K28" s="53">
        <f t="shared" si="1"/>
        <v>0</v>
      </c>
      <c r="M28" s="54" t="str">
        <f>IFERROR(INDEX('[1]REP DISEÑO'!$BA$9:$BA$1008,MATCH('INDIC-DIS2'!C28,'[1]REP DISEÑO'!$D$9:$D$1008,0)),"")</f>
        <v>DE PRATI</v>
      </c>
      <c r="N28" s="55"/>
      <c r="O28" s="55"/>
      <c r="P28" s="55"/>
      <c r="R28" s="57">
        <f t="shared" si="2"/>
        <v>1</v>
      </c>
    </row>
    <row r="29" spans="2:18" ht="26.25" customHeight="1" x14ac:dyDescent="0.25">
      <c r="B29" s="49">
        <f t="shared" si="0"/>
        <v>0</v>
      </c>
      <c r="C29" s="50" t="str">
        <f t="array" ref="C29">IFERROR(INDEX('[1]REP DISEÑO'!$D$9:$D$1008,SMALL(IF('[1]REP DISEÑO'!$AW$9:$AW$1008=$J$1,ROW('[1]REP DISEÑO'!$N$9:$N$1008)-ROW('[1]REP DISEÑO'!$N$9),""),ROWS(C$14:C29))+1),"")</f>
        <v>D26-4043</v>
      </c>
      <c r="D29" s="51" t="str">
        <f>IFERROR(INDEX('[1]REP DISEÑO'!$N$9:$N$1508,MATCH(C29,'[1]REP DISEÑO'!$D$9:$D$1508,0)),"")</f>
        <v>GABRIELA D.</v>
      </c>
      <c r="E29" s="51" t="str">
        <f>IFERROR(INDEX('[1]REP DISEÑO'!$G$9:$G$1508,MATCH(C29,'[1]REP DISEÑO'!$D$9:$D$1508,0)),"")</f>
        <v>SUECA 0</v>
      </c>
      <c r="F29" s="51" t="str">
        <f>IFERROR(INDEX('[1]REP DISEÑO'!$I$9:$I$1508,MATCH(C29,'[1]REP DISEÑO'!$D$9:$D$1508,0)),"")</f>
        <v>DAMA</v>
      </c>
      <c r="G29" s="51" t="str">
        <f>IFERROR(INDEX('[1]REP DISEÑO'!$M$9:$M$1508,MATCH(C29,'[1]REP DISEÑO'!$D$9:$D$1508,0)),"")</f>
        <v>SOCKIES</v>
      </c>
      <c r="H29" s="51" t="str">
        <f>IFERROR(INDEX('[1]REP DISEÑO'!$J$9:$J$1508,MATCH(C29,'[1]REP DISEÑO'!$D$9:$D$1508,0)),"")</f>
        <v/>
      </c>
      <c r="I29" s="52" t="str">
        <f>IFERROR(INDEX('[1]REP DISEÑO'!$C$9:$C$1508,MATCH(C29,'[1]REP DISEÑO'!$D$9:$D$1508,0)),"")</f>
        <v>enero</v>
      </c>
      <c r="J29" s="53">
        <f>IF(C29="","",IF(ISNUMBER(FIND("AMU",$C$14:$C$548)),1,(SUMIF('[1]REP PRODUCCIÓN'!$H$6:$H$1505,"*"&amp;C29&amp;"*",'[1]REP PRODUCCIÓN'!$E$6:$E$1505))))</f>
        <v>0</v>
      </c>
      <c r="K29" s="53">
        <f t="shared" si="1"/>
        <v>0</v>
      </c>
      <c r="M29" s="54" t="str">
        <f>IFERROR(INDEX('[1]REP DISEÑO'!$BA$9:$BA$1008,MATCH('INDIC-DIS2'!C29,'[1]REP DISEÑO'!$D$9:$D$1008,0)),"")</f>
        <v>SOCKIES</v>
      </c>
      <c r="N29" s="55"/>
      <c r="O29" s="55"/>
      <c r="P29" s="55"/>
      <c r="R29" s="57">
        <f t="shared" si="2"/>
        <v>1</v>
      </c>
    </row>
    <row r="30" spans="2:18" ht="26.25" customHeight="1" x14ac:dyDescent="0.25">
      <c r="B30" s="49">
        <f t="shared" si="0"/>
        <v>0</v>
      </c>
      <c r="C30" s="50" t="str">
        <f t="array" ref="C30">IFERROR(INDEX('[1]REP DISEÑO'!$D$9:$D$1008,SMALL(IF('[1]REP DISEÑO'!$AW$9:$AW$1008=$J$1,ROW('[1]REP DISEÑO'!$N$9:$N$1008)-ROW('[1]REP DISEÑO'!$N$9),""),ROWS(C$14:C30))+1),"")</f>
        <v>D26-4044</v>
      </c>
      <c r="D30" s="51" t="str">
        <f>IFERROR(INDEX('[1]REP DISEÑO'!$N$9:$N$1508,MATCH(C30,'[1]REP DISEÑO'!$D$9:$D$1508,0)),"")</f>
        <v>GABRIELA D.</v>
      </c>
      <c r="E30" s="51" t="str">
        <f>IFERROR(INDEX('[1]REP DISEÑO'!$G$9:$G$1508,MATCH(C30,'[1]REP DISEÑO'!$D$9:$D$1508,0)),"")</f>
        <v>DESTALONADA 0</v>
      </c>
      <c r="F30" s="51" t="str">
        <f>IFERROR(INDEX('[1]REP DISEÑO'!$I$9:$I$1508,MATCH(C30,'[1]REP DISEÑO'!$D$9:$D$1508,0)),"")</f>
        <v>DAMA</v>
      </c>
      <c r="G30" s="51" t="str">
        <f>IFERROR(INDEX('[1]REP DISEÑO'!$M$9:$M$1508,MATCH(C30,'[1]REP DISEÑO'!$D$9:$D$1508,0)),"")</f>
        <v>SOCKIES</v>
      </c>
      <c r="H30" s="51" t="str">
        <f>IFERROR(INDEX('[1]REP DISEÑO'!$J$9:$J$1508,MATCH(C30,'[1]REP DISEÑO'!$D$9:$D$1508,0)),"")</f>
        <v/>
      </c>
      <c r="I30" s="52" t="str">
        <f>IFERROR(INDEX('[1]REP DISEÑO'!$C$9:$C$1508,MATCH(C30,'[1]REP DISEÑO'!$D$9:$D$1508,0)),"")</f>
        <v>enero</v>
      </c>
      <c r="J30" s="53">
        <f>IF(C30="","",IF(ISNUMBER(FIND("AMU",$C$14:$C$548)),1,(SUMIF('[1]REP PRODUCCIÓN'!$H$6:$H$1505,"*"&amp;C30&amp;"*",'[1]REP PRODUCCIÓN'!$E$6:$E$1505))))</f>
        <v>0</v>
      </c>
      <c r="K30" s="53">
        <f t="shared" si="1"/>
        <v>0</v>
      </c>
      <c r="M30" s="54" t="str">
        <f>IFERROR(INDEX('[1]REP DISEÑO'!$BA$9:$BA$1008,MATCH('INDIC-DIS2'!C30,'[1]REP DISEÑO'!$D$9:$D$1008,0)),"")</f>
        <v>SOCKIES</v>
      </c>
      <c r="N30" s="55"/>
      <c r="O30" s="55"/>
      <c r="P30" s="55"/>
      <c r="R30" s="57">
        <f t="shared" si="2"/>
        <v>1</v>
      </c>
    </row>
    <row r="31" spans="2:18" ht="26.25" customHeight="1" x14ac:dyDescent="0.25">
      <c r="B31" s="49">
        <f t="shared" si="0"/>
        <v>0</v>
      </c>
      <c r="C31" s="50" t="str">
        <f t="array" ref="C31">IFERROR(INDEX('[1]REP DISEÑO'!$D$9:$D$1008,SMALL(IF('[1]REP DISEÑO'!$AW$9:$AW$1008=$J$1,ROW('[1]REP DISEÑO'!$N$9:$N$1008)-ROW('[1]REP DISEÑO'!$N$9),""),ROWS(C$14:C31))+1),"")</f>
        <v>D26-4045</v>
      </c>
      <c r="D31" s="51" t="str">
        <f>IFERROR(INDEX('[1]REP DISEÑO'!$N$9:$N$1508,MATCH(C31,'[1]REP DISEÑO'!$D$9:$D$1508,0)),"")</f>
        <v>GABRIELA D.</v>
      </c>
      <c r="E31" s="51" t="str">
        <f>IFERROR(INDEX('[1]REP DISEÑO'!$G$9:$G$1508,MATCH(C31,'[1]REP DISEÑO'!$D$9:$D$1508,0)),"")</f>
        <v>SUECA 0</v>
      </c>
      <c r="F31" s="51" t="str">
        <f>IFERROR(INDEX('[1]REP DISEÑO'!$I$9:$I$1508,MATCH(C31,'[1]REP DISEÑO'!$D$9:$D$1508,0)),"")</f>
        <v>DAMA</v>
      </c>
      <c r="G31" s="51" t="str">
        <f>IFERROR(INDEX('[1]REP DISEÑO'!$M$9:$M$1508,MATCH(C31,'[1]REP DISEÑO'!$D$9:$D$1508,0)),"")</f>
        <v>SOCKIES</v>
      </c>
      <c r="H31" s="51" t="str">
        <f>IFERROR(INDEX('[1]REP DISEÑO'!$J$9:$J$1508,MATCH(C31,'[1]REP DISEÑO'!$D$9:$D$1508,0)),"")</f>
        <v/>
      </c>
      <c r="I31" s="52" t="str">
        <f>IFERROR(INDEX('[1]REP DISEÑO'!$C$9:$C$1508,MATCH(C31,'[1]REP DISEÑO'!$D$9:$D$1508,0)),"")</f>
        <v>enero</v>
      </c>
      <c r="J31" s="53">
        <f>IF(C31="","",IF(ISNUMBER(FIND("AMU",$C$14:$C$548)),1,(SUMIF('[1]REP PRODUCCIÓN'!$H$6:$H$1505,"*"&amp;C31&amp;"*",'[1]REP PRODUCCIÓN'!$E$6:$E$1505))))</f>
        <v>0</v>
      </c>
      <c r="K31" s="53">
        <f t="shared" si="1"/>
        <v>0</v>
      </c>
      <c r="M31" s="54" t="str">
        <f>IFERROR(INDEX('[1]REP DISEÑO'!$BA$9:$BA$1008,MATCH('INDIC-DIS2'!C31,'[1]REP DISEÑO'!$D$9:$D$1008,0)),"")</f>
        <v>SOCKIES</v>
      </c>
      <c r="N31" s="55"/>
      <c r="O31" s="55"/>
      <c r="P31" s="55"/>
      <c r="R31" s="57">
        <f t="shared" si="2"/>
        <v>1</v>
      </c>
    </row>
    <row r="32" spans="2:18" ht="26.25" customHeight="1" x14ac:dyDescent="0.25">
      <c r="B32" s="49">
        <f t="shared" si="0"/>
        <v>0</v>
      </c>
      <c r="C32" s="50" t="str">
        <f t="array" ref="C32">IFERROR(INDEX('[1]REP DISEÑO'!$D$9:$D$1008,SMALL(IF('[1]REP DISEÑO'!$AW$9:$AW$1008=$J$1,ROW('[1]REP DISEÑO'!$N$9:$N$1008)-ROW('[1]REP DISEÑO'!$N$9),""),ROWS(C$14:C32))+1),"")</f>
        <v>D26-4046</v>
      </c>
      <c r="D32" s="51" t="str">
        <f>IFERROR(INDEX('[1]REP DISEÑO'!$N$9:$N$1508,MATCH(C32,'[1]REP DISEÑO'!$D$9:$D$1508,0)),"")</f>
        <v>GABRIELA D.</v>
      </c>
      <c r="E32" s="51" t="str">
        <f>IFERROR(INDEX('[1]REP DISEÑO'!$G$9:$G$1508,MATCH(C32,'[1]REP DISEÑO'!$D$9:$D$1508,0)),"")</f>
        <v>DESTALONADA CON FILO</v>
      </c>
      <c r="F32" s="51" t="str">
        <f>IFERROR(INDEX('[1]REP DISEÑO'!$I$9:$I$1508,MATCH(C32,'[1]REP DISEÑO'!$D$9:$D$1508,0)),"")</f>
        <v>DAMA</v>
      </c>
      <c r="G32" s="51" t="str">
        <f>IFERROR(INDEX('[1]REP DISEÑO'!$M$9:$M$1508,MATCH(C32,'[1]REP DISEÑO'!$D$9:$D$1508,0)),"")</f>
        <v>SOCKIES</v>
      </c>
      <c r="H32" s="51" t="str">
        <f>IFERROR(INDEX('[1]REP DISEÑO'!$J$9:$J$1508,MATCH(C32,'[1]REP DISEÑO'!$D$9:$D$1508,0)),"")</f>
        <v/>
      </c>
      <c r="I32" s="52" t="str">
        <f>IFERROR(INDEX('[1]REP DISEÑO'!$C$9:$C$1508,MATCH(C32,'[1]REP DISEÑO'!$D$9:$D$1508,0)),"")</f>
        <v>enero</v>
      </c>
      <c r="J32" s="53">
        <f>IF(C32="","",IF(ISNUMBER(FIND("AMU",$C$14:$C$548)),1,(SUMIF('[1]REP PRODUCCIÓN'!$H$6:$H$1505,"*"&amp;C32&amp;"*",'[1]REP PRODUCCIÓN'!$E$6:$E$1505))))</f>
        <v>0</v>
      </c>
      <c r="K32" s="53">
        <f t="shared" si="1"/>
        <v>0</v>
      </c>
      <c r="M32" s="54" t="str">
        <f>IFERROR(INDEX('[1]REP DISEÑO'!$BA$9:$BA$1008,MATCH('INDIC-DIS2'!C32,'[1]REP DISEÑO'!$D$9:$D$1008,0)),"")</f>
        <v>SOCKIES</v>
      </c>
      <c r="N32" s="55"/>
      <c r="O32" s="55"/>
      <c r="P32" s="55"/>
      <c r="R32" s="57">
        <f t="shared" si="2"/>
        <v>1</v>
      </c>
    </row>
    <row r="33" spans="2:18" ht="26.25" customHeight="1" x14ac:dyDescent="0.25">
      <c r="B33" s="49">
        <f t="shared" si="0"/>
        <v>1</v>
      </c>
      <c r="C33" s="50" t="str">
        <f t="array" ref="C33">IFERROR(INDEX('[1]REP DISEÑO'!$D$9:$D$1008,SMALL(IF('[1]REP DISEÑO'!$AW$9:$AW$1008=$J$1,ROW('[1]REP DISEÑO'!$N$9:$N$1008)-ROW('[1]REP DISEÑO'!$N$9),""),ROWS(C$14:C33))+1),"")</f>
        <v>D26-4047</v>
      </c>
      <c r="D33" s="51" t="str">
        <f>IFERROR(INDEX('[1]REP DISEÑO'!$N$9:$N$1508,MATCH(C33,'[1]REP DISEÑO'!$D$9:$D$1508,0)),"")</f>
        <v>GABRIELA D.</v>
      </c>
      <c r="E33" s="51" t="str">
        <f>IFERROR(INDEX('[1]REP DISEÑO'!$G$9:$G$1508,MATCH(C33,'[1]REP DISEÑO'!$D$9:$D$1508,0)),"")</f>
        <v>DESTALONADA CON FILO</v>
      </c>
      <c r="F33" s="51" t="str">
        <f>IFERROR(INDEX('[1]REP DISEÑO'!$I$9:$I$1508,MATCH(C33,'[1]REP DISEÑO'!$D$9:$D$1508,0)),"")</f>
        <v>DAMA</v>
      </c>
      <c r="G33" s="51" t="str">
        <f>IFERROR(INDEX('[1]REP DISEÑO'!$M$9:$M$1508,MATCH(C33,'[1]REP DISEÑO'!$D$9:$D$1508,0)),"")</f>
        <v>SOCKIES</v>
      </c>
      <c r="H33" s="51" t="str">
        <f>IFERROR(INDEX('[1]REP DISEÑO'!$J$9:$J$1508,MATCH(C33,'[1]REP DISEÑO'!$D$9:$D$1508,0)),"")</f>
        <v/>
      </c>
      <c r="I33" s="52" t="str">
        <f>IFERROR(INDEX('[1]REP DISEÑO'!$C$9:$C$1508,MATCH(C33,'[1]REP DISEÑO'!$D$9:$D$1508,0)),"")</f>
        <v>enero</v>
      </c>
      <c r="J33" s="53">
        <f>IF(C33="","",IF(ISNUMBER(FIND("AMU",$C$14:$C$548)),1,(SUMIF('[1]REP PRODUCCIÓN'!$H$6:$H$1505,"*"&amp;C33&amp;"*",'[1]REP PRODUCCIÓN'!$E$6:$E$1505))))</f>
        <v>169</v>
      </c>
      <c r="K33" s="53" t="str">
        <f t="shared" si="1"/>
        <v>OK</v>
      </c>
      <c r="M33" s="54" t="str">
        <f>IFERROR(INDEX('[1]REP DISEÑO'!$BA$9:$BA$1008,MATCH('INDIC-DIS2'!C33,'[1]REP DISEÑO'!$D$9:$D$1008,0)),"")</f>
        <v>SOCKIES</v>
      </c>
      <c r="N33" s="55"/>
      <c r="O33" s="55"/>
      <c r="P33" s="55"/>
      <c r="R33" s="57">
        <f t="shared" si="2"/>
        <v>1</v>
      </c>
    </row>
    <row r="34" spans="2:18" ht="26.25" customHeight="1" x14ac:dyDescent="0.25">
      <c r="B34" s="49">
        <f t="shared" si="0"/>
        <v>0</v>
      </c>
      <c r="C34" s="50" t="str">
        <f t="array" ref="C34">IFERROR(INDEX('[1]REP DISEÑO'!$D$9:$D$1008,SMALL(IF('[1]REP DISEÑO'!$AW$9:$AW$1008=$J$1,ROW('[1]REP DISEÑO'!$N$9:$N$1008)-ROW('[1]REP DISEÑO'!$N$9),""),ROWS(C$14:C34))+1),"")</f>
        <v>D26-4048</v>
      </c>
      <c r="D34" s="51" t="str">
        <f>IFERROR(INDEX('[1]REP DISEÑO'!$N$9:$N$1508,MATCH(C34,'[1]REP DISEÑO'!$D$9:$D$1508,0)),"")</f>
        <v>GABRIELA D.</v>
      </c>
      <c r="E34" s="51" t="str">
        <f>IFERROR(INDEX('[1]REP DISEÑO'!$G$9:$G$1508,MATCH(C34,'[1]REP DISEÑO'!$D$9:$D$1508,0)),"")</f>
        <v>SUECA 0</v>
      </c>
      <c r="F34" s="51" t="str">
        <f>IFERROR(INDEX('[1]REP DISEÑO'!$I$9:$I$1508,MATCH(C34,'[1]REP DISEÑO'!$D$9:$D$1508,0)),"")</f>
        <v>DAMA</v>
      </c>
      <c r="G34" s="51" t="str">
        <f>IFERROR(INDEX('[1]REP DISEÑO'!$M$9:$M$1508,MATCH(C34,'[1]REP DISEÑO'!$D$9:$D$1508,0)),"")</f>
        <v>SOCKIES</v>
      </c>
      <c r="H34" s="51" t="str">
        <f>IFERROR(INDEX('[1]REP DISEÑO'!$J$9:$J$1508,MATCH(C34,'[1]REP DISEÑO'!$D$9:$D$1508,0)),"")</f>
        <v/>
      </c>
      <c r="I34" s="52" t="str">
        <f>IFERROR(INDEX('[1]REP DISEÑO'!$C$9:$C$1508,MATCH(C34,'[1]REP DISEÑO'!$D$9:$D$1508,0)),"")</f>
        <v>enero</v>
      </c>
      <c r="J34" s="53">
        <f>IF(C34="","",IF(ISNUMBER(FIND("AMU",$C$14:$C$548)),1,(SUMIF('[1]REP PRODUCCIÓN'!$H$6:$H$1505,"*"&amp;C34&amp;"*",'[1]REP PRODUCCIÓN'!$E$6:$E$1505))))</f>
        <v>0</v>
      </c>
      <c r="K34" s="53">
        <f t="shared" si="1"/>
        <v>0</v>
      </c>
      <c r="M34" s="54" t="str">
        <f>IFERROR(INDEX('[1]REP DISEÑO'!$BA$9:$BA$1008,MATCH('INDIC-DIS2'!C34,'[1]REP DISEÑO'!$D$9:$D$1008,0)),"")</f>
        <v>SOCKIES</v>
      </c>
      <c r="N34" s="55"/>
      <c r="O34" s="55"/>
      <c r="P34" s="55"/>
      <c r="R34" s="57">
        <f t="shared" si="2"/>
        <v>1</v>
      </c>
    </row>
    <row r="35" spans="2:18" ht="26.25" customHeight="1" x14ac:dyDescent="0.25">
      <c r="B35" s="49">
        <f t="shared" si="0"/>
        <v>1</v>
      </c>
      <c r="C35" s="50" t="str">
        <f t="array" ref="C35">IFERROR(INDEX('[1]REP DISEÑO'!$D$9:$D$1008,SMALL(IF('[1]REP DISEÑO'!$AW$9:$AW$1008=$J$1,ROW('[1]REP DISEÑO'!$N$9:$N$1008)-ROW('[1]REP DISEÑO'!$N$9),""),ROWS(C$14:C35))+1),"")</f>
        <v>D26-4049</v>
      </c>
      <c r="D35" s="51" t="str">
        <f>IFERROR(INDEX('[1]REP DISEÑO'!$N$9:$N$1508,MATCH(C35,'[1]REP DISEÑO'!$D$9:$D$1508,0)),"")</f>
        <v>GABRIELA D.</v>
      </c>
      <c r="E35" s="51" t="str">
        <f>IFERROR(INDEX('[1]REP DISEÑO'!$G$9:$G$1508,MATCH(C35,'[1]REP DISEÑO'!$D$9:$D$1508,0)),"")</f>
        <v>DESTALONADA 0</v>
      </c>
      <c r="F35" s="51" t="str">
        <f>IFERROR(INDEX('[1]REP DISEÑO'!$I$9:$I$1508,MATCH(C35,'[1]REP DISEÑO'!$D$9:$D$1508,0)),"")</f>
        <v>DAMA</v>
      </c>
      <c r="G35" s="51" t="str">
        <f>IFERROR(INDEX('[1]REP DISEÑO'!$M$9:$M$1508,MATCH(C35,'[1]REP DISEÑO'!$D$9:$D$1508,0)),"")</f>
        <v>SOCKIES</v>
      </c>
      <c r="H35" s="51" t="str">
        <f>IFERROR(INDEX('[1]REP DISEÑO'!$J$9:$J$1508,MATCH(C35,'[1]REP DISEÑO'!$D$9:$D$1508,0)),"")</f>
        <v/>
      </c>
      <c r="I35" s="52" t="str">
        <f>IFERROR(INDEX('[1]REP DISEÑO'!$C$9:$C$1508,MATCH(C35,'[1]REP DISEÑO'!$D$9:$D$1508,0)),"")</f>
        <v>enero</v>
      </c>
      <c r="J35" s="53">
        <f>IF(C35="","",IF(ISNUMBER(FIND("AMU",$C$14:$C$548)),1,(SUMIF('[1]REP PRODUCCIÓN'!$H$6:$H$1505,"*"&amp;C35&amp;"*",'[1]REP PRODUCCIÓN'!$E$6:$E$1505))))</f>
        <v>169</v>
      </c>
      <c r="K35" s="53" t="str">
        <f t="shared" si="1"/>
        <v>OK</v>
      </c>
      <c r="M35" s="54" t="str">
        <f>IFERROR(INDEX('[1]REP DISEÑO'!$BA$9:$BA$1008,MATCH('INDIC-DIS2'!C35,'[1]REP DISEÑO'!$D$9:$D$1008,0)),"")</f>
        <v>SOCKIES</v>
      </c>
      <c r="N35" s="55"/>
      <c r="O35" s="55"/>
      <c r="P35" s="55"/>
      <c r="R35" s="57">
        <f t="shared" si="2"/>
        <v>1</v>
      </c>
    </row>
    <row r="36" spans="2:18" ht="26.25" customHeight="1" x14ac:dyDescent="0.25">
      <c r="B36" s="49">
        <f t="shared" si="0"/>
        <v>1</v>
      </c>
      <c r="C36" s="50" t="str">
        <f t="array" ref="C36">IFERROR(INDEX('[1]REP DISEÑO'!$D$9:$D$1008,SMALL(IF('[1]REP DISEÑO'!$AW$9:$AW$1008=$J$1,ROW('[1]REP DISEÑO'!$N$9:$N$1008)-ROW('[1]REP DISEÑO'!$N$9),""),ROWS(C$14:C36))+1),"")</f>
        <v>D26-4050</v>
      </c>
      <c r="D36" s="51" t="str">
        <f>IFERROR(INDEX('[1]REP DISEÑO'!$N$9:$N$1508,MATCH(C36,'[1]REP DISEÑO'!$D$9:$D$1508,0)),"")</f>
        <v>GABRIELA D.</v>
      </c>
      <c r="E36" s="51" t="str">
        <f>IFERROR(INDEX('[1]REP DISEÑO'!$G$9:$G$1508,MATCH(C36,'[1]REP DISEÑO'!$D$9:$D$1508,0)),"")</f>
        <v>DESTALONADA CON FILO</v>
      </c>
      <c r="F36" s="51" t="str">
        <f>IFERROR(INDEX('[1]REP DISEÑO'!$I$9:$I$1508,MATCH(C36,'[1]REP DISEÑO'!$D$9:$D$1508,0)),"")</f>
        <v>DAMA</v>
      </c>
      <c r="G36" s="51" t="str">
        <f>IFERROR(INDEX('[1]REP DISEÑO'!$M$9:$M$1508,MATCH(C36,'[1]REP DISEÑO'!$D$9:$D$1508,0)),"")</f>
        <v>SOCKIES</v>
      </c>
      <c r="H36" s="51" t="str">
        <f>IFERROR(INDEX('[1]REP DISEÑO'!$J$9:$J$1508,MATCH(C36,'[1]REP DISEÑO'!$D$9:$D$1508,0)),"")</f>
        <v/>
      </c>
      <c r="I36" s="52" t="str">
        <f>IFERROR(INDEX('[1]REP DISEÑO'!$C$9:$C$1508,MATCH(C36,'[1]REP DISEÑO'!$D$9:$D$1508,0)),"")</f>
        <v>enero</v>
      </c>
      <c r="J36" s="53">
        <f>IF(C36="","",IF(ISNUMBER(FIND("AMU",$C$14:$C$548)),1,(SUMIF('[1]REP PRODUCCIÓN'!$H$6:$H$1505,"*"&amp;C36&amp;"*",'[1]REP PRODUCCIÓN'!$E$6:$E$1505))))</f>
        <v>169</v>
      </c>
      <c r="K36" s="53" t="str">
        <f t="shared" si="1"/>
        <v>OK</v>
      </c>
      <c r="M36" s="54" t="str">
        <f>IFERROR(INDEX('[1]REP DISEÑO'!$BA$9:$BA$1008,MATCH('INDIC-DIS2'!C36,'[1]REP DISEÑO'!$D$9:$D$1008,0)),"")</f>
        <v>SOCKIES</v>
      </c>
      <c r="N36" s="55"/>
      <c r="O36" s="55"/>
      <c r="P36" s="55"/>
      <c r="R36" s="57">
        <f t="shared" si="2"/>
        <v>1</v>
      </c>
    </row>
    <row r="37" spans="2:18" ht="26.25" customHeight="1" x14ac:dyDescent="0.25">
      <c r="B37" s="49">
        <f t="shared" si="0"/>
        <v>1</v>
      </c>
      <c r="C37" s="50" t="str">
        <f t="array" ref="C37">IFERROR(INDEX('[1]REP DISEÑO'!$D$9:$D$1008,SMALL(IF('[1]REP DISEÑO'!$AW$9:$AW$1008=$J$1,ROW('[1]REP DISEÑO'!$N$9:$N$1008)-ROW('[1]REP DISEÑO'!$N$9),""),ROWS(C$14:C37))+1),"")</f>
        <v>D26-4051</v>
      </c>
      <c r="D37" s="51" t="str">
        <f>IFERROR(INDEX('[1]REP DISEÑO'!$N$9:$N$1508,MATCH(C37,'[1]REP DISEÑO'!$D$9:$D$1508,0)),"")</f>
        <v>GABRIELA D.</v>
      </c>
      <c r="E37" s="51" t="str">
        <f>IFERROR(INDEX('[1]REP DISEÑO'!$G$9:$G$1508,MATCH(C37,'[1]REP DISEÑO'!$D$9:$D$1508,0)),"")</f>
        <v>SUECA DESPIECE TROMPITA</v>
      </c>
      <c r="F37" s="51" t="str">
        <f>IFERROR(INDEX('[1]REP DISEÑO'!$I$9:$I$1508,MATCH(C37,'[1]REP DISEÑO'!$D$9:$D$1508,0)),"")</f>
        <v>DAMA</v>
      </c>
      <c r="G37" s="51" t="str">
        <f>IFERROR(INDEX('[1]REP DISEÑO'!$M$9:$M$1508,MATCH(C37,'[1]REP DISEÑO'!$D$9:$D$1508,0)),"")</f>
        <v>ROSADO</v>
      </c>
      <c r="H37" s="51" t="str">
        <f>IFERROR(INDEX('[1]REP DISEÑO'!$J$9:$J$1508,MATCH(C37,'[1]REP DISEÑO'!$D$9:$D$1508,0)),"")</f>
        <v/>
      </c>
      <c r="I37" s="52" t="str">
        <f>IFERROR(INDEX('[1]REP DISEÑO'!$C$9:$C$1508,MATCH(C37,'[1]REP DISEÑO'!$D$9:$D$1508,0)),"")</f>
        <v>enero</v>
      </c>
      <c r="J37" s="53">
        <f>IF(C37="","",IF(ISNUMBER(FIND("AMU",$C$14:$C$548)),1,(SUMIF('[1]REP PRODUCCIÓN'!$H$6:$H$1505,"*"&amp;C37&amp;"*",'[1]REP PRODUCCIÓN'!$E$6:$E$1505))))</f>
        <v>331</v>
      </c>
      <c r="K37" s="53" t="str">
        <f t="shared" si="1"/>
        <v>OK</v>
      </c>
      <c r="M37" s="54" t="str">
        <f>IFERROR(INDEX('[1]REP DISEÑO'!$BA$9:$BA$1008,MATCH('INDIC-DIS2'!C37,'[1]REP DISEÑO'!$D$9:$D$1008,0)),"")</f>
        <v>ROSADO</v>
      </c>
      <c r="N37" s="55"/>
      <c r="O37" s="55"/>
      <c r="P37" s="55"/>
      <c r="R37" s="57">
        <f t="shared" si="2"/>
        <v>1</v>
      </c>
    </row>
    <row r="38" spans="2:18" ht="26.25" customHeight="1" x14ac:dyDescent="0.25">
      <c r="B38" s="49">
        <f t="shared" si="0"/>
        <v>0</v>
      </c>
      <c r="C38" s="50" t="str">
        <f t="array" ref="C38">IFERROR(INDEX('[1]REP DISEÑO'!$D$9:$D$1008,SMALL(IF('[1]REP DISEÑO'!$AW$9:$AW$1008=$J$1,ROW('[1]REP DISEÑO'!$N$9:$N$1008)-ROW('[1]REP DISEÑO'!$N$9),""),ROWS(C$14:C38))+1),"")</f>
        <v>D26-4052</v>
      </c>
      <c r="D38" s="51" t="str">
        <f>IFERROR(INDEX('[1]REP DISEÑO'!$N$9:$N$1508,MATCH(C38,'[1]REP DISEÑO'!$D$9:$D$1508,0)),"")</f>
        <v>GABRIELA D.</v>
      </c>
      <c r="E38" s="51" t="str">
        <f>IFERROR(INDEX('[1]REP DISEÑO'!$G$9:$G$1508,MATCH(C38,'[1]REP DISEÑO'!$D$9:$D$1508,0)),"")</f>
        <v>SUECA 0</v>
      </c>
      <c r="F38" s="51" t="str">
        <f>IFERROR(INDEX('[1]REP DISEÑO'!$I$9:$I$1508,MATCH(C38,'[1]REP DISEÑO'!$D$9:$D$1508,0)),"")</f>
        <v>DAMA</v>
      </c>
      <c r="G38" s="51" t="str">
        <f>IFERROR(INDEX('[1]REP DISEÑO'!$M$9:$M$1508,MATCH(C38,'[1]REP DISEÑO'!$D$9:$D$1508,0)),"")</f>
        <v>SOCKIES</v>
      </c>
      <c r="H38" s="51" t="str">
        <f>IFERROR(INDEX('[1]REP DISEÑO'!$J$9:$J$1508,MATCH(C38,'[1]REP DISEÑO'!$D$9:$D$1508,0)),"")</f>
        <v/>
      </c>
      <c r="I38" s="52" t="str">
        <f>IFERROR(INDEX('[1]REP DISEÑO'!$C$9:$C$1508,MATCH(C38,'[1]REP DISEÑO'!$D$9:$D$1508,0)),"")</f>
        <v>enero</v>
      </c>
      <c r="J38" s="53">
        <f>IF(C38="","",IF(ISNUMBER(FIND("AMU",$C$14:$C$548)),1,(SUMIF('[1]REP PRODUCCIÓN'!$H$6:$H$1505,"*"&amp;C38&amp;"*",'[1]REP PRODUCCIÓN'!$E$6:$E$1505))))</f>
        <v>0</v>
      </c>
      <c r="K38" s="53">
        <f t="shared" si="1"/>
        <v>0</v>
      </c>
      <c r="M38" s="54" t="str">
        <f>IFERROR(INDEX('[1]REP DISEÑO'!$BA$9:$BA$1008,MATCH('INDIC-DIS2'!C38,'[1]REP DISEÑO'!$D$9:$D$1008,0)),"")</f>
        <v>SOCKIES</v>
      </c>
      <c r="N38" s="55"/>
      <c r="O38" s="55"/>
      <c r="P38" s="55"/>
      <c r="R38" s="57">
        <f t="shared" si="2"/>
        <v>1</v>
      </c>
    </row>
    <row r="39" spans="2:18" ht="26.25" customHeight="1" x14ac:dyDescent="0.25">
      <c r="B39" s="49">
        <f t="shared" si="0"/>
        <v>0</v>
      </c>
      <c r="C39" s="50" t="str">
        <f t="array" ref="C39">IFERROR(INDEX('[1]REP DISEÑO'!$D$9:$D$1008,SMALL(IF('[1]REP DISEÑO'!$AW$9:$AW$1008=$J$1,ROW('[1]REP DISEÑO'!$N$9:$N$1008)-ROW('[1]REP DISEÑO'!$N$9),""),ROWS(C$14:C39))+1),"")</f>
        <v>D26-4053</v>
      </c>
      <c r="D39" s="51" t="str">
        <f>IFERROR(INDEX('[1]REP DISEÑO'!$N$9:$N$1508,MATCH(C39,'[1]REP DISEÑO'!$D$9:$D$1508,0)),"")</f>
        <v>GABRIELA D.</v>
      </c>
      <c r="E39" s="51" t="str">
        <f>IFERROR(INDEX('[1]REP DISEÑO'!$G$9:$G$1508,MATCH(C39,'[1]REP DISEÑO'!$D$9:$D$1508,0)),"")</f>
        <v>DESTALONADA 0</v>
      </c>
      <c r="F39" s="51" t="str">
        <f>IFERROR(INDEX('[1]REP DISEÑO'!$I$9:$I$1508,MATCH(C39,'[1]REP DISEÑO'!$D$9:$D$1508,0)),"")</f>
        <v>DAMA</v>
      </c>
      <c r="G39" s="51" t="str">
        <f>IFERROR(INDEX('[1]REP DISEÑO'!$M$9:$M$1508,MATCH(C39,'[1]REP DISEÑO'!$D$9:$D$1508,0)),"")</f>
        <v>SOCKIES</v>
      </c>
      <c r="H39" s="51" t="str">
        <f>IFERROR(INDEX('[1]REP DISEÑO'!$J$9:$J$1508,MATCH(C39,'[1]REP DISEÑO'!$D$9:$D$1508,0)),"")</f>
        <v/>
      </c>
      <c r="I39" s="52" t="str">
        <f>IFERROR(INDEX('[1]REP DISEÑO'!$C$9:$C$1508,MATCH(C39,'[1]REP DISEÑO'!$D$9:$D$1508,0)),"")</f>
        <v>enero</v>
      </c>
      <c r="J39" s="53">
        <f>IF(C39="","",IF(ISNUMBER(FIND("AMU",$C$14:$C$548)),1,(SUMIF('[1]REP PRODUCCIÓN'!$H$6:$H$1505,"*"&amp;C39&amp;"*",'[1]REP PRODUCCIÓN'!$E$6:$E$1505))))</f>
        <v>0</v>
      </c>
      <c r="K39" s="53">
        <f t="shared" si="1"/>
        <v>0</v>
      </c>
      <c r="M39" s="54" t="str">
        <f>IFERROR(INDEX('[1]REP DISEÑO'!$BA$9:$BA$1008,MATCH('INDIC-DIS2'!C39,'[1]REP DISEÑO'!$D$9:$D$1008,0)),"")</f>
        <v>SOCKIES</v>
      </c>
      <c r="N39" s="55"/>
      <c r="O39" s="55"/>
      <c r="P39" s="55"/>
      <c r="R39" s="57">
        <f t="shared" si="2"/>
        <v>1</v>
      </c>
    </row>
    <row r="40" spans="2:18" ht="26.25" customHeight="1" x14ac:dyDescent="0.25">
      <c r="B40" s="49">
        <f t="shared" si="0"/>
        <v>0</v>
      </c>
      <c r="C40" s="50" t="str">
        <f t="array" ref="C40">IFERROR(INDEX('[1]REP DISEÑO'!$D$9:$D$1008,SMALL(IF('[1]REP DISEÑO'!$AW$9:$AW$1008=$J$1,ROW('[1]REP DISEÑO'!$N$9:$N$1008)-ROW('[1]REP DISEÑO'!$N$9),""),ROWS(C$14:C40))+1),"")</f>
        <v>D26-4054</v>
      </c>
      <c r="D40" s="51" t="str">
        <f>IFERROR(INDEX('[1]REP DISEÑO'!$N$9:$N$1508,MATCH(C40,'[1]REP DISEÑO'!$D$9:$D$1508,0)),"")</f>
        <v>GABRIELA D.</v>
      </c>
      <c r="E40" s="51" t="str">
        <f>IFERROR(INDEX('[1]REP DISEÑO'!$G$9:$G$1508,MATCH(C40,'[1]REP DISEÑO'!$D$9:$D$1508,0)),"")</f>
        <v>SUECA 0</v>
      </c>
      <c r="F40" s="51" t="str">
        <f>IFERROR(INDEX('[1]REP DISEÑO'!$I$9:$I$1508,MATCH(C40,'[1]REP DISEÑO'!$D$9:$D$1508,0)),"")</f>
        <v>DAMA</v>
      </c>
      <c r="G40" s="51" t="str">
        <f>IFERROR(INDEX('[1]REP DISEÑO'!$M$9:$M$1508,MATCH(C40,'[1]REP DISEÑO'!$D$9:$D$1508,0)),"")</f>
        <v>SOCKIES</v>
      </c>
      <c r="H40" s="51" t="str">
        <f>IFERROR(INDEX('[1]REP DISEÑO'!$J$9:$J$1508,MATCH(C40,'[1]REP DISEÑO'!$D$9:$D$1508,0)),"")</f>
        <v/>
      </c>
      <c r="I40" s="52" t="str">
        <f>IFERROR(INDEX('[1]REP DISEÑO'!$C$9:$C$1508,MATCH(C40,'[1]REP DISEÑO'!$D$9:$D$1508,0)),"")</f>
        <v>enero</v>
      </c>
      <c r="J40" s="53">
        <f>IF(C40="","",IF(ISNUMBER(FIND("AMU",$C$14:$C$548)),1,(SUMIF('[1]REP PRODUCCIÓN'!$H$6:$H$1505,"*"&amp;C40&amp;"*",'[1]REP PRODUCCIÓN'!$E$6:$E$1505))))</f>
        <v>0</v>
      </c>
      <c r="K40" s="53">
        <f t="shared" si="1"/>
        <v>0</v>
      </c>
      <c r="M40" s="54" t="str">
        <f>IFERROR(INDEX('[1]REP DISEÑO'!$BA$9:$BA$1008,MATCH('INDIC-DIS2'!C40,'[1]REP DISEÑO'!$D$9:$D$1008,0)),"")</f>
        <v>SOCKIES</v>
      </c>
      <c r="N40" s="55"/>
      <c r="O40" s="55"/>
      <c r="P40" s="55"/>
      <c r="R40" s="57">
        <f t="shared" si="2"/>
        <v>1</v>
      </c>
    </row>
    <row r="41" spans="2:18" ht="26.25" customHeight="1" x14ac:dyDescent="0.25">
      <c r="B41" s="49">
        <f t="shared" si="0"/>
        <v>0</v>
      </c>
      <c r="C41" s="50" t="str">
        <f t="array" ref="C41">IFERROR(INDEX('[1]REP DISEÑO'!$D$9:$D$1008,SMALL(IF('[1]REP DISEÑO'!$AW$9:$AW$1008=$J$1,ROW('[1]REP DISEÑO'!$N$9:$N$1008)-ROW('[1]REP DISEÑO'!$N$9),""),ROWS(C$14:C41))+1),"")</f>
        <v>D26-4055</v>
      </c>
      <c r="D41" s="51" t="str">
        <f>IFERROR(INDEX('[1]REP DISEÑO'!$N$9:$N$1508,MATCH(C41,'[1]REP DISEÑO'!$D$9:$D$1508,0)),"")</f>
        <v>GABRIELA D.</v>
      </c>
      <c r="E41" s="51" t="str">
        <f>IFERROR(INDEX('[1]REP DISEÑO'!$G$9:$G$1508,MATCH(C41,'[1]REP DISEÑO'!$D$9:$D$1508,0)),"")</f>
        <v>DESTALONADA 0</v>
      </c>
      <c r="F41" s="51" t="str">
        <f>IFERROR(INDEX('[1]REP DISEÑO'!$I$9:$I$1508,MATCH(C41,'[1]REP DISEÑO'!$D$9:$D$1508,0)),"")</f>
        <v>DAMA</v>
      </c>
      <c r="G41" s="51" t="str">
        <f>IFERROR(INDEX('[1]REP DISEÑO'!$M$9:$M$1508,MATCH(C41,'[1]REP DISEÑO'!$D$9:$D$1508,0)),"")</f>
        <v>SOCKIES</v>
      </c>
      <c r="H41" s="51" t="str">
        <f>IFERROR(INDEX('[1]REP DISEÑO'!$J$9:$J$1508,MATCH(C41,'[1]REP DISEÑO'!$D$9:$D$1508,0)),"")</f>
        <v/>
      </c>
      <c r="I41" s="52" t="str">
        <f>IFERROR(INDEX('[1]REP DISEÑO'!$C$9:$C$1508,MATCH(C41,'[1]REP DISEÑO'!$D$9:$D$1508,0)),"")</f>
        <v>enero</v>
      </c>
      <c r="J41" s="53">
        <f>IF(C41="","",IF(ISNUMBER(FIND("AMU",$C$14:$C$548)),1,(SUMIF('[1]REP PRODUCCIÓN'!$H$6:$H$1505,"*"&amp;C41&amp;"*",'[1]REP PRODUCCIÓN'!$E$6:$E$1505))))</f>
        <v>0</v>
      </c>
      <c r="K41" s="53">
        <f t="shared" si="1"/>
        <v>0</v>
      </c>
      <c r="M41" s="54" t="str">
        <f>IFERROR(INDEX('[1]REP DISEÑO'!$BA$9:$BA$1008,MATCH('INDIC-DIS2'!C41,'[1]REP DISEÑO'!$D$9:$D$1008,0)),"")</f>
        <v/>
      </c>
      <c r="N41" s="55"/>
      <c r="O41" s="55"/>
      <c r="P41" s="55"/>
      <c r="R41" s="57" t="str">
        <f t="shared" si="2"/>
        <v/>
      </c>
    </row>
    <row r="42" spans="2:18" ht="26.25" customHeight="1" x14ac:dyDescent="0.25">
      <c r="B42" s="49">
        <f t="shared" si="0"/>
        <v>0</v>
      </c>
      <c r="C42" s="50" t="str">
        <f t="array" ref="C42">IFERROR(INDEX('[1]REP DISEÑO'!$D$9:$D$1008,SMALL(IF('[1]REP DISEÑO'!$AW$9:$AW$1008=$J$1,ROW('[1]REP DISEÑO'!$N$9:$N$1008)-ROW('[1]REP DISEÑO'!$N$9),""),ROWS(C$14:C42))+1),"")</f>
        <v>D26-4056</v>
      </c>
      <c r="D42" s="51" t="str">
        <f>IFERROR(INDEX('[1]REP DISEÑO'!$N$9:$N$1508,MATCH(C42,'[1]REP DISEÑO'!$D$9:$D$1508,0)),"")</f>
        <v>GABRIELA D.</v>
      </c>
      <c r="E42" s="51" t="str">
        <f>IFERROR(INDEX('[1]REP DISEÑO'!$G$9:$G$1508,MATCH(C42,'[1]REP DISEÑO'!$D$9:$D$1508,0)),"")</f>
        <v>DESTALONADA CON FILO</v>
      </c>
      <c r="F42" s="51" t="str">
        <f>IFERROR(INDEX('[1]REP DISEÑO'!$I$9:$I$1508,MATCH(C42,'[1]REP DISEÑO'!$D$9:$D$1508,0)),"")</f>
        <v>DAMA</v>
      </c>
      <c r="G42" s="51" t="str">
        <f>IFERROR(INDEX('[1]REP DISEÑO'!$M$9:$M$1508,MATCH(C42,'[1]REP DISEÑO'!$D$9:$D$1508,0)),"")</f>
        <v>SOCKIES</v>
      </c>
      <c r="H42" s="51" t="str">
        <f>IFERROR(INDEX('[1]REP DISEÑO'!$J$9:$J$1508,MATCH(C42,'[1]REP DISEÑO'!$D$9:$D$1508,0)),"")</f>
        <v/>
      </c>
      <c r="I42" s="52" t="str">
        <f>IFERROR(INDEX('[1]REP DISEÑO'!$C$9:$C$1508,MATCH(C42,'[1]REP DISEÑO'!$D$9:$D$1508,0)),"")</f>
        <v>enero</v>
      </c>
      <c r="J42" s="53">
        <f>IF(C42="","",IF(ISNUMBER(FIND("AMU",$C$14:$C$548)),1,(SUMIF('[1]REP PRODUCCIÓN'!$H$6:$H$1505,"*"&amp;C42&amp;"*",'[1]REP PRODUCCIÓN'!$E$6:$E$1505))))</f>
        <v>0</v>
      </c>
      <c r="K42" s="53">
        <f t="shared" si="1"/>
        <v>0</v>
      </c>
      <c r="M42" s="54" t="str">
        <f>IFERROR(INDEX('[1]REP DISEÑO'!$BA$9:$BA$1008,MATCH('INDIC-DIS2'!C42,'[1]REP DISEÑO'!$D$9:$D$1008,0)),"")</f>
        <v>SOCKIES</v>
      </c>
      <c r="N42" s="55"/>
      <c r="O42" s="55"/>
      <c r="P42" s="55"/>
      <c r="R42" s="57">
        <f t="shared" si="2"/>
        <v>1</v>
      </c>
    </row>
    <row r="43" spans="2:18" ht="26.25" customHeight="1" x14ac:dyDescent="0.25">
      <c r="B43" s="49">
        <f t="shared" si="0"/>
        <v>0</v>
      </c>
      <c r="C43" s="50" t="str">
        <f t="array" ref="C43">IFERROR(INDEX('[1]REP DISEÑO'!$D$9:$D$1008,SMALL(IF('[1]REP DISEÑO'!$AW$9:$AW$1008=$J$1,ROW('[1]REP DISEÑO'!$N$9:$N$1008)-ROW('[1]REP DISEÑO'!$N$9),""),ROWS(C$14:C43))+1),"")</f>
        <v>D26-4057</v>
      </c>
      <c r="D43" s="51" t="str">
        <f>IFERROR(INDEX('[1]REP DISEÑO'!$N$9:$N$1508,MATCH(C43,'[1]REP DISEÑO'!$D$9:$D$1508,0)),"")</f>
        <v>GABRIELA D.</v>
      </c>
      <c r="E43" s="51" t="str">
        <f>IFERROR(INDEX('[1]REP DISEÑO'!$G$9:$G$1508,MATCH(C43,'[1]REP DISEÑO'!$D$9:$D$1508,0)),"")</f>
        <v>SUECA 0</v>
      </c>
      <c r="F43" s="51" t="str">
        <f>IFERROR(INDEX('[1]REP DISEÑO'!$I$9:$I$1508,MATCH(C43,'[1]REP DISEÑO'!$D$9:$D$1508,0)),"")</f>
        <v>DAMA</v>
      </c>
      <c r="G43" s="51" t="str">
        <f>IFERROR(INDEX('[1]REP DISEÑO'!$M$9:$M$1508,MATCH(C43,'[1]REP DISEÑO'!$D$9:$D$1508,0)),"")</f>
        <v>SOCKIES</v>
      </c>
      <c r="H43" s="51" t="str">
        <f>IFERROR(INDEX('[1]REP DISEÑO'!$J$9:$J$1508,MATCH(C43,'[1]REP DISEÑO'!$D$9:$D$1508,0)),"")</f>
        <v/>
      </c>
      <c r="I43" s="52" t="str">
        <f>IFERROR(INDEX('[1]REP DISEÑO'!$C$9:$C$1508,MATCH(C43,'[1]REP DISEÑO'!$D$9:$D$1508,0)),"")</f>
        <v>enero</v>
      </c>
      <c r="J43" s="53">
        <f>IF(C43="","",IF(ISNUMBER(FIND("AMU",$C$14:$C$548)),1,(SUMIF('[1]REP PRODUCCIÓN'!$H$6:$H$1505,"*"&amp;C43&amp;"*",'[1]REP PRODUCCIÓN'!$E$6:$E$1505))))</f>
        <v>0</v>
      </c>
      <c r="K43" s="53">
        <f t="shared" si="1"/>
        <v>0</v>
      </c>
      <c r="M43" s="54" t="str">
        <f>IFERROR(INDEX('[1]REP DISEÑO'!$BA$9:$BA$1008,MATCH('INDIC-DIS2'!C43,'[1]REP DISEÑO'!$D$9:$D$1008,0)),"")</f>
        <v>SOCKIES</v>
      </c>
      <c r="N43" s="55"/>
      <c r="O43" s="55"/>
      <c r="P43" s="55"/>
      <c r="R43" s="57">
        <f t="shared" si="2"/>
        <v>1</v>
      </c>
    </row>
    <row r="44" spans="2:18" ht="26.25" customHeight="1" x14ac:dyDescent="0.25">
      <c r="B44" s="49">
        <f t="shared" si="0"/>
        <v>0</v>
      </c>
      <c r="C44" s="50" t="str">
        <f t="array" ref="C44">IFERROR(INDEX('[1]REP DISEÑO'!$D$9:$D$1008,SMALL(IF('[1]REP DISEÑO'!$AW$9:$AW$1008=$J$1,ROW('[1]REP DISEÑO'!$N$9:$N$1008)-ROW('[1]REP DISEÑO'!$N$9),""),ROWS(C$14:C44))+1),"")</f>
        <v>D26-4058</v>
      </c>
      <c r="D44" s="51" t="str">
        <f>IFERROR(INDEX('[1]REP DISEÑO'!$N$9:$N$1508,MATCH(C44,'[1]REP DISEÑO'!$D$9:$D$1508,0)),"")</f>
        <v>GABRIELA D.</v>
      </c>
      <c r="E44" s="51" t="str">
        <f>IFERROR(INDEX('[1]REP DISEÑO'!$G$9:$G$1508,MATCH(C44,'[1]REP DISEÑO'!$D$9:$D$1508,0)),"")</f>
        <v>DESTALONADA 0</v>
      </c>
      <c r="F44" s="51" t="str">
        <f>IFERROR(INDEX('[1]REP DISEÑO'!$I$9:$I$1508,MATCH(C44,'[1]REP DISEÑO'!$D$9:$D$1508,0)),"")</f>
        <v>DAMA</v>
      </c>
      <c r="G44" s="51" t="str">
        <f>IFERROR(INDEX('[1]REP DISEÑO'!$M$9:$M$1508,MATCH(C44,'[1]REP DISEÑO'!$D$9:$D$1508,0)),"")</f>
        <v>SOCKIES</v>
      </c>
      <c r="H44" s="51" t="str">
        <f>IFERROR(INDEX('[1]REP DISEÑO'!$J$9:$J$1508,MATCH(C44,'[1]REP DISEÑO'!$D$9:$D$1508,0)),"")</f>
        <v/>
      </c>
      <c r="I44" s="52" t="str">
        <f>IFERROR(INDEX('[1]REP DISEÑO'!$C$9:$C$1508,MATCH(C44,'[1]REP DISEÑO'!$D$9:$D$1508,0)),"")</f>
        <v>enero</v>
      </c>
      <c r="J44" s="53">
        <f>IF(C44="","",IF(ISNUMBER(FIND("AMU",$C$14:$C$548)),1,(SUMIF('[1]REP PRODUCCIÓN'!$H$6:$H$1505,"*"&amp;C44&amp;"*",'[1]REP PRODUCCIÓN'!$E$6:$E$1505))))</f>
        <v>0</v>
      </c>
      <c r="K44" s="53">
        <f t="shared" si="1"/>
        <v>0</v>
      </c>
      <c r="M44" s="54" t="str">
        <f>IFERROR(INDEX('[1]REP DISEÑO'!$BA$9:$BA$1008,MATCH('INDIC-DIS2'!C44,'[1]REP DISEÑO'!$D$9:$D$1008,0)),"")</f>
        <v>SOCKIES</v>
      </c>
      <c r="N44" s="55"/>
      <c r="O44" s="55"/>
      <c r="P44" s="55"/>
      <c r="R44" s="57">
        <f t="shared" si="2"/>
        <v>1</v>
      </c>
    </row>
    <row r="45" spans="2:18" ht="26.25" customHeight="1" x14ac:dyDescent="0.25">
      <c r="B45" s="49">
        <f t="shared" si="0"/>
        <v>0</v>
      </c>
      <c r="C45" s="50" t="str">
        <f t="array" ref="C45">IFERROR(INDEX('[1]REP DISEÑO'!$D$9:$D$1008,SMALL(IF('[1]REP DISEÑO'!$AW$9:$AW$1008=$J$1,ROW('[1]REP DISEÑO'!$N$9:$N$1008)-ROW('[1]REP DISEÑO'!$N$9),""),ROWS(C$14:C45))+1),"")</f>
        <v>D26-4059</v>
      </c>
      <c r="D45" s="51" t="str">
        <f>IFERROR(INDEX('[1]REP DISEÑO'!$N$9:$N$1508,MATCH(C45,'[1]REP DISEÑO'!$D$9:$D$1508,0)),"")</f>
        <v>GABRIELA D.</v>
      </c>
      <c r="E45" s="51" t="str">
        <f>IFERROR(INDEX('[1]REP DISEÑO'!$G$9:$G$1508,MATCH(C45,'[1]REP DISEÑO'!$D$9:$D$1508,0)),"")</f>
        <v>SUECA 0</v>
      </c>
      <c r="F45" s="51" t="str">
        <f>IFERROR(INDEX('[1]REP DISEÑO'!$I$9:$I$1508,MATCH(C45,'[1]REP DISEÑO'!$D$9:$D$1508,0)),"")</f>
        <v>DAMA</v>
      </c>
      <c r="G45" s="51" t="str">
        <f>IFERROR(INDEX('[1]REP DISEÑO'!$M$9:$M$1508,MATCH(C45,'[1]REP DISEÑO'!$D$9:$D$1508,0)),"")</f>
        <v>SOCKIES</v>
      </c>
      <c r="H45" s="51" t="str">
        <f>IFERROR(INDEX('[1]REP DISEÑO'!$J$9:$J$1508,MATCH(C45,'[1]REP DISEÑO'!$D$9:$D$1508,0)),"")</f>
        <v/>
      </c>
      <c r="I45" s="52" t="str">
        <f>IFERROR(INDEX('[1]REP DISEÑO'!$C$9:$C$1508,MATCH(C45,'[1]REP DISEÑO'!$D$9:$D$1508,0)),"")</f>
        <v>enero</v>
      </c>
      <c r="J45" s="53">
        <f>IF(C45="","",IF(ISNUMBER(FIND("AMU",$C$14:$C$548)),1,(SUMIF('[1]REP PRODUCCIÓN'!$H$6:$H$1505,"*"&amp;C45&amp;"*",'[1]REP PRODUCCIÓN'!$E$6:$E$1505))))</f>
        <v>0</v>
      </c>
      <c r="K45" s="53">
        <f t="shared" si="1"/>
        <v>0</v>
      </c>
      <c r="M45" s="54" t="str">
        <f>IFERROR(INDEX('[1]REP DISEÑO'!$BA$9:$BA$1008,MATCH('INDIC-DIS2'!C45,'[1]REP DISEÑO'!$D$9:$D$1008,0)),"")</f>
        <v>SOCKIES</v>
      </c>
      <c r="N45" s="55"/>
      <c r="O45" s="55"/>
      <c r="P45" s="55"/>
      <c r="R45" s="57">
        <f t="shared" si="2"/>
        <v>1</v>
      </c>
    </row>
    <row r="46" spans="2:18" ht="26.25" customHeight="1" x14ac:dyDescent="0.25">
      <c r="B46" s="49">
        <f t="shared" si="0"/>
        <v>0</v>
      </c>
      <c r="C46" s="50" t="str">
        <f t="array" ref="C46">IFERROR(INDEX('[1]REP DISEÑO'!$D$9:$D$1008,SMALL(IF('[1]REP DISEÑO'!$AW$9:$AW$1008=$J$1,ROW('[1]REP DISEÑO'!$N$9:$N$1008)-ROW('[1]REP DISEÑO'!$N$9),""),ROWS(C$14:C46))+1),"")</f>
        <v>D26-4060</v>
      </c>
      <c r="D46" s="51" t="str">
        <f>IFERROR(INDEX('[1]REP DISEÑO'!$N$9:$N$1508,MATCH(C46,'[1]REP DISEÑO'!$D$9:$D$1508,0)),"")</f>
        <v>GABRIELA D.</v>
      </c>
      <c r="E46" s="51" t="str">
        <f>IFERROR(INDEX('[1]REP DISEÑO'!$G$9:$G$1508,MATCH(C46,'[1]REP DISEÑO'!$D$9:$D$1508,0)),"")</f>
        <v>DESTALONADA 0</v>
      </c>
      <c r="F46" s="51" t="str">
        <f>IFERROR(INDEX('[1]REP DISEÑO'!$I$9:$I$1508,MATCH(C46,'[1]REP DISEÑO'!$D$9:$D$1508,0)),"")</f>
        <v>DAMA</v>
      </c>
      <c r="G46" s="51" t="str">
        <f>IFERROR(INDEX('[1]REP DISEÑO'!$M$9:$M$1508,MATCH(C46,'[1]REP DISEÑO'!$D$9:$D$1508,0)),"")</f>
        <v>SOCKIES</v>
      </c>
      <c r="H46" s="51" t="str">
        <f>IFERROR(INDEX('[1]REP DISEÑO'!$J$9:$J$1508,MATCH(C46,'[1]REP DISEÑO'!$D$9:$D$1508,0)),"")</f>
        <v/>
      </c>
      <c r="I46" s="52" t="str">
        <f>IFERROR(INDEX('[1]REP DISEÑO'!$C$9:$C$1508,MATCH(C46,'[1]REP DISEÑO'!$D$9:$D$1508,0)),"")</f>
        <v>enero</v>
      </c>
      <c r="J46" s="53">
        <f>IF(C46="","",IF(ISNUMBER(FIND("AMU",$C$14:$C$548)),1,(SUMIF('[1]REP PRODUCCIÓN'!$H$6:$H$1505,"*"&amp;C46&amp;"*",'[1]REP PRODUCCIÓN'!$E$6:$E$1505))))</f>
        <v>0</v>
      </c>
      <c r="K46" s="53">
        <f t="shared" si="1"/>
        <v>0</v>
      </c>
      <c r="M46" s="54" t="str">
        <f>IFERROR(INDEX('[1]REP DISEÑO'!$BA$9:$BA$1008,MATCH('INDIC-DIS2'!C46,'[1]REP DISEÑO'!$D$9:$D$1008,0)),"")</f>
        <v>SOCKIES</v>
      </c>
      <c r="N46" s="55"/>
      <c r="O46" s="55"/>
      <c r="P46" s="55"/>
      <c r="R46" s="57">
        <f t="shared" si="2"/>
        <v>1</v>
      </c>
    </row>
    <row r="47" spans="2:18" ht="26.25" customHeight="1" x14ac:dyDescent="0.25">
      <c r="B47" s="49">
        <f t="shared" si="0"/>
        <v>0</v>
      </c>
      <c r="C47" s="50" t="str">
        <f t="array" ref="C47">IFERROR(INDEX('[1]REP DISEÑO'!$D$9:$D$1008,SMALL(IF('[1]REP DISEÑO'!$AW$9:$AW$1008=$J$1,ROW('[1]REP DISEÑO'!$N$9:$N$1008)-ROW('[1]REP DISEÑO'!$N$9),""),ROWS(C$14:C47))+1),"")</f>
        <v>D26-4061</v>
      </c>
      <c r="D47" s="51" t="str">
        <f>IFERROR(INDEX('[1]REP DISEÑO'!$N$9:$N$1508,MATCH(C47,'[1]REP DISEÑO'!$D$9:$D$1508,0)),"")</f>
        <v>GABRIELA D.</v>
      </c>
      <c r="E47" s="51" t="str">
        <f>IFERROR(INDEX('[1]REP DISEÑO'!$G$9:$G$1508,MATCH(C47,'[1]REP DISEÑO'!$D$9:$D$1508,0)),"")</f>
        <v>SUECA 0</v>
      </c>
      <c r="F47" s="51" t="str">
        <f>IFERROR(INDEX('[1]REP DISEÑO'!$I$9:$I$1508,MATCH(C47,'[1]REP DISEÑO'!$D$9:$D$1508,0)),"")</f>
        <v>DAMA</v>
      </c>
      <c r="G47" s="51" t="str">
        <f>IFERROR(INDEX('[1]REP DISEÑO'!$M$9:$M$1508,MATCH(C47,'[1]REP DISEÑO'!$D$9:$D$1508,0)),"")</f>
        <v>SOCKIES</v>
      </c>
      <c r="H47" s="51" t="str">
        <f>IFERROR(INDEX('[1]REP DISEÑO'!$J$9:$J$1508,MATCH(C47,'[1]REP DISEÑO'!$D$9:$D$1508,0)),"")</f>
        <v/>
      </c>
      <c r="I47" s="52" t="str">
        <f>IFERROR(INDEX('[1]REP DISEÑO'!$C$9:$C$1508,MATCH(C47,'[1]REP DISEÑO'!$D$9:$D$1508,0)),"")</f>
        <v>enero</v>
      </c>
      <c r="J47" s="53">
        <f>IF(C47="","",IF(ISNUMBER(FIND("AMU",$C$14:$C$548)),1,(SUMIF('[1]REP PRODUCCIÓN'!$H$6:$H$1505,"*"&amp;C47&amp;"*",'[1]REP PRODUCCIÓN'!$E$6:$E$1505))))</f>
        <v>0</v>
      </c>
      <c r="K47" s="53">
        <f t="shared" si="1"/>
        <v>0</v>
      </c>
      <c r="M47" s="54" t="str">
        <f>IFERROR(INDEX('[1]REP DISEÑO'!$BA$9:$BA$1008,MATCH('INDIC-DIS2'!C47,'[1]REP DISEÑO'!$D$9:$D$1008,0)),"")</f>
        <v>SOCKIES</v>
      </c>
      <c r="N47" s="55"/>
      <c r="O47" s="55"/>
      <c r="P47" s="55"/>
      <c r="R47" s="57">
        <f t="shared" si="2"/>
        <v>1</v>
      </c>
    </row>
    <row r="48" spans="2:18" ht="26.25" customHeight="1" x14ac:dyDescent="0.25">
      <c r="B48" s="49">
        <f t="shared" si="0"/>
        <v>0</v>
      </c>
      <c r="C48" s="50" t="str">
        <f t="array" ref="C48">IFERROR(INDEX('[1]REP DISEÑO'!$D$9:$D$1008,SMALL(IF('[1]REP DISEÑO'!$AW$9:$AW$1008=$J$1,ROW('[1]REP DISEÑO'!$N$9:$N$1008)-ROW('[1]REP DISEÑO'!$N$9),""),ROWS(C$14:C48))+1),"")</f>
        <v>D26-4062</v>
      </c>
      <c r="D48" s="51" t="str">
        <f>IFERROR(INDEX('[1]REP DISEÑO'!$N$9:$N$1508,MATCH(C48,'[1]REP DISEÑO'!$D$9:$D$1508,0)),"")</f>
        <v>GABRIELA D.</v>
      </c>
      <c r="E48" s="51" t="str">
        <f>IFERROR(INDEX('[1]REP DISEÑO'!$G$9:$G$1508,MATCH(C48,'[1]REP DISEÑO'!$D$9:$D$1508,0)),"")</f>
        <v>DESTALONADA 0</v>
      </c>
      <c r="F48" s="51" t="str">
        <f>IFERROR(INDEX('[1]REP DISEÑO'!$I$9:$I$1508,MATCH(C48,'[1]REP DISEÑO'!$D$9:$D$1508,0)),"")</f>
        <v>DAMA</v>
      </c>
      <c r="G48" s="51" t="str">
        <f>IFERROR(INDEX('[1]REP DISEÑO'!$M$9:$M$1508,MATCH(C48,'[1]REP DISEÑO'!$D$9:$D$1508,0)),"")</f>
        <v>SOCKIES</v>
      </c>
      <c r="H48" s="51" t="str">
        <f>IFERROR(INDEX('[1]REP DISEÑO'!$J$9:$J$1508,MATCH(C48,'[1]REP DISEÑO'!$D$9:$D$1508,0)),"")</f>
        <v/>
      </c>
      <c r="I48" s="52" t="str">
        <f>IFERROR(INDEX('[1]REP DISEÑO'!$C$9:$C$1508,MATCH(C48,'[1]REP DISEÑO'!$D$9:$D$1508,0)),"")</f>
        <v>enero</v>
      </c>
      <c r="J48" s="53">
        <f>IF(C48="","",IF(ISNUMBER(FIND("AMU",$C$14:$C$548)),1,(SUMIF('[1]REP PRODUCCIÓN'!$H$6:$H$1505,"*"&amp;C48&amp;"*",'[1]REP PRODUCCIÓN'!$E$6:$E$1505))))</f>
        <v>0</v>
      </c>
      <c r="K48" s="53">
        <f t="shared" si="1"/>
        <v>0</v>
      </c>
      <c r="M48" s="54" t="str">
        <f>IFERROR(INDEX('[1]REP DISEÑO'!$BA$9:$BA$1008,MATCH('INDIC-DIS2'!C48,'[1]REP DISEÑO'!$D$9:$D$1008,0)),"")</f>
        <v>SOCKIES</v>
      </c>
      <c r="N48" s="55"/>
      <c r="O48" s="55"/>
      <c r="P48" s="55"/>
      <c r="R48" s="57">
        <f t="shared" si="2"/>
        <v>1</v>
      </c>
    </row>
    <row r="49" spans="2:18" ht="26.25" customHeight="1" x14ac:dyDescent="0.25">
      <c r="B49" s="49">
        <f t="shared" si="0"/>
        <v>0</v>
      </c>
      <c r="C49" s="50" t="str">
        <f t="array" ref="C49">IFERROR(INDEX('[1]REP DISEÑO'!$D$9:$D$1008,SMALL(IF('[1]REP DISEÑO'!$AW$9:$AW$1008=$J$1,ROW('[1]REP DISEÑO'!$N$9:$N$1008)-ROW('[1]REP DISEÑO'!$N$9),""),ROWS(C$14:C49))+1),"")</f>
        <v>D26-4063</v>
      </c>
      <c r="D49" s="51" t="str">
        <f>IFERROR(INDEX('[1]REP DISEÑO'!$N$9:$N$1508,MATCH(C49,'[1]REP DISEÑO'!$D$9:$D$1508,0)),"")</f>
        <v>GABRIELA D.</v>
      </c>
      <c r="E49" s="51" t="str">
        <f>IFERROR(INDEX('[1]REP DISEÑO'!$G$9:$G$1508,MATCH(C49,'[1]REP DISEÑO'!$D$9:$D$1508,0)),"")</f>
        <v>DESTALONADA 0</v>
      </c>
      <c r="F49" s="51" t="str">
        <f>IFERROR(INDEX('[1]REP DISEÑO'!$I$9:$I$1508,MATCH(C49,'[1]REP DISEÑO'!$D$9:$D$1508,0)),"")</f>
        <v>DAMA</v>
      </c>
      <c r="G49" s="51" t="str">
        <f>IFERROR(INDEX('[1]REP DISEÑO'!$M$9:$M$1508,MATCH(C49,'[1]REP DISEÑO'!$D$9:$D$1508,0)),"")</f>
        <v>SOCKIES</v>
      </c>
      <c r="H49" s="51" t="str">
        <f>IFERROR(INDEX('[1]REP DISEÑO'!$J$9:$J$1508,MATCH(C49,'[1]REP DISEÑO'!$D$9:$D$1508,0)),"")</f>
        <v/>
      </c>
      <c r="I49" s="52" t="str">
        <f>IFERROR(INDEX('[1]REP DISEÑO'!$C$9:$C$1508,MATCH(C49,'[1]REP DISEÑO'!$D$9:$D$1508,0)),"")</f>
        <v>enero</v>
      </c>
      <c r="J49" s="53">
        <f>IF(C49="","",IF(ISNUMBER(FIND("AMU",$C$14:$C$548)),1,(SUMIF('[1]REP PRODUCCIÓN'!$H$6:$H$1505,"*"&amp;C49&amp;"*",'[1]REP PRODUCCIÓN'!$E$6:$E$1505))))</f>
        <v>0</v>
      </c>
      <c r="K49" s="53">
        <f t="shared" si="1"/>
        <v>0</v>
      </c>
      <c r="M49" s="54" t="str">
        <f>IFERROR(INDEX('[1]REP DISEÑO'!$BA$9:$BA$1008,MATCH('INDIC-DIS2'!C49,'[1]REP DISEÑO'!$D$9:$D$1008,0)),"")</f>
        <v>SOCKIES</v>
      </c>
      <c r="N49" s="55"/>
      <c r="O49" s="55"/>
      <c r="P49" s="55"/>
      <c r="R49" s="57">
        <f t="shared" si="2"/>
        <v>1</v>
      </c>
    </row>
    <row r="50" spans="2:18" ht="26.25" customHeight="1" x14ac:dyDescent="0.25">
      <c r="B50" s="49">
        <f t="shared" si="0"/>
        <v>0</v>
      </c>
      <c r="C50" s="50" t="str">
        <f t="array" ref="C50">IFERROR(INDEX('[1]REP DISEÑO'!$D$9:$D$1008,SMALL(IF('[1]REP DISEÑO'!$AW$9:$AW$1008=$J$1,ROW('[1]REP DISEÑO'!$N$9:$N$1008)-ROW('[1]REP DISEÑO'!$N$9),""),ROWS(C$14:C50))+1),"")</f>
        <v>D26-4064</v>
      </c>
      <c r="D50" s="51" t="str">
        <f>IFERROR(INDEX('[1]REP DISEÑO'!$N$9:$N$1508,MATCH(C50,'[1]REP DISEÑO'!$D$9:$D$1508,0)),"")</f>
        <v>GABRIELA D.</v>
      </c>
      <c r="E50" s="51" t="str">
        <f>IFERROR(INDEX('[1]REP DISEÑO'!$G$9:$G$1508,MATCH(C50,'[1]REP DISEÑO'!$D$9:$D$1508,0)),"")</f>
        <v>SUECA 0</v>
      </c>
      <c r="F50" s="51" t="str">
        <f>IFERROR(INDEX('[1]REP DISEÑO'!$I$9:$I$1508,MATCH(C50,'[1]REP DISEÑO'!$D$9:$D$1508,0)),"")</f>
        <v>DAMA</v>
      </c>
      <c r="G50" s="51" t="str">
        <f>IFERROR(INDEX('[1]REP DISEÑO'!$M$9:$M$1508,MATCH(C50,'[1]REP DISEÑO'!$D$9:$D$1508,0)),"")</f>
        <v>SOCKIES</v>
      </c>
      <c r="H50" s="51" t="str">
        <f>IFERROR(INDEX('[1]REP DISEÑO'!$J$9:$J$1508,MATCH(C50,'[1]REP DISEÑO'!$D$9:$D$1508,0)),"")</f>
        <v/>
      </c>
      <c r="I50" s="52" t="str">
        <f>IFERROR(INDEX('[1]REP DISEÑO'!$C$9:$C$1508,MATCH(C50,'[1]REP DISEÑO'!$D$9:$D$1508,0)),"")</f>
        <v>enero</v>
      </c>
      <c r="J50" s="53">
        <f>IF(C50="","",IF(ISNUMBER(FIND("AMU",$C$14:$C$548)),1,(SUMIF('[1]REP PRODUCCIÓN'!$H$6:$H$1505,"*"&amp;C50&amp;"*",'[1]REP PRODUCCIÓN'!$E$6:$E$1505))))</f>
        <v>0</v>
      </c>
      <c r="K50" s="53">
        <f t="shared" si="1"/>
        <v>0</v>
      </c>
      <c r="M50" s="54" t="str">
        <f>IFERROR(INDEX('[1]REP DISEÑO'!$BA$9:$BA$1008,MATCH('INDIC-DIS2'!C50,'[1]REP DISEÑO'!$D$9:$D$1008,0)),"")</f>
        <v>SOCKIES</v>
      </c>
      <c r="N50" s="55"/>
      <c r="O50" s="55"/>
      <c r="P50" s="55"/>
      <c r="R50" s="57">
        <f t="shared" si="2"/>
        <v>1</v>
      </c>
    </row>
    <row r="51" spans="2:18" ht="26.25" customHeight="1" x14ac:dyDescent="0.25">
      <c r="B51" s="49">
        <f t="shared" si="0"/>
        <v>0</v>
      </c>
      <c r="C51" s="50" t="str">
        <f t="array" ref="C51">IFERROR(INDEX('[1]REP DISEÑO'!$D$9:$D$1008,SMALL(IF('[1]REP DISEÑO'!$AW$9:$AW$1008=$J$1,ROW('[1]REP DISEÑO'!$N$9:$N$1008)-ROW('[1]REP DISEÑO'!$N$9),""),ROWS(C$14:C51))+1),"")</f>
        <v>D26-4065</v>
      </c>
      <c r="D51" s="51" t="str">
        <f>IFERROR(INDEX('[1]REP DISEÑO'!$N$9:$N$1508,MATCH(C51,'[1]REP DISEÑO'!$D$9:$D$1508,0)),"")</f>
        <v>GABRIELA D.</v>
      </c>
      <c r="E51" s="51" t="str">
        <f>IFERROR(INDEX('[1]REP DISEÑO'!$G$9:$G$1508,MATCH(C51,'[1]REP DISEÑO'!$D$9:$D$1508,0)),"")</f>
        <v>DESTALONADA 0</v>
      </c>
      <c r="F51" s="51" t="str">
        <f>IFERROR(INDEX('[1]REP DISEÑO'!$I$9:$I$1508,MATCH(C51,'[1]REP DISEÑO'!$D$9:$D$1508,0)),"")</f>
        <v>DAMA</v>
      </c>
      <c r="G51" s="51" t="str">
        <f>IFERROR(INDEX('[1]REP DISEÑO'!$M$9:$M$1508,MATCH(C51,'[1]REP DISEÑO'!$D$9:$D$1508,0)),"")</f>
        <v>SOCKIES</v>
      </c>
      <c r="H51" s="51" t="str">
        <f>IFERROR(INDEX('[1]REP DISEÑO'!$J$9:$J$1508,MATCH(C51,'[1]REP DISEÑO'!$D$9:$D$1508,0)),"")</f>
        <v/>
      </c>
      <c r="I51" s="52" t="str">
        <f>IFERROR(INDEX('[1]REP DISEÑO'!$C$9:$C$1508,MATCH(C51,'[1]REP DISEÑO'!$D$9:$D$1508,0)),"")</f>
        <v>enero</v>
      </c>
      <c r="J51" s="53">
        <f>IF(C51="","",IF(ISNUMBER(FIND("AMU",$C$14:$C$548)),1,(SUMIF('[1]REP PRODUCCIÓN'!$H$6:$H$1505,"*"&amp;C51&amp;"*",'[1]REP PRODUCCIÓN'!$E$6:$E$1505))))</f>
        <v>0</v>
      </c>
      <c r="K51" s="53">
        <f t="shared" si="1"/>
        <v>0</v>
      </c>
      <c r="M51" s="54" t="str">
        <f>IFERROR(INDEX('[1]REP DISEÑO'!$BA$9:$BA$1008,MATCH('INDIC-DIS2'!C51,'[1]REP DISEÑO'!$D$9:$D$1008,0)),"")</f>
        <v>SOCKIES</v>
      </c>
      <c r="N51" s="55"/>
      <c r="O51" s="55"/>
      <c r="P51" s="55"/>
      <c r="R51" s="57">
        <f t="shared" si="2"/>
        <v>1</v>
      </c>
    </row>
    <row r="52" spans="2:18" ht="26.25" customHeight="1" x14ac:dyDescent="0.25">
      <c r="B52" s="49">
        <f t="shared" si="0"/>
        <v>0</v>
      </c>
      <c r="C52" s="50" t="str">
        <f t="array" ref="C52">IFERROR(INDEX('[1]REP DISEÑO'!$D$9:$D$1008,SMALL(IF('[1]REP DISEÑO'!$AW$9:$AW$1008=$J$1,ROW('[1]REP DISEÑO'!$N$9:$N$1008)-ROW('[1]REP DISEÑO'!$N$9),""),ROWS(C$14:C52))+1),"")</f>
        <v>D26-4066</v>
      </c>
      <c r="D52" s="51" t="str">
        <f>IFERROR(INDEX('[1]REP DISEÑO'!$N$9:$N$1508,MATCH(C52,'[1]REP DISEÑO'!$D$9:$D$1508,0)),"")</f>
        <v>GABRIELA D.</v>
      </c>
      <c r="E52" s="51" t="str">
        <f>IFERROR(INDEX('[1]REP DISEÑO'!$G$9:$G$1508,MATCH(C52,'[1]REP DISEÑO'!$D$9:$D$1508,0)),"")</f>
        <v xml:space="preserve">DESTALONADA DIVIDIDA STROBEL CON FILO </v>
      </c>
      <c r="F52" s="51" t="str">
        <f>IFERROR(INDEX('[1]REP DISEÑO'!$I$9:$I$1508,MATCH(C52,'[1]REP DISEÑO'!$D$9:$D$1508,0)),"")</f>
        <v>DAMA</v>
      </c>
      <c r="G52" s="51" t="str">
        <f>IFERROR(INDEX('[1]REP DISEÑO'!$M$9:$M$1508,MATCH(C52,'[1]REP DISEÑO'!$D$9:$D$1508,0)),"")</f>
        <v>SOCKIES</v>
      </c>
      <c r="H52" s="51" t="str">
        <f>IFERROR(INDEX('[1]REP DISEÑO'!$J$9:$J$1508,MATCH(C52,'[1]REP DISEÑO'!$D$9:$D$1508,0)),"")</f>
        <v/>
      </c>
      <c r="I52" s="52" t="str">
        <f>IFERROR(INDEX('[1]REP DISEÑO'!$C$9:$C$1508,MATCH(C52,'[1]REP DISEÑO'!$D$9:$D$1508,0)),"")</f>
        <v>enero</v>
      </c>
      <c r="J52" s="53">
        <f>IF(C52="","",IF(ISNUMBER(FIND("AMU",$C$14:$C$548)),1,(SUMIF('[1]REP PRODUCCIÓN'!$H$6:$H$1505,"*"&amp;C52&amp;"*",'[1]REP PRODUCCIÓN'!$E$6:$E$1505))))</f>
        <v>0</v>
      </c>
      <c r="K52" s="53">
        <f t="shared" si="1"/>
        <v>0</v>
      </c>
      <c r="M52" s="54" t="str">
        <f>IFERROR(INDEX('[1]REP DISEÑO'!$BA$9:$BA$1008,MATCH('INDIC-DIS2'!C52,'[1]REP DISEÑO'!$D$9:$D$1008,0)),"")</f>
        <v>SOCKIES</v>
      </c>
      <c r="N52" s="55"/>
      <c r="O52" s="55"/>
      <c r="P52" s="55"/>
      <c r="R52" s="57">
        <f t="shared" si="2"/>
        <v>1</v>
      </c>
    </row>
    <row r="53" spans="2:18" ht="26.25" customHeight="1" x14ac:dyDescent="0.25">
      <c r="B53" s="49">
        <f t="shared" si="0"/>
        <v>0</v>
      </c>
      <c r="C53" s="50" t="str">
        <f t="array" ref="C53">IFERROR(INDEX('[1]REP DISEÑO'!$D$9:$D$1008,SMALL(IF('[1]REP DISEÑO'!$AW$9:$AW$1008=$J$1,ROW('[1]REP DISEÑO'!$N$9:$N$1008)-ROW('[1]REP DISEÑO'!$N$9),""),ROWS(C$14:C53))+1),"")</f>
        <v>D26-4070</v>
      </c>
      <c r="D53" s="51" t="str">
        <f>IFERROR(INDEX('[1]REP DISEÑO'!$N$9:$N$1508,MATCH(C53,'[1]REP DISEÑO'!$D$9:$D$1508,0)),"")</f>
        <v>GABRIELA D.</v>
      </c>
      <c r="E53" s="51" t="str">
        <f>IFERROR(INDEX('[1]REP DISEÑO'!$G$9:$G$1508,MATCH(C53,'[1]REP DISEÑO'!$D$9:$D$1508,0)),"")</f>
        <v>TALÓN 0</v>
      </c>
      <c r="F53" s="51" t="str">
        <f>IFERROR(INDEX('[1]REP DISEÑO'!$I$9:$I$1508,MATCH(C53,'[1]REP DISEÑO'!$D$9:$D$1508,0)),"")</f>
        <v>DAMA</v>
      </c>
      <c r="G53" s="51" t="str">
        <f>IFERROR(INDEX('[1]REP DISEÑO'!$M$9:$M$1508,MATCH(C53,'[1]REP DISEÑO'!$D$9:$D$1508,0)),"")</f>
        <v>MEGAMAXI</v>
      </c>
      <c r="H53" s="51" t="str">
        <f>IFERROR(INDEX('[1]REP DISEÑO'!$J$9:$J$1508,MATCH(C53,'[1]REP DISEÑO'!$D$9:$D$1508,0)),"")</f>
        <v/>
      </c>
      <c r="I53" s="52" t="str">
        <f>IFERROR(INDEX('[1]REP DISEÑO'!$C$9:$C$1508,MATCH(C53,'[1]REP DISEÑO'!$D$9:$D$1508,0)),"")</f>
        <v>enero</v>
      </c>
      <c r="J53" s="53">
        <f>IF(C53="","",IF(ISNUMBER(FIND("AMU",$C$14:$C$548)),1,(SUMIF('[1]REP PRODUCCIÓN'!$H$6:$H$1505,"*"&amp;C53&amp;"*",'[1]REP PRODUCCIÓN'!$E$6:$E$1505))))</f>
        <v>0</v>
      </c>
      <c r="K53" s="53">
        <f t="shared" si="1"/>
        <v>0</v>
      </c>
      <c r="M53" s="54" t="str">
        <f>IFERROR(INDEX('[1]REP DISEÑO'!$BA$9:$BA$1008,MATCH('INDIC-DIS2'!C53,'[1]REP DISEÑO'!$D$9:$D$1008,0)),"")</f>
        <v>MEGAMAXI</v>
      </c>
      <c r="N53" s="55"/>
      <c r="O53" s="55"/>
      <c r="P53" s="55"/>
      <c r="R53" s="57">
        <f t="shared" si="2"/>
        <v>1</v>
      </c>
    </row>
    <row r="54" spans="2:18" ht="26.25" customHeight="1" x14ac:dyDescent="0.25">
      <c r="B54" s="49">
        <f t="shared" si="0"/>
        <v>1</v>
      </c>
      <c r="C54" s="50" t="str">
        <f t="array" ref="C54">IFERROR(INDEX('[1]REP DISEÑO'!$D$9:$D$1008,SMALL(IF('[1]REP DISEÑO'!$AW$9:$AW$1008=$J$1,ROW('[1]REP DISEÑO'!$N$9:$N$1008)-ROW('[1]REP DISEÑO'!$N$9),""),ROWS(C$14:C54))+1),"")</f>
        <v>D26-4078</v>
      </c>
      <c r="D54" s="51" t="str">
        <f>IFERROR(INDEX('[1]REP DISEÑO'!$N$9:$N$1508,MATCH(C54,'[1]REP DISEÑO'!$D$9:$D$1508,0)),"")</f>
        <v>GABRIELA D.</v>
      </c>
      <c r="E54" s="51" t="str">
        <f>IFERROR(INDEX('[1]REP DISEÑO'!$G$9:$G$1508,MATCH(C54,'[1]REP DISEÑO'!$D$9:$D$1508,0)),"")</f>
        <v>BOTA 0</v>
      </c>
      <c r="F54" s="51" t="str">
        <f>IFERROR(INDEX('[1]REP DISEÑO'!$I$9:$I$1508,MATCH(C54,'[1]REP DISEÑO'!$D$9:$D$1508,0)),"")</f>
        <v>DAMA</v>
      </c>
      <c r="G54" s="51" t="str">
        <f>IFERROR(INDEX('[1]REP DISEÑO'!$M$9:$M$1508,MATCH(C54,'[1]REP DISEÑO'!$D$9:$D$1508,0)),"")</f>
        <v>MEGAMAXI</v>
      </c>
      <c r="H54" s="51" t="str">
        <f>IFERROR(INDEX('[1]REP DISEÑO'!$J$9:$J$1508,MATCH(C54,'[1]REP DISEÑO'!$D$9:$D$1508,0)),"")</f>
        <v/>
      </c>
      <c r="I54" s="52" t="str">
        <f>IFERROR(INDEX('[1]REP DISEÑO'!$C$9:$C$1508,MATCH(C54,'[1]REP DISEÑO'!$D$9:$D$1508,0)),"")</f>
        <v>enero</v>
      </c>
      <c r="J54" s="53">
        <f>IF(C54="","",IF(ISNUMBER(FIND("AMU",$C$14:$C$548)),1,(SUMIF('[1]REP PRODUCCIÓN'!$H$6:$H$1505,"*"&amp;C54&amp;"*",'[1]REP PRODUCCIÓN'!$E$6:$E$1505))))</f>
        <v>150</v>
      </c>
      <c r="K54" s="53" t="str">
        <f t="shared" si="1"/>
        <v>OK</v>
      </c>
      <c r="M54" s="54" t="str">
        <f>IFERROR(INDEX('[1]REP DISEÑO'!$BA$9:$BA$1008,MATCH('INDIC-DIS2'!C54,'[1]REP DISEÑO'!$D$9:$D$1008,0)),"")</f>
        <v>MEGAMAXI</v>
      </c>
      <c r="N54" s="55"/>
      <c r="O54" s="55"/>
      <c r="P54" s="55"/>
      <c r="R54" s="57">
        <f t="shared" si="2"/>
        <v>1</v>
      </c>
    </row>
    <row r="55" spans="2:18" ht="26.25" customHeight="1" x14ac:dyDescent="0.25">
      <c r="B55" s="49">
        <f t="shared" si="0"/>
        <v>1</v>
      </c>
      <c r="C55" s="50" t="str">
        <f t="array" ref="C55">IFERROR(INDEX('[1]REP DISEÑO'!$D$9:$D$1008,SMALL(IF('[1]REP DISEÑO'!$AW$9:$AW$1008=$J$1,ROW('[1]REP DISEÑO'!$N$9:$N$1008)-ROW('[1]REP DISEÑO'!$N$9),""),ROWS(C$14:C55))+1),"")</f>
        <v>D26-4079</v>
      </c>
      <c r="D55" s="51" t="str">
        <f>IFERROR(INDEX('[1]REP DISEÑO'!$N$9:$N$1508,MATCH(C55,'[1]REP DISEÑO'!$D$9:$D$1508,0)),"")</f>
        <v>GABRIELA D.</v>
      </c>
      <c r="E55" s="51" t="str">
        <f>IFERROR(INDEX('[1]REP DISEÑO'!$G$9:$G$1508,MATCH(C55,'[1]REP DISEÑO'!$D$9:$D$1508,0)),"")</f>
        <v>BOTA 0</v>
      </c>
      <c r="F55" s="51" t="str">
        <f>IFERROR(INDEX('[1]REP DISEÑO'!$I$9:$I$1508,MATCH(C55,'[1]REP DISEÑO'!$D$9:$D$1508,0)),"")</f>
        <v>DAMA</v>
      </c>
      <c r="G55" s="51" t="str">
        <f>IFERROR(INDEX('[1]REP DISEÑO'!$M$9:$M$1508,MATCH(C55,'[1]REP DISEÑO'!$D$9:$D$1508,0)),"")</f>
        <v>MEGAMAXI</v>
      </c>
      <c r="H55" s="51" t="str">
        <f>IFERROR(INDEX('[1]REP DISEÑO'!$J$9:$J$1508,MATCH(C55,'[1]REP DISEÑO'!$D$9:$D$1508,0)),"")</f>
        <v/>
      </c>
      <c r="I55" s="52" t="str">
        <f>IFERROR(INDEX('[1]REP DISEÑO'!$C$9:$C$1508,MATCH(C55,'[1]REP DISEÑO'!$D$9:$D$1508,0)),"")</f>
        <v>enero</v>
      </c>
      <c r="J55" s="53">
        <f>IF(C55="","",IF(ISNUMBER(FIND("AMU",$C$14:$C$548)),1,(SUMIF('[1]REP PRODUCCIÓN'!$H$6:$H$1505,"*"&amp;C55&amp;"*",'[1]REP PRODUCCIÓN'!$E$6:$E$1505))))</f>
        <v>150</v>
      </c>
      <c r="K55" s="53" t="str">
        <f t="shared" si="1"/>
        <v>OK</v>
      </c>
      <c r="M55" s="54" t="str">
        <f>IFERROR(INDEX('[1]REP DISEÑO'!$BA$9:$BA$1008,MATCH('INDIC-DIS2'!C55,'[1]REP DISEÑO'!$D$9:$D$1008,0)),"")</f>
        <v>MEGAMAXI</v>
      </c>
      <c r="N55" s="55"/>
      <c r="O55" s="55"/>
      <c r="P55" s="55"/>
      <c r="R55" s="57">
        <f t="shared" si="2"/>
        <v>1</v>
      </c>
    </row>
    <row r="56" spans="2:18" ht="26.25" customHeight="1" x14ac:dyDescent="0.25">
      <c r="B56" s="49">
        <f t="shared" si="0"/>
        <v>1</v>
      </c>
      <c r="C56" s="50" t="str">
        <f t="array" ref="C56">IFERROR(INDEX('[1]REP DISEÑO'!$D$9:$D$1008,SMALL(IF('[1]REP DISEÑO'!$AW$9:$AW$1008=$J$1,ROW('[1]REP DISEÑO'!$N$9:$N$1008)-ROW('[1]REP DISEÑO'!$N$9),""),ROWS(C$14:C56))+1),"")</f>
        <v>D26-4080</v>
      </c>
      <c r="D56" s="51" t="str">
        <f>IFERROR(INDEX('[1]REP DISEÑO'!$N$9:$N$1508,MATCH(C56,'[1]REP DISEÑO'!$D$9:$D$1508,0)),"")</f>
        <v>GABRIELA D.</v>
      </c>
      <c r="E56" s="51" t="str">
        <f>IFERROR(INDEX('[1]REP DISEÑO'!$G$9:$G$1508,MATCH(C56,'[1]REP DISEÑO'!$D$9:$D$1508,0)),"")</f>
        <v>TALÓN FILO ANGOSTO</v>
      </c>
      <c r="F56" s="51" t="str">
        <f>IFERROR(INDEX('[1]REP DISEÑO'!$I$9:$I$1508,MATCH(C56,'[1]REP DISEÑO'!$D$9:$D$1508,0)),"")</f>
        <v>DAMA</v>
      </c>
      <c r="G56" s="51" t="str">
        <f>IFERROR(INDEX('[1]REP DISEÑO'!$M$9:$M$1508,MATCH(C56,'[1]REP DISEÑO'!$D$9:$D$1508,0)),"")</f>
        <v>MEGAMAXI</v>
      </c>
      <c r="H56" s="51" t="str">
        <f>IFERROR(INDEX('[1]REP DISEÑO'!$J$9:$J$1508,MATCH(C56,'[1]REP DISEÑO'!$D$9:$D$1508,0)),"")</f>
        <v/>
      </c>
      <c r="I56" s="52" t="str">
        <f>IFERROR(INDEX('[1]REP DISEÑO'!$C$9:$C$1508,MATCH(C56,'[1]REP DISEÑO'!$D$9:$D$1508,0)),"")</f>
        <v>enero</v>
      </c>
      <c r="J56" s="53">
        <f>IF(C56="","",IF(ISNUMBER(FIND("AMU",$C$14:$C$548)),1,(SUMIF('[1]REP PRODUCCIÓN'!$H$6:$H$1505,"*"&amp;C56&amp;"*",'[1]REP PRODUCCIÓN'!$E$6:$E$1505))))</f>
        <v>202</v>
      </c>
      <c r="K56" s="53" t="str">
        <f t="shared" si="1"/>
        <v>OK</v>
      </c>
      <c r="M56" s="54" t="str">
        <f>IFERROR(INDEX('[1]REP DISEÑO'!$BA$9:$BA$1008,MATCH('INDIC-DIS2'!C56,'[1]REP DISEÑO'!$D$9:$D$1008,0)),"")</f>
        <v>MEGAMAXI</v>
      </c>
      <c r="N56" s="55"/>
      <c r="O56" s="55"/>
      <c r="P56" s="55"/>
      <c r="R56" s="57">
        <f t="shared" si="2"/>
        <v>1</v>
      </c>
    </row>
    <row r="57" spans="2:18" ht="26.25" customHeight="1" x14ac:dyDescent="0.25">
      <c r="B57" s="49">
        <f t="shared" si="0"/>
        <v>0</v>
      </c>
      <c r="C57" s="50" t="str">
        <f t="array" ref="C57">IFERROR(INDEX('[1]REP DISEÑO'!$D$9:$D$1008,SMALL(IF('[1]REP DISEÑO'!$AW$9:$AW$1008=$J$1,ROW('[1]REP DISEÑO'!$N$9:$N$1008)-ROW('[1]REP DISEÑO'!$N$9),""),ROWS(C$14:C57))+1),"")</f>
        <v>D26-4083</v>
      </c>
      <c r="D57" s="51" t="str">
        <f>IFERROR(INDEX('[1]REP DISEÑO'!$N$9:$N$1508,MATCH(C57,'[1]REP DISEÑO'!$D$9:$D$1508,0)),"")</f>
        <v>GABRIELA D.</v>
      </c>
      <c r="E57" s="51" t="str">
        <f>IFERROR(INDEX('[1]REP DISEÑO'!$G$9:$G$1508,MATCH(C57,'[1]REP DISEÑO'!$D$9:$D$1508,0)),"")</f>
        <v>SANDALIA 0</v>
      </c>
      <c r="F57" s="51" t="str">
        <f>IFERROR(INDEX('[1]REP DISEÑO'!$I$9:$I$1508,MATCH(C57,'[1]REP DISEÑO'!$D$9:$D$1508,0)),"")</f>
        <v>DAMA</v>
      </c>
      <c r="G57" s="51" t="str">
        <f>IFERROR(INDEX('[1]REP DISEÑO'!$M$9:$M$1508,MATCH(C57,'[1]REP DISEÑO'!$D$9:$D$1508,0)),"")</f>
        <v>MEGAMAXI</v>
      </c>
      <c r="H57" s="51" t="str">
        <f>IFERROR(INDEX('[1]REP DISEÑO'!$J$9:$J$1508,MATCH(C57,'[1]REP DISEÑO'!$D$9:$D$1508,0)),"")</f>
        <v/>
      </c>
      <c r="I57" s="52" t="str">
        <f>IFERROR(INDEX('[1]REP DISEÑO'!$C$9:$C$1508,MATCH(C57,'[1]REP DISEÑO'!$D$9:$D$1508,0)),"")</f>
        <v>enero</v>
      </c>
      <c r="J57" s="53">
        <f>IF(C57="","",IF(ISNUMBER(FIND("AMU",$C$14:$C$548)),1,(SUMIF('[1]REP PRODUCCIÓN'!$H$6:$H$1505,"*"&amp;C57&amp;"*",'[1]REP PRODUCCIÓN'!$E$6:$E$1505))))</f>
        <v>0</v>
      </c>
      <c r="K57" s="53">
        <f t="shared" si="1"/>
        <v>0</v>
      </c>
      <c r="M57" s="54" t="str">
        <f>IFERROR(INDEX('[1]REP DISEÑO'!$BA$9:$BA$1008,MATCH('INDIC-DIS2'!C57,'[1]REP DISEÑO'!$D$9:$D$1008,0)),"")</f>
        <v>MEGAMAXI</v>
      </c>
      <c r="N57" s="55"/>
      <c r="O57" s="55"/>
      <c r="P57" s="55"/>
      <c r="R57" s="57">
        <f t="shared" si="2"/>
        <v>1</v>
      </c>
    </row>
    <row r="58" spans="2:18" ht="26.25" customHeight="1" x14ac:dyDescent="0.25">
      <c r="B58" s="49">
        <f t="shared" si="0"/>
        <v>0</v>
      </c>
      <c r="C58" s="50" t="str">
        <f t="array" ref="C58">IFERROR(INDEX('[1]REP DISEÑO'!$D$9:$D$1008,SMALL(IF('[1]REP DISEÑO'!$AW$9:$AW$1008=$J$1,ROW('[1]REP DISEÑO'!$N$9:$N$1008)-ROW('[1]REP DISEÑO'!$N$9),""),ROWS(C$14:C58))+1),"")</f>
        <v>D26-4085</v>
      </c>
      <c r="D58" s="51" t="str">
        <f>IFERROR(INDEX('[1]REP DISEÑO'!$N$9:$N$1508,MATCH(C58,'[1]REP DISEÑO'!$D$9:$D$1508,0)),"")</f>
        <v>GABRIELA D.</v>
      </c>
      <c r="E58" s="51" t="str">
        <f>IFERROR(INDEX('[1]REP DISEÑO'!$G$9:$G$1508,MATCH(C58,'[1]REP DISEÑO'!$D$9:$D$1508,0)),"")</f>
        <v>SUECA 0</v>
      </c>
      <c r="F58" s="51" t="str">
        <f>IFERROR(INDEX('[1]REP DISEÑO'!$I$9:$I$1508,MATCH(C58,'[1]REP DISEÑO'!$D$9:$D$1508,0)),"")</f>
        <v>DAMA</v>
      </c>
      <c r="G58" s="51" t="str">
        <f>IFERROR(INDEX('[1]REP DISEÑO'!$M$9:$M$1508,MATCH(C58,'[1]REP DISEÑO'!$D$9:$D$1508,0)),"")</f>
        <v>MEGAMAXI</v>
      </c>
      <c r="H58" s="51" t="str">
        <f>IFERROR(INDEX('[1]REP DISEÑO'!$J$9:$J$1508,MATCH(C58,'[1]REP DISEÑO'!$D$9:$D$1508,0)),"")</f>
        <v/>
      </c>
      <c r="I58" s="52" t="str">
        <f>IFERROR(INDEX('[1]REP DISEÑO'!$C$9:$C$1508,MATCH(C58,'[1]REP DISEÑO'!$D$9:$D$1508,0)),"")</f>
        <v>enero</v>
      </c>
      <c r="J58" s="53">
        <f>IF(C58="","",IF(ISNUMBER(FIND("AMU",$C$14:$C$548)),1,(SUMIF('[1]REP PRODUCCIÓN'!$H$6:$H$1505,"*"&amp;C58&amp;"*",'[1]REP PRODUCCIÓN'!$E$6:$E$1505))))</f>
        <v>0</v>
      </c>
      <c r="K58" s="53">
        <f t="shared" si="1"/>
        <v>0</v>
      </c>
      <c r="M58" s="54" t="str">
        <f>IFERROR(INDEX('[1]REP DISEÑO'!$BA$9:$BA$1008,MATCH('INDIC-DIS2'!C58,'[1]REP DISEÑO'!$D$9:$D$1008,0)),"")</f>
        <v>MEGAMAXI</v>
      </c>
      <c r="N58" s="55"/>
      <c r="O58" s="55"/>
      <c r="P58" s="55"/>
      <c r="R58" s="57">
        <f t="shared" si="2"/>
        <v>1</v>
      </c>
    </row>
    <row r="59" spans="2:18" ht="26.25" customHeight="1" x14ac:dyDescent="0.25">
      <c r="B59" s="49">
        <f t="shared" si="0"/>
        <v>0</v>
      </c>
      <c r="C59" s="50" t="str">
        <f t="array" ref="C59">IFERROR(INDEX('[1]REP DISEÑO'!$D$9:$D$1008,SMALL(IF('[1]REP DISEÑO'!$AW$9:$AW$1008=$J$1,ROW('[1]REP DISEÑO'!$N$9:$N$1008)-ROW('[1]REP DISEÑO'!$N$9),""),ROWS(C$14:C59))+1),"")</f>
        <v>D26-4087</v>
      </c>
      <c r="D59" s="51" t="str">
        <f>IFERROR(INDEX('[1]REP DISEÑO'!$N$9:$N$1508,MATCH(C59,'[1]REP DISEÑO'!$D$9:$D$1508,0)),"")</f>
        <v>GABRIELA D.</v>
      </c>
      <c r="E59" s="51" t="str">
        <f>IFERROR(INDEX('[1]REP DISEÑO'!$G$9:$G$1508,MATCH(C59,'[1]REP DISEÑO'!$D$9:$D$1508,0)),"")</f>
        <v>SUECA 0</v>
      </c>
      <c r="F59" s="51" t="str">
        <f>IFERROR(INDEX('[1]REP DISEÑO'!$I$9:$I$1508,MATCH(C59,'[1]REP DISEÑO'!$D$9:$D$1508,0)),"")</f>
        <v>DAMA</v>
      </c>
      <c r="G59" s="51" t="str">
        <f>IFERROR(INDEX('[1]REP DISEÑO'!$M$9:$M$1508,MATCH(C59,'[1]REP DISEÑO'!$D$9:$D$1508,0)),"")</f>
        <v>MEGAMAXI</v>
      </c>
      <c r="H59" s="51" t="str">
        <f>IFERROR(INDEX('[1]REP DISEÑO'!$J$9:$J$1508,MATCH(C59,'[1]REP DISEÑO'!$D$9:$D$1508,0)),"")</f>
        <v/>
      </c>
      <c r="I59" s="52" t="str">
        <f>IFERROR(INDEX('[1]REP DISEÑO'!$C$9:$C$1508,MATCH(C59,'[1]REP DISEÑO'!$D$9:$D$1508,0)),"")</f>
        <v>enero</v>
      </c>
      <c r="J59" s="53">
        <f>IF(C59="","",IF(ISNUMBER(FIND("AMU",$C$14:$C$548)),1,(SUMIF('[1]REP PRODUCCIÓN'!$H$6:$H$1505,"*"&amp;C59&amp;"*",'[1]REP PRODUCCIÓN'!$E$6:$E$1505))))</f>
        <v>0</v>
      </c>
      <c r="K59" s="53">
        <f t="shared" si="1"/>
        <v>0</v>
      </c>
      <c r="M59" s="54" t="str">
        <f>IFERROR(INDEX('[1]REP DISEÑO'!$BA$9:$BA$1008,MATCH('INDIC-DIS2'!C59,'[1]REP DISEÑO'!$D$9:$D$1008,0)),"")</f>
        <v>MEGAMAXI</v>
      </c>
      <c r="N59" s="55"/>
      <c r="O59" s="55"/>
      <c r="P59" s="55"/>
      <c r="R59" s="57">
        <f t="shared" si="2"/>
        <v>1</v>
      </c>
    </row>
    <row r="60" spans="2:18" ht="26.25" customHeight="1" x14ac:dyDescent="0.25">
      <c r="B60" s="49">
        <f t="shared" si="0"/>
        <v>0</v>
      </c>
      <c r="C60" s="50" t="str">
        <f t="array" ref="C60">IFERROR(INDEX('[1]REP DISEÑO'!$D$9:$D$1008,SMALL(IF('[1]REP DISEÑO'!$AW$9:$AW$1008=$J$1,ROW('[1]REP DISEÑO'!$N$9:$N$1008)-ROW('[1]REP DISEÑO'!$N$9),""),ROWS(C$14:C60))+1),"")</f>
        <v>D26-4091</v>
      </c>
      <c r="D60" s="51" t="str">
        <f>IFERROR(INDEX('[1]REP DISEÑO'!$N$9:$N$1508,MATCH(C60,'[1]REP DISEÑO'!$D$9:$D$1508,0)),"")</f>
        <v>GABRIELA D.</v>
      </c>
      <c r="E60" s="51" t="str">
        <f>IFERROR(INDEX('[1]REP DISEÑO'!$G$9:$G$1508,MATCH(C60,'[1]REP DISEÑO'!$D$9:$D$1508,0)),"")</f>
        <v>BOTA 0</v>
      </c>
      <c r="F60" s="51" t="str">
        <f>IFERROR(INDEX('[1]REP DISEÑO'!$I$9:$I$1508,MATCH(C60,'[1]REP DISEÑO'!$D$9:$D$1508,0)),"")</f>
        <v>DAMA</v>
      </c>
      <c r="G60" s="51" t="str">
        <f>IFERROR(INDEX('[1]REP DISEÑO'!$M$9:$M$1508,MATCH(C60,'[1]REP DISEÑO'!$D$9:$D$1508,0)),"")</f>
        <v>MEGAMAXI</v>
      </c>
      <c r="H60" s="51" t="str">
        <f>IFERROR(INDEX('[1]REP DISEÑO'!$J$9:$J$1508,MATCH(C60,'[1]REP DISEÑO'!$D$9:$D$1508,0)),"")</f>
        <v/>
      </c>
      <c r="I60" s="52" t="str">
        <f>IFERROR(INDEX('[1]REP DISEÑO'!$C$9:$C$1508,MATCH(C60,'[1]REP DISEÑO'!$D$9:$D$1508,0)),"")</f>
        <v>enero</v>
      </c>
      <c r="J60" s="53">
        <f>IF(C60="","",IF(ISNUMBER(FIND("AMU",$C$14:$C$548)),1,(SUMIF('[1]REP PRODUCCIÓN'!$H$6:$H$1505,"*"&amp;C60&amp;"*",'[1]REP PRODUCCIÓN'!$E$6:$E$1505))))</f>
        <v>0</v>
      </c>
      <c r="K60" s="53">
        <f t="shared" si="1"/>
        <v>0</v>
      </c>
      <c r="M60" s="54" t="str">
        <f>IFERROR(INDEX('[1]REP DISEÑO'!$BA$9:$BA$1008,MATCH('INDIC-DIS2'!C60,'[1]REP DISEÑO'!$D$9:$D$1008,0)),"")</f>
        <v>MEGAMAXI</v>
      </c>
      <c r="N60" s="55"/>
      <c r="O60" s="55"/>
      <c r="P60" s="55"/>
      <c r="R60" s="57">
        <f t="shared" si="2"/>
        <v>1</v>
      </c>
    </row>
    <row r="61" spans="2:18" ht="26.25" customHeight="1" x14ac:dyDescent="0.25">
      <c r="B61" s="49">
        <f t="shared" si="0"/>
        <v>1</v>
      </c>
      <c r="C61" s="50" t="str">
        <f t="array" ref="C61">IFERROR(INDEX('[1]REP DISEÑO'!$D$9:$D$1008,SMALL(IF('[1]REP DISEÑO'!$AW$9:$AW$1008=$J$1,ROW('[1]REP DISEÑO'!$N$9:$N$1008)-ROW('[1]REP DISEÑO'!$N$9),""),ROWS(C$14:C61))+1),"")</f>
        <v>D26-4094</v>
      </c>
      <c r="D61" s="51" t="str">
        <f>IFERROR(INDEX('[1]REP DISEÑO'!$N$9:$N$1508,MATCH(C61,'[1]REP DISEÑO'!$D$9:$D$1508,0)),"")</f>
        <v>GABRIELA D.</v>
      </c>
      <c r="E61" s="51" t="str">
        <f>IFERROR(INDEX('[1]REP DISEÑO'!$G$9:$G$1508,MATCH(C61,'[1]REP DISEÑO'!$D$9:$D$1508,0)),"")</f>
        <v>SANDALIA PUNTA ABIERTA</v>
      </c>
      <c r="F61" s="51" t="str">
        <f>IFERROR(INDEX('[1]REP DISEÑO'!$I$9:$I$1508,MATCH(C61,'[1]REP DISEÑO'!$D$9:$D$1508,0)),"")</f>
        <v>DAMA</v>
      </c>
      <c r="G61" s="51" t="str">
        <f>IFERROR(INDEX('[1]REP DISEÑO'!$M$9:$M$1508,MATCH(C61,'[1]REP DISEÑO'!$D$9:$D$1508,0)),"")</f>
        <v>MEGAMAXI</v>
      </c>
      <c r="H61" s="51" t="str">
        <f>IFERROR(INDEX('[1]REP DISEÑO'!$J$9:$J$1508,MATCH(C61,'[1]REP DISEÑO'!$D$9:$D$1508,0)),"")</f>
        <v/>
      </c>
      <c r="I61" s="52" t="str">
        <f>IFERROR(INDEX('[1]REP DISEÑO'!$C$9:$C$1508,MATCH(C61,'[1]REP DISEÑO'!$D$9:$D$1508,0)),"")</f>
        <v>enero</v>
      </c>
      <c r="J61" s="53">
        <f>IF(C61="","",IF(ISNUMBER(FIND("AMU",$C$14:$C$548)),1,(SUMIF('[1]REP PRODUCCIÓN'!$H$6:$H$1505,"*"&amp;C61&amp;"*",'[1]REP PRODUCCIÓN'!$E$6:$E$1505))))</f>
        <v>150</v>
      </c>
      <c r="K61" s="53" t="str">
        <f t="shared" si="1"/>
        <v>OK</v>
      </c>
      <c r="M61" s="54" t="str">
        <f>IFERROR(INDEX('[1]REP DISEÑO'!$BA$9:$BA$1008,MATCH('INDIC-DIS2'!C61,'[1]REP DISEÑO'!$D$9:$D$1008,0)),"")</f>
        <v>MEGAMAXI</v>
      </c>
      <c r="N61" s="55"/>
      <c r="O61" s="55"/>
      <c r="P61" s="55"/>
      <c r="R61" s="57">
        <f t="shared" si="2"/>
        <v>1</v>
      </c>
    </row>
    <row r="62" spans="2:18" ht="26.25" customHeight="1" x14ac:dyDescent="0.25">
      <c r="B62" s="49">
        <f t="shared" si="0"/>
        <v>1</v>
      </c>
      <c r="C62" s="50" t="str">
        <f t="array" ref="C62">IFERROR(INDEX('[1]REP DISEÑO'!$D$9:$D$1008,SMALL(IF('[1]REP DISEÑO'!$AW$9:$AW$1008=$J$1,ROW('[1]REP DISEÑO'!$N$9:$N$1008)-ROW('[1]REP DISEÑO'!$N$9),""),ROWS(C$14:C62))+1),"")</f>
        <v>D26-4099</v>
      </c>
      <c r="D62" s="51" t="str">
        <f>IFERROR(INDEX('[1]REP DISEÑO'!$N$9:$N$1508,MATCH(C62,'[1]REP DISEÑO'!$D$9:$D$1508,0)),"")</f>
        <v>GABRIELA D.</v>
      </c>
      <c r="E62" s="51" t="str">
        <f>IFERROR(INDEX('[1]REP DISEÑO'!$G$9:$G$1508,MATCH(C62,'[1]REP DISEÑO'!$D$9:$D$1508,0)),"")</f>
        <v>SUECA 0</v>
      </c>
      <c r="F62" s="51" t="str">
        <f>IFERROR(INDEX('[1]REP DISEÑO'!$I$9:$I$1508,MATCH(C62,'[1]REP DISEÑO'!$D$9:$D$1508,0)),"")</f>
        <v>DAMA</v>
      </c>
      <c r="G62" s="51" t="str">
        <f>IFERROR(INDEX('[1]REP DISEÑO'!$M$9:$M$1508,MATCH(C62,'[1]REP DISEÑO'!$D$9:$D$1508,0)),"")</f>
        <v>MEGAMAXI</v>
      </c>
      <c r="H62" s="51" t="str">
        <f>IFERROR(INDEX('[1]REP DISEÑO'!$J$9:$J$1508,MATCH(C62,'[1]REP DISEÑO'!$D$9:$D$1508,0)),"")</f>
        <v/>
      </c>
      <c r="I62" s="52" t="str">
        <f>IFERROR(INDEX('[1]REP DISEÑO'!$C$9:$C$1508,MATCH(C62,'[1]REP DISEÑO'!$D$9:$D$1508,0)),"")</f>
        <v>enero</v>
      </c>
      <c r="J62" s="53">
        <f>IF(C62="","",IF(ISNUMBER(FIND("AMU",$C$14:$C$548)),1,(SUMIF('[1]REP PRODUCCIÓN'!$H$6:$H$1505,"*"&amp;C62&amp;"*",'[1]REP PRODUCCIÓN'!$E$6:$E$1505))))</f>
        <v>202</v>
      </c>
      <c r="K62" s="53" t="str">
        <f t="shared" si="1"/>
        <v>OK</v>
      </c>
      <c r="M62" s="54" t="str">
        <f>IFERROR(INDEX('[1]REP DISEÑO'!$BA$9:$BA$1008,MATCH('INDIC-DIS2'!C62,'[1]REP DISEÑO'!$D$9:$D$1008,0)),"")</f>
        <v>MEGAMAXI</v>
      </c>
      <c r="N62" s="55"/>
      <c r="O62" s="55"/>
      <c r="P62" s="55"/>
      <c r="R62" s="57">
        <f t="shared" si="2"/>
        <v>1</v>
      </c>
    </row>
    <row r="63" spans="2:18" ht="26.25" customHeight="1" x14ac:dyDescent="0.25">
      <c r="B63" s="49">
        <f t="shared" si="0"/>
        <v>1</v>
      </c>
      <c r="C63" s="50" t="str">
        <f t="array" ref="C63">IFERROR(INDEX('[1]REP DISEÑO'!$D$9:$D$1008,SMALL(IF('[1]REP DISEÑO'!$AW$9:$AW$1008=$J$1,ROW('[1]REP DISEÑO'!$N$9:$N$1008)-ROW('[1]REP DISEÑO'!$N$9),""),ROWS(C$14:C63))+1),"")</f>
        <v>N26-4012</v>
      </c>
      <c r="D63" s="51" t="str">
        <f>IFERROR(INDEX('[1]REP DISEÑO'!$N$9:$N$1508,MATCH(C63,'[1]REP DISEÑO'!$D$9:$D$1508,0)),"")</f>
        <v>GABRIELA D.</v>
      </c>
      <c r="E63" s="51" t="str">
        <f>IFERROR(INDEX('[1]REP DISEÑO'!$G$9:$G$1508,MATCH(C63,'[1]REP DISEÑO'!$D$9:$D$1508,0)),"")</f>
        <v>SUECA 0</v>
      </c>
      <c r="F63" s="51" t="str">
        <f>IFERROR(INDEX('[1]REP DISEÑO'!$I$9:$I$1508,MATCH(C63,'[1]REP DISEÑO'!$D$9:$D$1508,0)),"")</f>
        <v>ESCOLAR NIÑO</v>
      </c>
      <c r="G63" s="51" t="str">
        <f>IFERROR(INDEX('[1]REP DISEÑO'!$M$9:$M$1508,MATCH(C63,'[1]REP DISEÑO'!$D$9:$D$1508,0)),"")</f>
        <v>MEGAMAXI</v>
      </c>
      <c r="H63" s="51" t="str">
        <f>IFERROR(INDEX('[1]REP DISEÑO'!$J$9:$J$1508,MATCH(C63,'[1]REP DISEÑO'!$D$9:$D$1508,0)),"")</f>
        <v/>
      </c>
      <c r="I63" s="52" t="str">
        <f>IFERROR(INDEX('[1]REP DISEÑO'!$C$9:$C$1508,MATCH(C63,'[1]REP DISEÑO'!$D$9:$D$1508,0)),"")</f>
        <v>febrero</v>
      </c>
      <c r="J63" s="53">
        <f>IF(C63="","",IF(ISNUMBER(FIND("AMU",$C$14:$C$548)),1,(SUMIF('[1]REP PRODUCCIÓN'!$H$6:$H$1505,"*"&amp;C63&amp;"*",'[1]REP PRODUCCIÓN'!$E$6:$E$1505))))</f>
        <v>144</v>
      </c>
      <c r="K63" s="53" t="str">
        <f t="shared" si="1"/>
        <v>OK</v>
      </c>
      <c r="M63" s="54" t="str">
        <f>IFERROR(INDEX('[1]REP DISEÑO'!$BA$9:$BA$1008,MATCH('INDIC-DIS2'!C63,'[1]REP DISEÑO'!$D$9:$D$1008,0)),"")</f>
        <v>MEGAMAXI</v>
      </c>
      <c r="N63" s="55"/>
      <c r="O63" s="55"/>
      <c r="P63" s="55"/>
      <c r="R63" s="57">
        <f t="shared" si="2"/>
        <v>1</v>
      </c>
    </row>
    <row r="64" spans="2:18" ht="26.25" customHeight="1" x14ac:dyDescent="0.25">
      <c r="B64" s="49">
        <f t="shared" si="0"/>
        <v>0</v>
      </c>
      <c r="C64" s="50" t="str">
        <f t="array" ref="C64">IFERROR(INDEX('[1]REP DISEÑO'!$D$9:$D$1008,SMALL(IF('[1]REP DISEÑO'!$AW$9:$AW$1008=$J$1,ROW('[1]REP DISEÑO'!$N$9:$N$1008)-ROW('[1]REP DISEÑO'!$N$9),""),ROWS(C$14:C64))+1),"")</f>
        <v>G26-5064</v>
      </c>
      <c r="D64" s="51" t="str">
        <f>IFERROR(INDEX('[1]REP DISEÑO'!$N$9:$N$1508,MATCH(C64,'[1]REP DISEÑO'!$D$9:$D$1508,0)),"")</f>
        <v>GABRIELA D.</v>
      </c>
      <c r="E64" s="51" t="str">
        <f>IFERROR(INDEX('[1]REP DISEÑO'!$G$9:$G$1508,MATCH(C64,'[1]REP DISEÑO'!$D$9:$D$1508,0)),"")</f>
        <v>ZAPATO VELCRO</v>
      </c>
      <c r="F64" s="51" t="str">
        <f>IFERROR(INDEX('[1]REP DISEÑO'!$I$9:$I$1508,MATCH(C64,'[1]REP DISEÑO'!$D$9:$D$1508,0)),"")</f>
        <v>PREESCOLAR NIÑA</v>
      </c>
      <c r="G64" s="51" t="str">
        <f>IFERROR(INDEX('[1]REP DISEÑO'!$M$9:$M$1508,MATCH(C64,'[1]REP DISEÑO'!$D$9:$D$1508,0)),"")</f>
        <v>MEGAMAXI</v>
      </c>
      <c r="H64" s="51" t="str">
        <f>IFERROR(INDEX('[1]REP DISEÑO'!$J$9:$J$1508,MATCH(C64,'[1]REP DISEÑO'!$D$9:$D$1508,0)),"")</f>
        <v/>
      </c>
      <c r="I64" s="52" t="str">
        <f>IFERROR(INDEX('[1]REP DISEÑO'!$C$9:$C$1508,MATCH(C64,'[1]REP DISEÑO'!$D$9:$D$1508,0)),"")</f>
        <v>febrero</v>
      </c>
      <c r="J64" s="53">
        <f>IF(C64="","",IF(ISNUMBER(FIND("AMU",$C$14:$C$548)),1,(SUMIF('[1]REP PRODUCCIÓN'!$H$6:$H$1505,"*"&amp;C64&amp;"*",'[1]REP PRODUCCIÓN'!$E$6:$E$1505))))</f>
        <v>0</v>
      </c>
      <c r="K64" s="53">
        <f t="shared" si="1"/>
        <v>0</v>
      </c>
      <c r="M64" s="54" t="str">
        <f>IFERROR(INDEX('[1]REP DISEÑO'!$BA$9:$BA$1008,MATCH('INDIC-DIS2'!C64,'[1]REP DISEÑO'!$D$9:$D$1008,0)),"")</f>
        <v>MEGAMAXI</v>
      </c>
      <c r="N64" s="55"/>
      <c r="O64" s="55"/>
      <c r="P64" s="55"/>
      <c r="R64" s="57">
        <f t="shared" si="2"/>
        <v>1</v>
      </c>
    </row>
    <row r="65" spans="2:18" ht="26.25" customHeight="1" x14ac:dyDescent="0.25">
      <c r="B65" s="49">
        <f t="shared" si="0"/>
        <v>0</v>
      </c>
      <c r="C65" s="50" t="str">
        <f t="array" ref="C65">IFERROR(INDEX('[1]REP DISEÑO'!$D$9:$D$1008,SMALL(IF('[1]REP DISEÑO'!$AW$9:$AW$1008=$J$1,ROW('[1]REP DISEÑO'!$N$9:$N$1008)-ROW('[1]REP DISEÑO'!$N$9),""),ROWS(C$14:C65))+1),"")</f>
        <v>G26-5065</v>
      </c>
      <c r="D65" s="51" t="str">
        <f>IFERROR(INDEX('[1]REP DISEÑO'!$N$9:$N$1508,MATCH(C65,'[1]REP DISEÑO'!$D$9:$D$1508,0)),"")</f>
        <v>GABRIELA D.</v>
      </c>
      <c r="E65" s="51" t="str">
        <f>IFERROR(INDEX('[1]REP DISEÑO'!$G$9:$G$1508,MATCH(C65,'[1]REP DISEÑO'!$D$9:$D$1508,0)),"")</f>
        <v>ZAPATO VELCRO</v>
      </c>
      <c r="F65" s="51" t="str">
        <f>IFERROR(INDEX('[1]REP DISEÑO'!$I$9:$I$1508,MATCH(C65,'[1]REP DISEÑO'!$D$9:$D$1508,0)),"")</f>
        <v>PREESCOLAR NIÑO</v>
      </c>
      <c r="G65" s="51" t="str">
        <f>IFERROR(INDEX('[1]REP DISEÑO'!$M$9:$M$1508,MATCH(C65,'[1]REP DISEÑO'!$D$9:$D$1508,0)),"")</f>
        <v>MEGAMAXI</v>
      </c>
      <c r="H65" s="51" t="str">
        <f>IFERROR(INDEX('[1]REP DISEÑO'!$J$9:$J$1508,MATCH(C65,'[1]REP DISEÑO'!$D$9:$D$1508,0)),"")</f>
        <v/>
      </c>
      <c r="I65" s="52" t="str">
        <f>IFERROR(INDEX('[1]REP DISEÑO'!$C$9:$C$1508,MATCH(C65,'[1]REP DISEÑO'!$D$9:$D$1508,0)),"")</f>
        <v>febrero</v>
      </c>
      <c r="J65" s="53">
        <f>IF(C65="","",IF(ISNUMBER(FIND("AMU",$C$14:$C$548)),1,(SUMIF('[1]REP PRODUCCIÓN'!$H$6:$H$1505,"*"&amp;C65&amp;"*",'[1]REP PRODUCCIÓN'!$E$6:$E$1505))))</f>
        <v>0</v>
      </c>
      <c r="K65" s="53">
        <f t="shared" si="1"/>
        <v>0</v>
      </c>
      <c r="M65" s="54" t="str">
        <f>IFERROR(INDEX('[1]REP DISEÑO'!$BA$9:$BA$1008,MATCH('INDIC-DIS2'!C65,'[1]REP DISEÑO'!$D$9:$D$1008,0)),"")</f>
        <v>MEGAMAXI</v>
      </c>
      <c r="N65" s="55"/>
      <c r="O65" s="55"/>
      <c r="P65" s="55"/>
      <c r="R65" s="57">
        <f t="shared" si="2"/>
        <v>1</v>
      </c>
    </row>
    <row r="66" spans="2:18" ht="26.25" customHeight="1" x14ac:dyDescent="0.25">
      <c r="B66" s="49">
        <f t="shared" si="0"/>
        <v>0</v>
      </c>
      <c r="C66" s="50" t="str">
        <f t="array" ref="C66">IFERROR(INDEX('[1]REP DISEÑO'!$D$9:$D$1008,SMALL(IF('[1]REP DISEÑO'!$AW$9:$AW$1008=$J$1,ROW('[1]REP DISEÑO'!$N$9:$N$1008)-ROW('[1]REP DISEÑO'!$N$9),""),ROWS(C$14:C66))+1),"")</f>
        <v>G26-5066</v>
      </c>
      <c r="D66" s="51" t="str">
        <f>IFERROR(INDEX('[1]REP DISEÑO'!$N$9:$N$1508,MATCH(C66,'[1]REP DISEÑO'!$D$9:$D$1508,0)),"")</f>
        <v>GABRIELA D.</v>
      </c>
      <c r="E66" s="51" t="str">
        <f>IFERROR(INDEX('[1]REP DISEÑO'!$G$9:$G$1508,MATCH(C66,'[1]REP DISEÑO'!$D$9:$D$1508,0)),"")</f>
        <v>TALÓN 0</v>
      </c>
      <c r="F66" s="51" t="str">
        <f>IFERROR(INDEX('[1]REP DISEÑO'!$I$9:$I$1508,MATCH(C66,'[1]REP DISEÑO'!$D$9:$D$1508,0)),"")</f>
        <v>PREESCOLAR NIÑA</v>
      </c>
      <c r="G66" s="51" t="str">
        <f>IFERROR(INDEX('[1]REP DISEÑO'!$M$9:$M$1508,MATCH(C66,'[1]REP DISEÑO'!$D$9:$D$1508,0)),"")</f>
        <v>MEGAMAXI</v>
      </c>
      <c r="H66" s="51" t="str">
        <f>IFERROR(INDEX('[1]REP DISEÑO'!$J$9:$J$1508,MATCH(C66,'[1]REP DISEÑO'!$D$9:$D$1508,0)),"")</f>
        <v/>
      </c>
      <c r="I66" s="52" t="str">
        <f>IFERROR(INDEX('[1]REP DISEÑO'!$C$9:$C$1508,MATCH(C66,'[1]REP DISEÑO'!$D$9:$D$1508,0)),"")</f>
        <v>febrero</v>
      </c>
      <c r="J66" s="53">
        <f>IF(C66="","",IF(ISNUMBER(FIND("AMU",$C$14:$C$548)),1,(SUMIF('[1]REP PRODUCCIÓN'!$H$6:$H$1505,"*"&amp;C66&amp;"*",'[1]REP PRODUCCIÓN'!$E$6:$E$1505))))</f>
        <v>0</v>
      </c>
      <c r="K66" s="53">
        <f t="shared" si="1"/>
        <v>0</v>
      </c>
      <c r="M66" s="54" t="str">
        <f>IFERROR(INDEX('[1]REP DISEÑO'!$BA$9:$BA$1008,MATCH('INDIC-DIS2'!C66,'[1]REP DISEÑO'!$D$9:$D$1008,0)),"")</f>
        <v>MEGAMAXI</v>
      </c>
      <c r="N66" s="55"/>
      <c r="O66" s="55"/>
      <c r="P66" s="55"/>
      <c r="R66" s="57">
        <f t="shared" si="2"/>
        <v>1</v>
      </c>
    </row>
    <row r="67" spans="2:18" ht="26.25" customHeight="1" x14ac:dyDescent="0.25">
      <c r="B67" s="49">
        <f t="shared" si="0"/>
        <v>1</v>
      </c>
      <c r="C67" s="50" t="str">
        <f t="array" ref="C67">IFERROR(INDEX('[1]REP DISEÑO'!$D$9:$D$1008,SMALL(IF('[1]REP DISEÑO'!$AW$9:$AW$1008=$J$1,ROW('[1]REP DISEÑO'!$N$9:$N$1008)-ROW('[1]REP DISEÑO'!$N$9),""),ROWS(C$14:C67))+1),"")</f>
        <v>G26-5067</v>
      </c>
      <c r="D67" s="51" t="str">
        <f>IFERROR(INDEX('[1]REP DISEÑO'!$N$9:$N$1508,MATCH(C67,'[1]REP DISEÑO'!$D$9:$D$1508,0)),"")</f>
        <v>GABRIELA D.</v>
      </c>
      <c r="E67" s="51" t="str">
        <f>IFERROR(INDEX('[1]REP DISEÑO'!$G$9:$G$1508,MATCH(C67,'[1]REP DISEÑO'!$D$9:$D$1508,0)),"")</f>
        <v>TALÓN 0</v>
      </c>
      <c r="F67" s="51" t="str">
        <f>IFERROR(INDEX('[1]REP DISEÑO'!$I$9:$I$1508,MATCH(C67,'[1]REP DISEÑO'!$D$9:$D$1508,0)),"")</f>
        <v>PREESCOLAR NIÑA</v>
      </c>
      <c r="G67" s="51" t="str">
        <f>IFERROR(INDEX('[1]REP DISEÑO'!$M$9:$M$1508,MATCH(C67,'[1]REP DISEÑO'!$D$9:$D$1508,0)),"")</f>
        <v>MEGAMAXI</v>
      </c>
      <c r="H67" s="51" t="str">
        <f>IFERROR(INDEX('[1]REP DISEÑO'!$J$9:$J$1508,MATCH(C67,'[1]REP DISEÑO'!$D$9:$D$1508,0)),"")</f>
        <v/>
      </c>
      <c r="I67" s="52" t="str">
        <f>IFERROR(INDEX('[1]REP DISEÑO'!$C$9:$C$1508,MATCH(C67,'[1]REP DISEÑO'!$D$9:$D$1508,0)),"")</f>
        <v>febrero</v>
      </c>
      <c r="J67" s="53">
        <f>IF(C67="","",IF(ISNUMBER(FIND("AMU",$C$14:$C$548)),1,(SUMIF('[1]REP PRODUCCIÓN'!$H$6:$H$1505,"*"&amp;C67&amp;"*",'[1]REP PRODUCCIÓN'!$E$6:$E$1505))))</f>
        <v>160</v>
      </c>
      <c r="K67" s="53" t="str">
        <f t="shared" si="1"/>
        <v>OK</v>
      </c>
      <c r="M67" s="54" t="str">
        <f>IFERROR(INDEX('[1]REP DISEÑO'!$BA$9:$BA$1008,MATCH('INDIC-DIS2'!C67,'[1]REP DISEÑO'!$D$9:$D$1008,0)),"")</f>
        <v>MEGAMAXI</v>
      </c>
      <c r="N67" s="55"/>
      <c r="O67" s="55"/>
      <c r="P67" s="55"/>
      <c r="R67" s="57">
        <f t="shared" si="2"/>
        <v>1</v>
      </c>
    </row>
    <row r="68" spans="2:18" ht="26.25" customHeight="1" x14ac:dyDescent="0.25">
      <c r="B68" s="49">
        <f t="shared" si="0"/>
        <v>0</v>
      </c>
      <c r="C68" s="50" t="str">
        <f t="array" ref="C68">IFERROR(INDEX('[1]REP DISEÑO'!$D$9:$D$1008,SMALL(IF('[1]REP DISEÑO'!$AW$9:$AW$1008=$J$1,ROW('[1]REP DISEÑO'!$N$9:$N$1008)-ROW('[1]REP DISEÑO'!$N$9),""),ROWS(C$14:C68))+1),"")</f>
        <v>G26-5069</v>
      </c>
      <c r="D68" s="51" t="str">
        <f>IFERROR(INDEX('[1]REP DISEÑO'!$N$9:$N$1508,MATCH(C68,'[1]REP DISEÑO'!$D$9:$D$1508,0)),"")</f>
        <v>GABRIELA D.</v>
      </c>
      <c r="E68" s="51" t="str">
        <f>IFERROR(INDEX('[1]REP DISEÑO'!$G$9:$G$1508,MATCH(C68,'[1]REP DISEÑO'!$D$9:$D$1508,0)),"")</f>
        <v>BOTA 0</v>
      </c>
      <c r="F68" s="51" t="str">
        <f>IFERROR(INDEX('[1]REP DISEÑO'!$I$9:$I$1508,MATCH(C68,'[1]REP DISEÑO'!$D$9:$D$1508,0)),"")</f>
        <v>PREESCOLAR NIÑA</v>
      </c>
      <c r="G68" s="51" t="str">
        <f>IFERROR(INDEX('[1]REP DISEÑO'!$M$9:$M$1508,MATCH(C68,'[1]REP DISEÑO'!$D$9:$D$1508,0)),"")</f>
        <v>MEGAMAXI</v>
      </c>
      <c r="H68" s="51" t="str">
        <f>IFERROR(INDEX('[1]REP DISEÑO'!$J$9:$J$1508,MATCH(C68,'[1]REP DISEÑO'!$D$9:$D$1508,0)),"")</f>
        <v/>
      </c>
      <c r="I68" s="52" t="str">
        <f>IFERROR(INDEX('[1]REP DISEÑO'!$C$9:$C$1508,MATCH(C68,'[1]REP DISEÑO'!$D$9:$D$1508,0)),"")</f>
        <v>febrero</v>
      </c>
      <c r="J68" s="53">
        <f>IF(C68="","",IF(ISNUMBER(FIND("AMU",$C$14:$C$548)),1,(SUMIF('[1]REP PRODUCCIÓN'!$H$6:$H$1505,"*"&amp;C68&amp;"*",'[1]REP PRODUCCIÓN'!$E$6:$E$1505))))</f>
        <v>0</v>
      </c>
      <c r="K68" s="53">
        <f t="shared" si="1"/>
        <v>0</v>
      </c>
      <c r="M68" s="54" t="str">
        <f>IFERROR(INDEX('[1]REP DISEÑO'!$BA$9:$BA$1008,MATCH('INDIC-DIS2'!C68,'[1]REP DISEÑO'!$D$9:$D$1008,0)),"")</f>
        <v>MEGAMAXI</v>
      </c>
      <c r="N68" s="55"/>
      <c r="O68" s="55"/>
      <c r="P68" s="55"/>
      <c r="R68" s="57">
        <f t="shared" si="2"/>
        <v>1</v>
      </c>
    </row>
    <row r="69" spans="2:18" ht="26.25" customHeight="1" x14ac:dyDescent="0.25">
      <c r="B69" s="49">
        <f t="shared" si="0"/>
        <v>0</v>
      </c>
      <c r="C69" s="50" t="str">
        <f t="array" ref="C69">IFERROR(INDEX('[1]REP DISEÑO'!$D$9:$D$1008,SMALL(IF('[1]REP DISEÑO'!$AW$9:$AW$1008=$J$1,ROW('[1]REP DISEÑO'!$N$9:$N$1008)-ROW('[1]REP DISEÑO'!$N$9),""),ROWS(C$14:C69))+1),"")</f>
        <v>G26-5076</v>
      </c>
      <c r="D69" s="51" t="str">
        <f>IFERROR(INDEX('[1]REP DISEÑO'!$N$9:$N$1508,MATCH(C69,'[1]REP DISEÑO'!$D$9:$D$1508,0)),"")</f>
        <v>GABRIELA D.</v>
      </c>
      <c r="E69" s="51" t="str">
        <f>IFERROR(INDEX('[1]REP DISEÑO'!$G$9:$G$1508,MATCH(C69,'[1]REP DISEÑO'!$D$9:$D$1508,0)),"")</f>
        <v>BOTA 0</v>
      </c>
      <c r="F69" s="51" t="str">
        <f>IFERROR(INDEX('[1]REP DISEÑO'!$I$9:$I$1508,MATCH(C69,'[1]REP DISEÑO'!$D$9:$D$1508,0)),"")</f>
        <v>ESCOLAR NIÑA</v>
      </c>
      <c r="G69" s="51" t="str">
        <f>IFERROR(INDEX('[1]REP DISEÑO'!$M$9:$M$1508,MATCH(C69,'[1]REP DISEÑO'!$D$9:$D$1508,0)),"")</f>
        <v>MEGAMAXI</v>
      </c>
      <c r="H69" s="51" t="str">
        <f>IFERROR(INDEX('[1]REP DISEÑO'!$J$9:$J$1508,MATCH(C69,'[1]REP DISEÑO'!$D$9:$D$1508,0)),"")</f>
        <v/>
      </c>
      <c r="I69" s="52" t="str">
        <f>IFERROR(INDEX('[1]REP DISEÑO'!$C$9:$C$1508,MATCH(C69,'[1]REP DISEÑO'!$D$9:$D$1508,0)),"")</f>
        <v>febrero</v>
      </c>
      <c r="J69" s="53">
        <f>IF(C69="","",IF(ISNUMBER(FIND("AMU",$C$14:$C$548)),1,(SUMIF('[1]REP PRODUCCIÓN'!$H$6:$H$1505,"*"&amp;C69&amp;"*",'[1]REP PRODUCCIÓN'!$E$6:$E$1505))))</f>
        <v>0</v>
      </c>
      <c r="K69" s="53">
        <f t="shared" si="1"/>
        <v>0</v>
      </c>
      <c r="M69" s="54" t="str">
        <f>IFERROR(INDEX('[1]REP DISEÑO'!$BA$9:$BA$1008,MATCH('INDIC-DIS2'!C69,'[1]REP DISEÑO'!$D$9:$D$1008,0)),"")</f>
        <v>MEGAMAXI</v>
      </c>
      <c r="N69" s="55"/>
      <c r="O69" s="55"/>
      <c r="P69" s="55"/>
      <c r="R69" s="57">
        <f t="shared" si="2"/>
        <v>1</v>
      </c>
    </row>
    <row r="70" spans="2:18" ht="26.25" customHeight="1" x14ac:dyDescent="0.25">
      <c r="B70" s="49">
        <f t="shared" si="0"/>
        <v>1</v>
      </c>
      <c r="C70" s="50" t="str">
        <f t="array" ref="C70">IFERROR(INDEX('[1]REP DISEÑO'!$D$9:$D$1008,SMALL(IF('[1]REP DISEÑO'!$AW$9:$AW$1008=$J$1,ROW('[1]REP DISEÑO'!$N$9:$N$1008)-ROW('[1]REP DISEÑO'!$N$9),""),ROWS(C$14:C70))+1),"")</f>
        <v>D26-4102</v>
      </c>
      <c r="D70" s="51" t="str">
        <f>IFERROR(INDEX('[1]REP DISEÑO'!$N$9:$N$1508,MATCH(C70,'[1]REP DISEÑO'!$D$9:$D$1508,0)),"")</f>
        <v>GABRIELA D.</v>
      </c>
      <c r="E70" s="51" t="str">
        <f>IFERROR(INDEX('[1]REP DISEÑO'!$G$9:$G$1508,MATCH(C70,'[1]REP DISEÑO'!$D$9:$D$1508,0)),"")</f>
        <v>DESTALONADA CON FILO</v>
      </c>
      <c r="F70" s="51" t="str">
        <f>IFERROR(INDEX('[1]REP DISEÑO'!$I$9:$I$1508,MATCH(C70,'[1]REP DISEÑO'!$D$9:$D$1508,0)),"")</f>
        <v>DAMA</v>
      </c>
      <c r="G70" s="51" t="str">
        <f>IFERROR(INDEX('[1]REP DISEÑO'!$M$9:$M$1508,MATCH(C70,'[1]REP DISEÑO'!$D$9:$D$1508,0)),"")</f>
        <v>DE PRATI</v>
      </c>
      <c r="H70" s="51" t="str">
        <f>IFERROR(INDEX('[1]REP DISEÑO'!$J$9:$J$1508,MATCH(C70,'[1]REP DISEÑO'!$D$9:$D$1508,0)),"")</f>
        <v/>
      </c>
      <c r="I70" s="52" t="str">
        <f>IFERROR(INDEX('[1]REP DISEÑO'!$C$9:$C$1508,MATCH(C70,'[1]REP DISEÑO'!$D$9:$D$1508,0)),"")</f>
        <v>febrero</v>
      </c>
      <c r="J70" s="53">
        <f>IF(C70="","",IF(ISNUMBER(FIND("AMU",$C$14:$C$548)),1,(SUMIF('[1]REP PRODUCCIÓN'!$H$6:$H$1505,"*"&amp;C70&amp;"*",'[1]REP PRODUCCIÓN'!$E$6:$E$1505))))</f>
        <v>168</v>
      </c>
      <c r="K70" s="53" t="str">
        <f t="shared" si="1"/>
        <v>OK</v>
      </c>
      <c r="M70" s="54" t="str">
        <f>IFERROR(INDEX('[1]REP DISEÑO'!$BA$9:$BA$1008,MATCH('INDIC-DIS2'!C70,'[1]REP DISEÑO'!$D$9:$D$1008,0)),"")</f>
        <v>DE PRATI</v>
      </c>
      <c r="N70" s="55"/>
      <c r="O70" s="55"/>
      <c r="P70" s="55"/>
      <c r="R70" s="57">
        <f t="shared" si="2"/>
        <v>1</v>
      </c>
    </row>
    <row r="71" spans="2:18" ht="26.25" customHeight="1" x14ac:dyDescent="0.25">
      <c r="B71" s="49">
        <f t="shared" si="0"/>
        <v>1</v>
      </c>
      <c r="C71" s="50" t="str">
        <f t="array" ref="C71">IFERROR(INDEX('[1]REP DISEÑO'!$D$9:$D$1008,SMALL(IF('[1]REP DISEÑO'!$AW$9:$AW$1008=$J$1,ROW('[1]REP DISEÑO'!$N$9:$N$1008)-ROW('[1]REP DISEÑO'!$N$9),""),ROWS(C$14:C71))+1),"")</f>
        <v>D26-4103</v>
      </c>
      <c r="D71" s="51" t="str">
        <f>IFERROR(INDEX('[1]REP DISEÑO'!$N$9:$N$1508,MATCH(C71,'[1]REP DISEÑO'!$D$9:$D$1508,0)),"")</f>
        <v>GABRIELA D.</v>
      </c>
      <c r="E71" s="51" t="str">
        <f>IFERROR(INDEX('[1]REP DISEÑO'!$G$9:$G$1508,MATCH(C71,'[1]REP DISEÑO'!$D$9:$D$1508,0)),"")</f>
        <v>SUECA 0</v>
      </c>
      <c r="F71" s="51" t="str">
        <f>IFERROR(INDEX('[1]REP DISEÑO'!$I$9:$I$1508,MATCH(C71,'[1]REP DISEÑO'!$D$9:$D$1508,0)),"")</f>
        <v>DAMA</v>
      </c>
      <c r="G71" s="51" t="str">
        <f>IFERROR(INDEX('[1]REP DISEÑO'!$M$9:$M$1508,MATCH(C71,'[1]REP DISEÑO'!$D$9:$D$1508,0)),"")</f>
        <v>DE PRATI</v>
      </c>
      <c r="H71" s="51" t="str">
        <f>IFERROR(INDEX('[1]REP DISEÑO'!$J$9:$J$1508,MATCH(C71,'[1]REP DISEÑO'!$D$9:$D$1508,0)),"")</f>
        <v/>
      </c>
      <c r="I71" s="52" t="str">
        <f>IFERROR(INDEX('[1]REP DISEÑO'!$C$9:$C$1508,MATCH(C71,'[1]REP DISEÑO'!$D$9:$D$1508,0)),"")</f>
        <v>febrero</v>
      </c>
      <c r="J71" s="53">
        <f>IF(C71="","",IF(ISNUMBER(FIND("AMU",$C$14:$C$548)),1,(SUMIF('[1]REP PRODUCCIÓN'!$H$6:$H$1505,"*"&amp;C71&amp;"*",'[1]REP PRODUCCIÓN'!$E$6:$E$1505))))</f>
        <v>132</v>
      </c>
      <c r="K71" s="53" t="str">
        <f t="shared" si="1"/>
        <v>OK</v>
      </c>
      <c r="M71" s="54" t="str">
        <f>IFERROR(INDEX('[1]REP DISEÑO'!$BA$9:$BA$1008,MATCH('INDIC-DIS2'!C71,'[1]REP DISEÑO'!$D$9:$D$1008,0)),"")</f>
        <v>DE PRATI</v>
      </c>
      <c r="N71" s="55"/>
      <c r="O71" s="55"/>
      <c r="P71" s="55"/>
      <c r="R71" s="57">
        <f t="shared" si="2"/>
        <v>1</v>
      </c>
    </row>
    <row r="72" spans="2:18" ht="26.25" customHeight="1" x14ac:dyDescent="0.25">
      <c r="B72" s="49">
        <f t="shared" si="0"/>
        <v>0</v>
      </c>
      <c r="C72" s="50" t="str">
        <f t="array" ref="C72">IFERROR(INDEX('[1]REP DISEÑO'!$D$9:$D$1008,SMALL(IF('[1]REP DISEÑO'!$AW$9:$AW$1008=$J$1,ROW('[1]REP DISEÑO'!$N$9:$N$1008)-ROW('[1]REP DISEÑO'!$N$9),""),ROWS(C$14:C72))+1),"")</f>
        <v>D26-4104</v>
      </c>
      <c r="D72" s="51" t="str">
        <f>IFERROR(INDEX('[1]REP DISEÑO'!$N$9:$N$1508,MATCH(C72,'[1]REP DISEÑO'!$D$9:$D$1508,0)),"")</f>
        <v>GABRIELA D.</v>
      </c>
      <c r="E72" s="51" t="str">
        <f>IFERROR(INDEX('[1]REP DISEÑO'!$G$9:$G$1508,MATCH(C72,'[1]REP DISEÑO'!$D$9:$D$1508,0)),"")</f>
        <v>DESTALONADA RIBETEADA</v>
      </c>
      <c r="F72" s="51" t="str">
        <f>IFERROR(INDEX('[1]REP DISEÑO'!$I$9:$I$1508,MATCH(C72,'[1]REP DISEÑO'!$D$9:$D$1508,0)),"")</f>
        <v>DAMA</v>
      </c>
      <c r="G72" s="51" t="str">
        <f>IFERROR(INDEX('[1]REP DISEÑO'!$M$9:$M$1508,MATCH(C72,'[1]REP DISEÑO'!$D$9:$D$1508,0)),"")</f>
        <v>DE PRATI</v>
      </c>
      <c r="H72" s="51" t="str">
        <f>IFERROR(INDEX('[1]REP DISEÑO'!$J$9:$J$1508,MATCH(C72,'[1]REP DISEÑO'!$D$9:$D$1508,0)),"")</f>
        <v/>
      </c>
      <c r="I72" s="52" t="str">
        <f>IFERROR(INDEX('[1]REP DISEÑO'!$C$9:$C$1508,MATCH(C72,'[1]REP DISEÑO'!$D$9:$D$1508,0)),"")</f>
        <v>febrero</v>
      </c>
      <c r="J72" s="53">
        <f>IF(C72="","",IF(ISNUMBER(FIND("AMU",$C$14:$C$548)),1,(SUMIF('[1]REP PRODUCCIÓN'!$H$6:$H$1505,"*"&amp;C72&amp;"*",'[1]REP PRODUCCIÓN'!$E$6:$E$1505))))</f>
        <v>0</v>
      </c>
      <c r="K72" s="53">
        <f t="shared" si="1"/>
        <v>0</v>
      </c>
      <c r="M72" s="54" t="str">
        <f>IFERROR(INDEX('[1]REP DISEÑO'!$BA$9:$BA$1008,MATCH('INDIC-DIS2'!C72,'[1]REP DISEÑO'!$D$9:$D$1008,0)),"")</f>
        <v>DE PRATI</v>
      </c>
      <c r="N72" s="55"/>
      <c r="O72" s="55"/>
      <c r="P72" s="55"/>
      <c r="R72" s="57">
        <f t="shared" si="2"/>
        <v>1</v>
      </c>
    </row>
    <row r="73" spans="2:18" ht="26.25" customHeight="1" x14ac:dyDescent="0.25">
      <c r="B73" s="49">
        <f t="shared" si="0"/>
        <v>0</v>
      </c>
      <c r="C73" s="50" t="str">
        <f t="array" ref="C73">IFERROR(INDEX('[1]REP DISEÑO'!$D$9:$D$1008,SMALL(IF('[1]REP DISEÑO'!$AW$9:$AW$1008=$J$1,ROW('[1]REP DISEÑO'!$N$9:$N$1008)-ROW('[1]REP DISEÑO'!$N$9),""),ROWS(C$14:C73))+1),"")</f>
        <v>D26-4105</v>
      </c>
      <c r="D73" s="51" t="str">
        <f>IFERROR(INDEX('[1]REP DISEÑO'!$N$9:$N$1508,MATCH(C73,'[1]REP DISEÑO'!$D$9:$D$1508,0)),"")</f>
        <v>GABRIELA D.</v>
      </c>
      <c r="E73" s="51" t="str">
        <f>IFERROR(INDEX('[1]REP DISEÑO'!$G$9:$G$1508,MATCH(C73,'[1]REP DISEÑO'!$D$9:$D$1508,0)),"")</f>
        <v>SUECA 0</v>
      </c>
      <c r="F73" s="51" t="str">
        <f>IFERROR(INDEX('[1]REP DISEÑO'!$I$9:$I$1508,MATCH(C73,'[1]REP DISEÑO'!$D$9:$D$1508,0)),"")</f>
        <v>DAMA</v>
      </c>
      <c r="G73" s="51" t="str">
        <f>IFERROR(INDEX('[1]REP DISEÑO'!$M$9:$M$1508,MATCH(C73,'[1]REP DISEÑO'!$D$9:$D$1508,0)),"")</f>
        <v>DE PRATI</v>
      </c>
      <c r="H73" s="51" t="str">
        <f>IFERROR(INDEX('[1]REP DISEÑO'!$J$9:$J$1508,MATCH(C73,'[1]REP DISEÑO'!$D$9:$D$1508,0)),"")</f>
        <v/>
      </c>
      <c r="I73" s="52" t="str">
        <f>IFERROR(INDEX('[1]REP DISEÑO'!$C$9:$C$1508,MATCH(C73,'[1]REP DISEÑO'!$D$9:$D$1508,0)),"")</f>
        <v>febrero</v>
      </c>
      <c r="J73" s="53">
        <f>IF(C73="","",IF(ISNUMBER(FIND("AMU",$C$14:$C$548)),1,(SUMIF('[1]REP PRODUCCIÓN'!$H$6:$H$1505,"*"&amp;C73&amp;"*",'[1]REP PRODUCCIÓN'!$E$6:$E$1505))))</f>
        <v>0</v>
      </c>
      <c r="K73" s="53">
        <f t="shared" si="1"/>
        <v>0</v>
      </c>
      <c r="M73" s="54" t="str">
        <f>IFERROR(INDEX('[1]REP DISEÑO'!$BA$9:$BA$1008,MATCH('INDIC-DIS2'!C73,'[1]REP DISEÑO'!$D$9:$D$1008,0)),"")</f>
        <v>DE PRATI</v>
      </c>
      <c r="N73" s="55"/>
      <c r="O73" s="55"/>
      <c r="P73" s="55"/>
      <c r="R73" s="57">
        <f t="shared" si="2"/>
        <v>1</v>
      </c>
    </row>
    <row r="74" spans="2:18" ht="26.25" customHeight="1" x14ac:dyDescent="0.25">
      <c r="B74" s="49">
        <f t="shared" si="0"/>
        <v>1</v>
      </c>
      <c r="C74" s="50" t="str">
        <f t="array" ref="C74">IFERROR(INDEX('[1]REP DISEÑO'!$D$9:$D$1008,SMALL(IF('[1]REP DISEÑO'!$AW$9:$AW$1008=$J$1,ROW('[1]REP DISEÑO'!$N$9:$N$1008)-ROW('[1]REP DISEÑO'!$N$9),""),ROWS(C$14:C74))+1),"")</f>
        <v>D26-4106</v>
      </c>
      <c r="D74" s="51" t="str">
        <f>IFERROR(INDEX('[1]REP DISEÑO'!$N$9:$N$1508,MATCH(C74,'[1]REP DISEÑO'!$D$9:$D$1508,0)),"")</f>
        <v>GABRIELA D.</v>
      </c>
      <c r="E74" s="51" t="str">
        <f>IFERROR(INDEX('[1]REP DISEÑO'!$G$9:$G$1508,MATCH(C74,'[1]REP DISEÑO'!$D$9:$D$1508,0)),"")</f>
        <v>DESTALONADA 0</v>
      </c>
      <c r="F74" s="51" t="str">
        <f>IFERROR(INDEX('[1]REP DISEÑO'!$I$9:$I$1508,MATCH(C74,'[1]REP DISEÑO'!$D$9:$D$1508,0)),"")</f>
        <v>DAMA</v>
      </c>
      <c r="G74" s="51" t="str">
        <f>IFERROR(INDEX('[1]REP DISEÑO'!$M$9:$M$1508,MATCH(C74,'[1]REP DISEÑO'!$D$9:$D$1508,0)),"")</f>
        <v>DE PRATI</v>
      </c>
      <c r="H74" s="51" t="str">
        <f>IFERROR(INDEX('[1]REP DISEÑO'!$J$9:$J$1508,MATCH(C74,'[1]REP DISEÑO'!$D$9:$D$1508,0)),"")</f>
        <v/>
      </c>
      <c r="I74" s="52" t="str">
        <f>IFERROR(INDEX('[1]REP DISEÑO'!$C$9:$C$1508,MATCH(C74,'[1]REP DISEÑO'!$D$9:$D$1508,0)),"")</f>
        <v>febrero</v>
      </c>
      <c r="J74" s="53">
        <f>IF(C74="","",IF(ISNUMBER(FIND("AMU",$C$14:$C$548)),1,(SUMIF('[1]REP PRODUCCIÓN'!$H$6:$H$1505,"*"&amp;C74&amp;"*",'[1]REP PRODUCCIÓN'!$E$6:$E$1505))))</f>
        <v>204</v>
      </c>
      <c r="K74" s="53" t="str">
        <f t="shared" si="1"/>
        <v>OK</v>
      </c>
      <c r="M74" s="54" t="str">
        <f>IFERROR(INDEX('[1]REP DISEÑO'!$BA$9:$BA$1008,MATCH('INDIC-DIS2'!C74,'[1]REP DISEÑO'!$D$9:$D$1008,0)),"")</f>
        <v>DE PRATI</v>
      </c>
      <c r="N74" s="55"/>
      <c r="O74" s="55"/>
      <c r="P74" s="55"/>
      <c r="R74" s="57">
        <f t="shared" si="2"/>
        <v>1</v>
      </c>
    </row>
    <row r="75" spans="2:18" ht="26.25" customHeight="1" x14ac:dyDescent="0.25">
      <c r="B75" s="49">
        <f t="shared" si="0"/>
        <v>1</v>
      </c>
      <c r="C75" s="50" t="str">
        <f t="array" ref="C75">IFERROR(INDEX('[1]REP DISEÑO'!$D$9:$D$1008,SMALL(IF('[1]REP DISEÑO'!$AW$9:$AW$1008=$J$1,ROW('[1]REP DISEÑO'!$N$9:$N$1008)-ROW('[1]REP DISEÑO'!$N$9),""),ROWS(C$14:C75))+1),"")</f>
        <v>D26-4107</v>
      </c>
      <c r="D75" s="51" t="str">
        <f>IFERROR(INDEX('[1]REP DISEÑO'!$N$9:$N$1508,MATCH(C75,'[1]REP DISEÑO'!$D$9:$D$1508,0)),"")</f>
        <v>GABRIELA D.</v>
      </c>
      <c r="E75" s="51" t="str">
        <f>IFERROR(INDEX('[1]REP DISEÑO'!$G$9:$G$1508,MATCH(C75,'[1]REP DISEÑO'!$D$9:$D$1508,0)),"")</f>
        <v>DESTALONADA 0</v>
      </c>
      <c r="F75" s="51" t="str">
        <f>IFERROR(INDEX('[1]REP DISEÑO'!$I$9:$I$1508,MATCH(C75,'[1]REP DISEÑO'!$D$9:$D$1508,0)),"")</f>
        <v>DAMA</v>
      </c>
      <c r="G75" s="51" t="str">
        <f>IFERROR(INDEX('[1]REP DISEÑO'!$M$9:$M$1508,MATCH(C75,'[1]REP DISEÑO'!$D$9:$D$1508,0)),"")</f>
        <v>DE PRATI</v>
      </c>
      <c r="H75" s="51" t="str">
        <f>IFERROR(INDEX('[1]REP DISEÑO'!$J$9:$J$1508,MATCH(C75,'[1]REP DISEÑO'!$D$9:$D$1508,0)),"")</f>
        <v/>
      </c>
      <c r="I75" s="52" t="str">
        <f>IFERROR(INDEX('[1]REP DISEÑO'!$C$9:$C$1508,MATCH(C75,'[1]REP DISEÑO'!$D$9:$D$1508,0)),"")</f>
        <v>febrero</v>
      </c>
      <c r="J75" s="53">
        <f>IF(C75="","",IF(ISNUMBER(FIND("AMU",$C$14:$C$548)),1,(SUMIF('[1]REP PRODUCCIÓN'!$H$6:$H$1505,"*"&amp;C75&amp;"*",'[1]REP PRODUCCIÓN'!$E$6:$E$1505))))</f>
        <v>120</v>
      </c>
      <c r="K75" s="53" t="str">
        <f t="shared" si="1"/>
        <v>OK</v>
      </c>
      <c r="M75" s="54" t="str">
        <f>IFERROR(INDEX('[1]REP DISEÑO'!$BA$9:$BA$1008,MATCH('INDIC-DIS2'!C75,'[1]REP DISEÑO'!$D$9:$D$1008,0)),"")</f>
        <v>DE PRATI</v>
      </c>
      <c r="N75" s="55"/>
      <c r="O75" s="55"/>
      <c r="P75" s="55"/>
      <c r="R75" s="57">
        <f t="shared" si="2"/>
        <v>1</v>
      </c>
    </row>
    <row r="76" spans="2:18" ht="26.25" customHeight="1" x14ac:dyDescent="0.25">
      <c r="B76" s="49">
        <f t="shared" si="0"/>
        <v>0</v>
      </c>
      <c r="C76" s="50" t="str">
        <f t="array" ref="C76">IFERROR(INDEX('[1]REP DISEÑO'!$D$9:$D$1008,SMALL(IF('[1]REP DISEÑO'!$AW$9:$AW$1008=$J$1,ROW('[1]REP DISEÑO'!$N$9:$N$1008)-ROW('[1]REP DISEÑO'!$N$9),""),ROWS(C$14:C76))+1),"")</f>
        <v>D26-4108</v>
      </c>
      <c r="D76" s="51" t="str">
        <f>IFERROR(INDEX('[1]REP DISEÑO'!$N$9:$N$1508,MATCH(C76,'[1]REP DISEÑO'!$D$9:$D$1508,0)),"")</f>
        <v>GABRIELA D.</v>
      </c>
      <c r="E76" s="51" t="str">
        <f>IFERROR(INDEX('[1]REP DISEÑO'!$G$9:$G$1508,MATCH(C76,'[1]REP DISEÑO'!$D$9:$D$1508,0)),"")</f>
        <v>SUECA 0</v>
      </c>
      <c r="F76" s="51" t="str">
        <f>IFERROR(INDEX('[1]REP DISEÑO'!$I$9:$I$1508,MATCH(C76,'[1]REP DISEÑO'!$D$9:$D$1508,0)),"")</f>
        <v>DAMA</v>
      </c>
      <c r="G76" s="51" t="str">
        <f>IFERROR(INDEX('[1]REP DISEÑO'!$M$9:$M$1508,MATCH(C76,'[1]REP DISEÑO'!$D$9:$D$1508,0)),"")</f>
        <v>GRAN AKI</v>
      </c>
      <c r="H76" s="51" t="str">
        <f>IFERROR(INDEX('[1]REP DISEÑO'!$J$9:$J$1508,MATCH(C76,'[1]REP DISEÑO'!$D$9:$D$1508,0)),"")</f>
        <v/>
      </c>
      <c r="I76" s="52" t="str">
        <f>IFERROR(INDEX('[1]REP DISEÑO'!$C$9:$C$1508,MATCH(C76,'[1]REP DISEÑO'!$D$9:$D$1508,0)),"")</f>
        <v>febrero</v>
      </c>
      <c r="J76" s="53">
        <f>IF(C76="","",IF(ISNUMBER(FIND("AMU",$C$14:$C$548)),1,(SUMIF('[1]REP PRODUCCIÓN'!$H$6:$H$1505,"*"&amp;C76&amp;"*",'[1]REP PRODUCCIÓN'!$E$6:$E$1505))))</f>
        <v>0</v>
      </c>
      <c r="K76" s="53">
        <f t="shared" si="1"/>
        <v>0</v>
      </c>
      <c r="M76" s="54" t="str">
        <f>IFERROR(INDEX('[1]REP DISEÑO'!$BA$9:$BA$1008,MATCH('INDIC-DIS2'!C76,'[1]REP DISEÑO'!$D$9:$D$1008,0)),"")</f>
        <v>GRAN AKI</v>
      </c>
      <c r="N76" s="55"/>
      <c r="O76" s="55"/>
      <c r="P76" s="55"/>
      <c r="R76" s="57">
        <f t="shared" si="2"/>
        <v>1</v>
      </c>
    </row>
    <row r="77" spans="2:18" ht="26.25" customHeight="1" x14ac:dyDescent="0.25">
      <c r="B77" s="49">
        <f t="shared" si="0"/>
        <v>0</v>
      </c>
      <c r="C77" s="50" t="str">
        <f t="array" ref="C77">IFERROR(INDEX('[1]REP DISEÑO'!$D$9:$D$1008,SMALL(IF('[1]REP DISEÑO'!$AW$9:$AW$1008=$J$1,ROW('[1]REP DISEÑO'!$N$9:$N$1008)-ROW('[1]REP DISEÑO'!$N$9),""),ROWS(C$14:C77))+1),"")</f>
        <v>D26-4109</v>
      </c>
      <c r="D77" s="51" t="str">
        <f>IFERROR(INDEX('[1]REP DISEÑO'!$N$9:$N$1508,MATCH(C77,'[1]REP DISEÑO'!$D$9:$D$1508,0)),"")</f>
        <v>GABRIELA D.</v>
      </c>
      <c r="E77" s="51" t="str">
        <f>IFERROR(INDEX('[1]REP DISEÑO'!$G$9:$G$1508,MATCH(C77,'[1]REP DISEÑO'!$D$9:$D$1508,0)),"")</f>
        <v>SUECA 0</v>
      </c>
      <c r="F77" s="51" t="str">
        <f>IFERROR(INDEX('[1]REP DISEÑO'!$I$9:$I$1508,MATCH(C77,'[1]REP DISEÑO'!$D$9:$D$1508,0)),"")</f>
        <v>DAMA</v>
      </c>
      <c r="G77" s="51" t="str">
        <f>IFERROR(INDEX('[1]REP DISEÑO'!$M$9:$M$1508,MATCH(C77,'[1]REP DISEÑO'!$D$9:$D$1508,0)),"")</f>
        <v>GRAN AKI</v>
      </c>
      <c r="H77" s="51" t="str">
        <f>IFERROR(INDEX('[1]REP DISEÑO'!$J$9:$J$1508,MATCH(C77,'[1]REP DISEÑO'!$D$9:$D$1508,0)),"")</f>
        <v/>
      </c>
      <c r="I77" s="52" t="str">
        <f>IFERROR(INDEX('[1]REP DISEÑO'!$C$9:$C$1508,MATCH(C77,'[1]REP DISEÑO'!$D$9:$D$1508,0)),"")</f>
        <v>febrero</v>
      </c>
      <c r="J77" s="53">
        <f>IF(C77="","",IF(ISNUMBER(FIND("AMU",$C$14:$C$548)),1,(SUMIF('[1]REP PRODUCCIÓN'!$H$6:$H$1505,"*"&amp;C77&amp;"*",'[1]REP PRODUCCIÓN'!$E$6:$E$1505))))</f>
        <v>0</v>
      </c>
      <c r="K77" s="53">
        <f t="shared" si="1"/>
        <v>0</v>
      </c>
      <c r="M77" s="54" t="str">
        <f>IFERROR(INDEX('[1]REP DISEÑO'!$BA$9:$BA$1008,MATCH('INDIC-DIS2'!C77,'[1]REP DISEÑO'!$D$9:$D$1008,0)),"")</f>
        <v>GRAN AKI</v>
      </c>
      <c r="N77" s="55"/>
      <c r="O77" s="55"/>
      <c r="P77" s="55"/>
      <c r="R77" s="57">
        <f t="shared" si="2"/>
        <v>1</v>
      </c>
    </row>
    <row r="78" spans="2:18" ht="26.25" customHeight="1" x14ac:dyDescent="0.25">
      <c r="B78" s="49">
        <f t="shared" si="0"/>
        <v>1</v>
      </c>
      <c r="C78" s="50" t="str">
        <f t="array" ref="C78">IFERROR(INDEX('[1]REP DISEÑO'!$D$9:$D$1008,SMALL(IF('[1]REP DISEÑO'!$AW$9:$AW$1008=$J$1,ROW('[1]REP DISEÑO'!$N$9:$N$1008)-ROW('[1]REP DISEÑO'!$N$9),""),ROWS(C$14:C78))+1),"")</f>
        <v>D26-4110</v>
      </c>
      <c r="D78" s="51" t="str">
        <f>IFERROR(INDEX('[1]REP DISEÑO'!$N$9:$N$1508,MATCH(C78,'[1]REP DISEÑO'!$D$9:$D$1508,0)),"")</f>
        <v>GABRIELA D.</v>
      </c>
      <c r="E78" s="51" t="str">
        <f>IFERROR(INDEX('[1]REP DISEÑO'!$G$9:$G$1508,MATCH(C78,'[1]REP DISEÑO'!$D$9:$D$1508,0)),"")</f>
        <v>SUECA 0</v>
      </c>
      <c r="F78" s="51" t="str">
        <f>IFERROR(INDEX('[1]REP DISEÑO'!$I$9:$I$1508,MATCH(C78,'[1]REP DISEÑO'!$D$9:$D$1508,0)),"")</f>
        <v>DAMA</v>
      </c>
      <c r="G78" s="51" t="str">
        <f>IFERROR(INDEX('[1]REP DISEÑO'!$M$9:$M$1508,MATCH(C78,'[1]REP DISEÑO'!$D$9:$D$1508,0)),"")</f>
        <v>GRAN AKI</v>
      </c>
      <c r="H78" s="51" t="str">
        <f>IFERROR(INDEX('[1]REP DISEÑO'!$J$9:$J$1508,MATCH(C78,'[1]REP DISEÑO'!$D$9:$D$1508,0)),"")</f>
        <v/>
      </c>
      <c r="I78" s="52" t="str">
        <f>IFERROR(INDEX('[1]REP DISEÑO'!$C$9:$C$1508,MATCH(C78,'[1]REP DISEÑO'!$D$9:$D$1508,0)),"")</f>
        <v>febrero</v>
      </c>
      <c r="J78" s="53">
        <f>IF(C78="","",IF(ISNUMBER(FIND("AMU",$C$14:$C$548)),1,(SUMIF('[1]REP PRODUCCIÓN'!$H$6:$H$1505,"*"&amp;C78&amp;"*",'[1]REP PRODUCCIÓN'!$E$6:$E$1505))))</f>
        <v>190</v>
      </c>
      <c r="K78" s="53" t="str">
        <f t="shared" si="1"/>
        <v>OK</v>
      </c>
      <c r="M78" s="54" t="str">
        <f>IFERROR(INDEX('[1]REP DISEÑO'!$BA$9:$BA$1008,MATCH('INDIC-DIS2'!C78,'[1]REP DISEÑO'!$D$9:$D$1008,0)),"")</f>
        <v>GRAN AKI</v>
      </c>
      <c r="N78" s="55"/>
      <c r="O78" s="55"/>
      <c r="P78" s="55"/>
      <c r="R78" s="57">
        <f t="shared" si="2"/>
        <v>1</v>
      </c>
    </row>
    <row r="79" spans="2:18" ht="26.25" customHeight="1" x14ac:dyDescent="0.25">
      <c r="B79" s="49">
        <f t="shared" ref="B79:B142" si="3">IF(J79="",0,IF(OR(J79&gt;0,ISNUMBER(FIND("AMU",$C$14:$C$548))),1,0))</f>
        <v>1</v>
      </c>
      <c r="C79" s="50" t="str">
        <f t="array" ref="C79">IFERROR(INDEX('[1]REP DISEÑO'!$D$9:$D$1008,SMALL(IF('[1]REP DISEÑO'!$AW$9:$AW$1008=$J$1,ROW('[1]REP DISEÑO'!$N$9:$N$1008)-ROW('[1]REP DISEÑO'!$N$9),""),ROWS(C$14:C79))+1),"")</f>
        <v>D26-4111</v>
      </c>
      <c r="D79" s="51" t="str">
        <f>IFERROR(INDEX('[1]REP DISEÑO'!$N$9:$N$1508,MATCH(C79,'[1]REP DISEÑO'!$D$9:$D$1508,0)),"")</f>
        <v>GABRIELA D.</v>
      </c>
      <c r="E79" s="51" t="str">
        <f>IFERROR(INDEX('[1]REP DISEÑO'!$G$9:$G$1508,MATCH(C79,'[1]REP DISEÑO'!$D$9:$D$1508,0)),"")</f>
        <v>DESTALONADA CON FILO</v>
      </c>
      <c r="F79" s="51" t="str">
        <f>IFERROR(INDEX('[1]REP DISEÑO'!$I$9:$I$1508,MATCH(C79,'[1]REP DISEÑO'!$D$9:$D$1508,0)),"")</f>
        <v>DAMA</v>
      </c>
      <c r="G79" s="51" t="str">
        <f>IFERROR(INDEX('[1]REP DISEÑO'!$M$9:$M$1508,MATCH(C79,'[1]REP DISEÑO'!$D$9:$D$1508,0)),"")</f>
        <v>GRAN AKI</v>
      </c>
      <c r="H79" s="51" t="str">
        <f>IFERROR(INDEX('[1]REP DISEÑO'!$J$9:$J$1508,MATCH(C79,'[1]REP DISEÑO'!$D$9:$D$1508,0)),"")</f>
        <v/>
      </c>
      <c r="I79" s="52" t="str">
        <f>IFERROR(INDEX('[1]REP DISEÑO'!$C$9:$C$1508,MATCH(C79,'[1]REP DISEÑO'!$D$9:$D$1508,0)),"")</f>
        <v>febrero</v>
      </c>
      <c r="J79" s="53">
        <f>IF(C79="","",IF(ISNUMBER(FIND("AMU",$C$14:$C$548)),1,(SUMIF('[1]REP PRODUCCIÓN'!$H$6:$H$1505,"*"&amp;C79&amp;"*",'[1]REP PRODUCCIÓN'!$E$6:$E$1505))))</f>
        <v>190</v>
      </c>
      <c r="K79" s="53" t="str">
        <f t="shared" ref="K79:K142" si="4">IF(B79=1,"OK",0)</f>
        <v>OK</v>
      </c>
      <c r="M79" s="54" t="str">
        <f>IFERROR(INDEX('[1]REP DISEÑO'!$BA$9:$BA$1008,MATCH('INDIC-DIS2'!C79,'[1]REP DISEÑO'!$D$9:$D$1008,0)),"")</f>
        <v>GRAN AKI</v>
      </c>
      <c r="N79" s="55"/>
      <c r="O79" s="55"/>
      <c r="P79" s="55"/>
      <c r="R79" s="57">
        <f t="shared" ref="R79:R142" si="5">IF(M79="","",1)</f>
        <v>1</v>
      </c>
    </row>
    <row r="80" spans="2:18" ht="26.25" customHeight="1" x14ac:dyDescent="0.25">
      <c r="B80" s="49">
        <f t="shared" si="3"/>
        <v>0</v>
      </c>
      <c r="C80" s="50" t="str">
        <f t="array" ref="C80">IFERROR(INDEX('[1]REP DISEÑO'!$D$9:$D$1008,SMALL(IF('[1]REP DISEÑO'!$AW$9:$AW$1008=$J$1,ROW('[1]REP DISEÑO'!$N$9:$N$1008)-ROW('[1]REP DISEÑO'!$N$9),""),ROWS(C$14:C80))+1),"")</f>
        <v>D26-4113</v>
      </c>
      <c r="D80" s="51" t="str">
        <f>IFERROR(INDEX('[1]REP DISEÑO'!$N$9:$N$1508,MATCH(C80,'[1]REP DISEÑO'!$D$9:$D$1508,0)),"")</f>
        <v>GABRIELA D.</v>
      </c>
      <c r="E80" s="51" t="str">
        <f>IFERROR(INDEX('[1]REP DISEÑO'!$G$9:$G$1508,MATCH(C80,'[1]REP DISEÑO'!$D$9:$D$1508,0)),"")</f>
        <v>SANDALIA 0</v>
      </c>
      <c r="F80" s="51" t="str">
        <f>IFERROR(INDEX('[1]REP DISEÑO'!$I$9:$I$1508,MATCH(C80,'[1]REP DISEÑO'!$D$9:$D$1508,0)),"")</f>
        <v>DAMA</v>
      </c>
      <c r="G80" s="51" t="str">
        <f>IFERROR(INDEX('[1]REP DISEÑO'!$M$9:$M$1508,MATCH(C80,'[1]REP DISEÑO'!$D$9:$D$1508,0)),"")</f>
        <v>GRAN AKI</v>
      </c>
      <c r="H80" s="51" t="str">
        <f>IFERROR(INDEX('[1]REP DISEÑO'!$J$9:$J$1508,MATCH(C80,'[1]REP DISEÑO'!$D$9:$D$1508,0)),"")</f>
        <v/>
      </c>
      <c r="I80" s="52" t="str">
        <f>IFERROR(INDEX('[1]REP DISEÑO'!$C$9:$C$1508,MATCH(C80,'[1]REP DISEÑO'!$D$9:$D$1508,0)),"")</f>
        <v>febrero</v>
      </c>
      <c r="J80" s="53">
        <f>IF(C80="","",IF(ISNUMBER(FIND("AMU",$C$14:$C$548)),1,(SUMIF('[1]REP PRODUCCIÓN'!$H$6:$H$1505,"*"&amp;C80&amp;"*",'[1]REP PRODUCCIÓN'!$E$6:$E$1505))))</f>
        <v>0</v>
      </c>
      <c r="K80" s="53">
        <f t="shared" si="4"/>
        <v>0</v>
      </c>
      <c r="M80" s="54" t="str">
        <f>IFERROR(INDEX('[1]REP DISEÑO'!$BA$9:$BA$1008,MATCH('INDIC-DIS2'!C80,'[1]REP DISEÑO'!$D$9:$D$1008,0)),"")</f>
        <v>GRAN AKI</v>
      </c>
      <c r="N80" s="55"/>
      <c r="O80" s="55"/>
      <c r="P80" s="55"/>
      <c r="R80" s="57">
        <f t="shared" si="5"/>
        <v>1</v>
      </c>
    </row>
    <row r="81" spans="2:18" ht="26.25" customHeight="1" x14ac:dyDescent="0.25">
      <c r="B81" s="49">
        <f t="shared" si="3"/>
        <v>0</v>
      </c>
      <c r="C81" s="50" t="str">
        <f t="array" ref="C81">IFERROR(INDEX('[1]REP DISEÑO'!$D$9:$D$1008,SMALL(IF('[1]REP DISEÑO'!$AW$9:$AW$1008=$J$1,ROW('[1]REP DISEÑO'!$N$9:$N$1008)-ROW('[1]REP DISEÑO'!$N$9),""),ROWS(C$14:C81))+1),"")</f>
        <v>D26-4114</v>
      </c>
      <c r="D81" s="51" t="str">
        <f>IFERROR(INDEX('[1]REP DISEÑO'!$N$9:$N$1508,MATCH(C81,'[1]REP DISEÑO'!$D$9:$D$1508,0)),"")</f>
        <v>GABRIELA D.</v>
      </c>
      <c r="E81" s="51" t="str">
        <f>IFERROR(INDEX('[1]REP DISEÑO'!$G$9:$G$1508,MATCH(C81,'[1]REP DISEÑO'!$D$9:$D$1508,0)),"")</f>
        <v>SUECA 0</v>
      </c>
      <c r="F81" s="51" t="str">
        <f>IFERROR(INDEX('[1]REP DISEÑO'!$I$9:$I$1508,MATCH(C81,'[1]REP DISEÑO'!$D$9:$D$1508,0)),"")</f>
        <v>DAMA</v>
      </c>
      <c r="G81" s="51" t="str">
        <f>IFERROR(INDEX('[1]REP DISEÑO'!$M$9:$M$1508,MATCH(C81,'[1]REP DISEÑO'!$D$9:$D$1508,0)),"")</f>
        <v>GRAN AKI</v>
      </c>
      <c r="H81" s="51" t="str">
        <f>IFERROR(INDEX('[1]REP DISEÑO'!$J$9:$J$1508,MATCH(C81,'[1]REP DISEÑO'!$D$9:$D$1508,0)),"")</f>
        <v/>
      </c>
      <c r="I81" s="52" t="str">
        <f>IFERROR(INDEX('[1]REP DISEÑO'!$C$9:$C$1508,MATCH(C81,'[1]REP DISEÑO'!$D$9:$D$1508,0)),"")</f>
        <v>febrero</v>
      </c>
      <c r="J81" s="53">
        <f>IF(C81="","",IF(ISNUMBER(FIND("AMU",$C$14:$C$548)),1,(SUMIF('[1]REP PRODUCCIÓN'!$H$6:$H$1505,"*"&amp;C81&amp;"*",'[1]REP PRODUCCIÓN'!$E$6:$E$1505))))</f>
        <v>0</v>
      </c>
      <c r="K81" s="53">
        <f t="shared" si="4"/>
        <v>0</v>
      </c>
      <c r="M81" s="54" t="str">
        <f>IFERROR(INDEX('[1]REP DISEÑO'!$BA$9:$BA$1008,MATCH('INDIC-DIS2'!C81,'[1]REP DISEÑO'!$D$9:$D$1008,0)),"")</f>
        <v>GRAN AKI</v>
      </c>
      <c r="N81" s="55"/>
      <c r="O81" s="55"/>
      <c r="P81" s="55"/>
      <c r="R81" s="57">
        <f t="shared" si="5"/>
        <v>1</v>
      </c>
    </row>
    <row r="82" spans="2:18" ht="26.25" customHeight="1" x14ac:dyDescent="0.25">
      <c r="B82" s="49">
        <f t="shared" si="3"/>
        <v>1</v>
      </c>
      <c r="C82" s="50" t="str">
        <f t="array" ref="C82">IFERROR(INDEX('[1]REP DISEÑO'!$D$9:$D$1008,SMALL(IF('[1]REP DISEÑO'!$AW$9:$AW$1008=$J$1,ROW('[1]REP DISEÑO'!$N$9:$N$1008)-ROW('[1]REP DISEÑO'!$N$9),""),ROWS(C$14:C82))+1),"")</f>
        <v>D26-4115</v>
      </c>
      <c r="D82" s="51" t="str">
        <f>IFERROR(INDEX('[1]REP DISEÑO'!$N$9:$N$1508,MATCH(C82,'[1]REP DISEÑO'!$D$9:$D$1508,0)),"")</f>
        <v>GABRIELA D.</v>
      </c>
      <c r="E82" s="51" t="str">
        <f>IFERROR(INDEX('[1]REP DISEÑO'!$G$9:$G$1508,MATCH(C82,'[1]REP DISEÑO'!$D$9:$D$1508,0)),"")</f>
        <v>SUECA 0</v>
      </c>
      <c r="F82" s="51" t="str">
        <f>IFERROR(INDEX('[1]REP DISEÑO'!$I$9:$I$1508,MATCH(C82,'[1]REP DISEÑO'!$D$9:$D$1508,0)),"")</f>
        <v>DAMA</v>
      </c>
      <c r="G82" s="51" t="str">
        <f>IFERROR(INDEX('[1]REP DISEÑO'!$M$9:$M$1508,MATCH(C82,'[1]REP DISEÑO'!$D$9:$D$1508,0)),"")</f>
        <v>GRAN AKI</v>
      </c>
      <c r="H82" s="51" t="str">
        <f>IFERROR(INDEX('[1]REP DISEÑO'!$J$9:$J$1508,MATCH(C82,'[1]REP DISEÑO'!$D$9:$D$1508,0)),"")</f>
        <v/>
      </c>
      <c r="I82" s="52" t="str">
        <f>IFERROR(INDEX('[1]REP DISEÑO'!$C$9:$C$1508,MATCH(C82,'[1]REP DISEÑO'!$D$9:$D$1508,0)),"")</f>
        <v>febrero</v>
      </c>
      <c r="J82" s="53">
        <f>IF(C82="","",IF(ISNUMBER(FIND("AMU",$C$14:$C$548)),1,(SUMIF('[1]REP PRODUCCIÓN'!$H$6:$H$1505,"*"&amp;C82&amp;"*",'[1]REP PRODUCCIÓN'!$E$6:$E$1505))))</f>
        <v>190</v>
      </c>
      <c r="K82" s="53" t="str">
        <f t="shared" si="4"/>
        <v>OK</v>
      </c>
      <c r="M82" s="54" t="str">
        <f>IFERROR(INDEX('[1]REP DISEÑO'!$BA$9:$BA$1008,MATCH('INDIC-DIS2'!C82,'[1]REP DISEÑO'!$D$9:$D$1008,0)),"")</f>
        <v>GRAN AKI</v>
      </c>
      <c r="N82" s="55"/>
      <c r="O82" s="55"/>
      <c r="P82" s="55"/>
      <c r="R82" s="57">
        <f t="shared" si="5"/>
        <v>1</v>
      </c>
    </row>
    <row r="83" spans="2:18" ht="26.25" customHeight="1" x14ac:dyDescent="0.25">
      <c r="B83" s="49">
        <f t="shared" si="3"/>
        <v>1</v>
      </c>
      <c r="C83" s="50" t="str">
        <f t="array" ref="C83">IFERROR(INDEX('[1]REP DISEÑO'!$D$9:$D$1008,SMALL(IF('[1]REP DISEÑO'!$AW$9:$AW$1008=$J$1,ROW('[1]REP DISEÑO'!$N$9:$N$1008)-ROW('[1]REP DISEÑO'!$N$9),""),ROWS(C$14:C83))+1),"")</f>
        <v>D26-4116</v>
      </c>
      <c r="D83" s="51" t="str">
        <f>IFERROR(INDEX('[1]REP DISEÑO'!$N$9:$N$1508,MATCH(C83,'[1]REP DISEÑO'!$D$9:$D$1508,0)),"")</f>
        <v>GABRIELA D.</v>
      </c>
      <c r="E83" s="51" t="str">
        <f>IFERROR(INDEX('[1]REP DISEÑO'!$G$9:$G$1508,MATCH(C83,'[1]REP DISEÑO'!$D$9:$D$1508,0)),"")</f>
        <v>SUECA 0</v>
      </c>
      <c r="F83" s="51" t="str">
        <f>IFERROR(INDEX('[1]REP DISEÑO'!$I$9:$I$1508,MATCH(C83,'[1]REP DISEÑO'!$D$9:$D$1508,0)),"")</f>
        <v>DAMA</v>
      </c>
      <c r="G83" s="51" t="str">
        <f>IFERROR(INDEX('[1]REP DISEÑO'!$M$9:$M$1508,MATCH(C83,'[1]REP DISEÑO'!$D$9:$D$1508,0)),"")</f>
        <v>GRAN AKI</v>
      </c>
      <c r="H83" s="51" t="str">
        <f>IFERROR(INDEX('[1]REP DISEÑO'!$J$9:$J$1508,MATCH(C83,'[1]REP DISEÑO'!$D$9:$D$1508,0)),"")</f>
        <v/>
      </c>
      <c r="I83" s="52" t="str">
        <f>IFERROR(INDEX('[1]REP DISEÑO'!$C$9:$C$1508,MATCH(C83,'[1]REP DISEÑO'!$D$9:$D$1508,0)),"")</f>
        <v>febrero</v>
      </c>
      <c r="J83" s="53">
        <f>IF(C83="","",IF(ISNUMBER(FIND("AMU",$C$14:$C$548)),1,(SUMIF('[1]REP PRODUCCIÓN'!$H$6:$H$1505,"*"&amp;C83&amp;"*",'[1]REP PRODUCCIÓN'!$E$6:$E$1505))))</f>
        <v>153</v>
      </c>
      <c r="K83" s="53" t="str">
        <f t="shared" si="4"/>
        <v>OK</v>
      </c>
      <c r="M83" s="54" t="str">
        <f>IFERROR(INDEX('[1]REP DISEÑO'!$BA$9:$BA$1008,MATCH('INDIC-DIS2'!C83,'[1]REP DISEÑO'!$D$9:$D$1008,0)),"")</f>
        <v>GRAN AKI</v>
      </c>
      <c r="N83" s="55"/>
      <c r="O83" s="55"/>
      <c r="P83" s="55"/>
      <c r="R83" s="57">
        <f t="shared" si="5"/>
        <v>1</v>
      </c>
    </row>
    <row r="84" spans="2:18" ht="26.25" customHeight="1" x14ac:dyDescent="0.25">
      <c r="B84" s="49">
        <f t="shared" si="3"/>
        <v>0</v>
      </c>
      <c r="C84" s="50" t="str">
        <f t="array" ref="C84">IFERROR(INDEX('[1]REP DISEÑO'!$D$9:$D$1008,SMALL(IF('[1]REP DISEÑO'!$AW$9:$AW$1008=$J$1,ROW('[1]REP DISEÑO'!$N$9:$N$1008)-ROW('[1]REP DISEÑO'!$N$9),""),ROWS(C$14:C84))+1),"")</f>
        <v>D26-4117</v>
      </c>
      <c r="D84" s="51" t="str">
        <f>IFERROR(INDEX('[1]REP DISEÑO'!$N$9:$N$1508,MATCH(C84,'[1]REP DISEÑO'!$D$9:$D$1508,0)),"")</f>
        <v>GABRIELA D.</v>
      </c>
      <c r="E84" s="51" t="str">
        <f>IFERROR(INDEX('[1]REP DISEÑO'!$G$9:$G$1508,MATCH(C84,'[1]REP DISEÑO'!$D$9:$D$1508,0)),"")</f>
        <v>DESTALONADA 0</v>
      </c>
      <c r="F84" s="51" t="str">
        <f>IFERROR(INDEX('[1]REP DISEÑO'!$I$9:$I$1508,MATCH(C84,'[1]REP DISEÑO'!$D$9:$D$1508,0)),"")</f>
        <v>DAMA</v>
      </c>
      <c r="G84" s="51" t="str">
        <f>IFERROR(INDEX('[1]REP DISEÑO'!$M$9:$M$1508,MATCH(C84,'[1]REP DISEÑO'!$D$9:$D$1508,0)),"")</f>
        <v>GRAN AKI</v>
      </c>
      <c r="H84" s="51" t="str">
        <f>IFERROR(INDEX('[1]REP DISEÑO'!$J$9:$J$1508,MATCH(C84,'[1]REP DISEÑO'!$D$9:$D$1508,0)),"")</f>
        <v/>
      </c>
      <c r="I84" s="52" t="str">
        <f>IFERROR(INDEX('[1]REP DISEÑO'!$C$9:$C$1508,MATCH(C84,'[1]REP DISEÑO'!$D$9:$D$1508,0)),"")</f>
        <v>febrero</v>
      </c>
      <c r="J84" s="53">
        <f>IF(C84="","",IF(ISNUMBER(FIND("AMU",$C$14:$C$548)),1,(SUMIF('[1]REP PRODUCCIÓN'!$H$6:$H$1505,"*"&amp;C84&amp;"*",'[1]REP PRODUCCIÓN'!$E$6:$E$1505))))</f>
        <v>0</v>
      </c>
      <c r="K84" s="53">
        <f t="shared" si="4"/>
        <v>0</v>
      </c>
      <c r="M84" s="54" t="str">
        <f>IFERROR(INDEX('[1]REP DISEÑO'!$BA$9:$BA$1008,MATCH('INDIC-DIS2'!C84,'[1]REP DISEÑO'!$D$9:$D$1008,0)),"")</f>
        <v>GRAN AKI</v>
      </c>
      <c r="N84" s="55"/>
      <c r="O84" s="55"/>
      <c r="P84" s="55"/>
      <c r="R84" s="57">
        <f t="shared" si="5"/>
        <v>1</v>
      </c>
    </row>
    <row r="85" spans="2:18" ht="26.25" customHeight="1" x14ac:dyDescent="0.25">
      <c r="B85" s="49">
        <f t="shared" si="3"/>
        <v>1</v>
      </c>
      <c r="C85" s="50" t="str">
        <f t="array" ref="C85">IFERROR(INDEX('[1]REP DISEÑO'!$D$9:$D$1008,SMALL(IF('[1]REP DISEÑO'!$AW$9:$AW$1008=$J$1,ROW('[1]REP DISEÑO'!$N$9:$N$1008)-ROW('[1]REP DISEÑO'!$N$9),""),ROWS(C$14:C85))+1),"")</f>
        <v>D26-4118</v>
      </c>
      <c r="D85" s="51" t="str">
        <f>IFERROR(INDEX('[1]REP DISEÑO'!$N$9:$N$1508,MATCH(C85,'[1]REP DISEÑO'!$D$9:$D$1508,0)),"")</f>
        <v>GABRIELA D.</v>
      </c>
      <c r="E85" s="51" t="str">
        <f>IFERROR(INDEX('[1]REP DISEÑO'!$G$9:$G$1508,MATCH(C85,'[1]REP DISEÑO'!$D$9:$D$1508,0)),"")</f>
        <v>TALÓN 0</v>
      </c>
      <c r="F85" s="51" t="str">
        <f>IFERROR(INDEX('[1]REP DISEÑO'!$I$9:$I$1508,MATCH(C85,'[1]REP DISEÑO'!$D$9:$D$1508,0)),"")</f>
        <v>DAMA</v>
      </c>
      <c r="G85" s="51" t="str">
        <f>IFERROR(INDEX('[1]REP DISEÑO'!$M$9:$M$1508,MATCH(C85,'[1]REP DISEÑO'!$D$9:$D$1508,0)),"")</f>
        <v>GRAN AKI</v>
      </c>
      <c r="H85" s="51" t="str">
        <f>IFERROR(INDEX('[1]REP DISEÑO'!$J$9:$J$1508,MATCH(C85,'[1]REP DISEÑO'!$D$9:$D$1508,0)),"")</f>
        <v/>
      </c>
      <c r="I85" s="52" t="str">
        <f>IFERROR(INDEX('[1]REP DISEÑO'!$C$9:$C$1508,MATCH(C85,'[1]REP DISEÑO'!$D$9:$D$1508,0)),"")</f>
        <v>febrero</v>
      </c>
      <c r="J85" s="53">
        <f>IF(C85="","",IF(ISNUMBER(FIND("AMU",$C$14:$C$548)),1,(SUMIF('[1]REP PRODUCCIÓN'!$H$6:$H$1505,"*"&amp;C85&amp;"*",'[1]REP PRODUCCIÓN'!$E$6:$E$1505))))</f>
        <v>132</v>
      </c>
      <c r="K85" s="53" t="str">
        <f t="shared" si="4"/>
        <v>OK</v>
      </c>
      <c r="M85" s="54" t="str">
        <f>IFERROR(INDEX('[1]REP DISEÑO'!$BA$9:$BA$1008,MATCH('INDIC-DIS2'!C85,'[1]REP DISEÑO'!$D$9:$D$1008,0)),"")</f>
        <v>GRAN AKI</v>
      </c>
      <c r="N85" s="55"/>
      <c r="O85" s="55"/>
      <c r="P85" s="55"/>
      <c r="R85" s="57">
        <f t="shared" si="5"/>
        <v>1</v>
      </c>
    </row>
    <row r="86" spans="2:18" ht="26.25" customHeight="1" x14ac:dyDescent="0.25">
      <c r="B86" s="49">
        <f t="shared" si="3"/>
        <v>1</v>
      </c>
      <c r="C86" s="50" t="str">
        <f t="array" ref="C86">IFERROR(INDEX('[1]REP DISEÑO'!$D$9:$D$1008,SMALL(IF('[1]REP DISEÑO'!$AW$9:$AW$1008=$J$1,ROW('[1]REP DISEÑO'!$N$9:$N$1008)-ROW('[1]REP DISEÑO'!$N$9),""),ROWS(C$14:C86))+1),"")</f>
        <v>D26-4119</v>
      </c>
      <c r="D86" s="51" t="str">
        <f>IFERROR(INDEX('[1]REP DISEÑO'!$N$9:$N$1508,MATCH(C86,'[1]REP DISEÑO'!$D$9:$D$1508,0)),"")</f>
        <v>GABRIELA D.</v>
      </c>
      <c r="E86" s="51" t="str">
        <f>IFERROR(INDEX('[1]REP DISEÑO'!$G$9:$G$1508,MATCH(C86,'[1]REP DISEÑO'!$D$9:$D$1508,0)),"")</f>
        <v>SANDALIA 0</v>
      </c>
      <c r="F86" s="51" t="str">
        <f>IFERROR(INDEX('[1]REP DISEÑO'!$I$9:$I$1508,MATCH(C86,'[1]REP DISEÑO'!$D$9:$D$1508,0)),"")</f>
        <v>DAMA</v>
      </c>
      <c r="G86" s="51" t="str">
        <f>IFERROR(INDEX('[1]REP DISEÑO'!$M$9:$M$1508,MATCH(C86,'[1]REP DISEÑO'!$D$9:$D$1508,0)),"")</f>
        <v>GRAN AKI</v>
      </c>
      <c r="H86" s="51" t="str">
        <f>IFERROR(INDEX('[1]REP DISEÑO'!$J$9:$J$1508,MATCH(C86,'[1]REP DISEÑO'!$D$9:$D$1508,0)),"")</f>
        <v/>
      </c>
      <c r="I86" s="52" t="str">
        <f>IFERROR(INDEX('[1]REP DISEÑO'!$C$9:$C$1508,MATCH(C86,'[1]REP DISEÑO'!$D$9:$D$1508,0)),"")</f>
        <v>febrero</v>
      </c>
      <c r="J86" s="53">
        <f>IF(C86="","",IF(ISNUMBER(FIND("AMU",$C$14:$C$548)),1,(SUMIF('[1]REP PRODUCCIÓN'!$H$6:$H$1505,"*"&amp;C86&amp;"*",'[1]REP PRODUCCIÓN'!$E$6:$E$1505))))</f>
        <v>132</v>
      </c>
      <c r="K86" s="53" t="str">
        <f t="shared" si="4"/>
        <v>OK</v>
      </c>
      <c r="M86" s="54" t="str">
        <f>IFERROR(INDEX('[1]REP DISEÑO'!$BA$9:$BA$1008,MATCH('INDIC-DIS2'!C86,'[1]REP DISEÑO'!$D$9:$D$1008,0)),"")</f>
        <v>GRAN AKI</v>
      </c>
      <c r="N86" s="55"/>
      <c r="O86" s="55"/>
      <c r="P86" s="55"/>
      <c r="R86" s="57">
        <f t="shared" si="5"/>
        <v>1</v>
      </c>
    </row>
    <row r="87" spans="2:18" ht="26.25" customHeight="1" x14ac:dyDescent="0.25">
      <c r="B87" s="49">
        <f t="shared" si="3"/>
        <v>0</v>
      </c>
      <c r="C87" s="50" t="str">
        <f t="array" ref="C87">IFERROR(INDEX('[1]REP DISEÑO'!$D$9:$D$1008,SMALL(IF('[1]REP DISEÑO'!$AW$9:$AW$1008=$J$1,ROW('[1]REP DISEÑO'!$N$9:$N$1008)-ROW('[1]REP DISEÑO'!$N$9),""),ROWS(C$14:C87))+1),"")</f>
        <v>SIMP-061</v>
      </c>
      <c r="D87" s="51" t="str">
        <f>IFERROR(INDEX('[1]REP DISEÑO'!$N$9:$N$1508,MATCH(C87,'[1]REP DISEÑO'!$D$9:$D$1508,0)),"")</f>
        <v>GABRIELA D.</v>
      </c>
      <c r="E87" s="51" t="str">
        <f>IFERROR(INDEX('[1]REP DISEÑO'!$G$9:$G$1508,MATCH(C87,'[1]REP DISEÑO'!$D$9:$D$1508,0)),"")</f>
        <v>SUECA 0</v>
      </c>
      <c r="F87" s="51" t="str">
        <f>IFERROR(INDEX('[1]REP DISEÑO'!$I$9:$I$1508,MATCH(C87,'[1]REP DISEÑO'!$D$9:$D$1508,0)),"")</f>
        <v>CABALLERO</v>
      </c>
      <c r="G87" s="51" t="str">
        <f>IFERROR(INDEX('[1]REP DISEÑO'!$M$9:$M$1508,MATCH(C87,'[1]REP DISEÑO'!$D$9:$D$1508,0)),"")</f>
        <v>ARVAL</v>
      </c>
      <c r="H87" s="51" t="str">
        <f>IFERROR(INDEX('[1]REP DISEÑO'!$J$9:$J$1508,MATCH(C87,'[1]REP DISEÑO'!$D$9:$D$1508,0)),"")</f>
        <v/>
      </c>
      <c r="I87" s="52" t="str">
        <f>IFERROR(INDEX('[1]REP DISEÑO'!$C$9:$C$1508,MATCH(C87,'[1]REP DISEÑO'!$D$9:$D$1508,0)),"")</f>
        <v>febrero</v>
      </c>
      <c r="J87" s="53">
        <f>IF(C87="","",IF(ISNUMBER(FIND("AMU",$C$14:$C$548)),1,(SUMIF('[1]REP PRODUCCIÓN'!$H$6:$H$1505,"*"&amp;C87&amp;"*",'[1]REP PRODUCCIÓN'!$E$6:$E$1505))))</f>
        <v>0</v>
      </c>
      <c r="K87" s="53">
        <f t="shared" si="4"/>
        <v>0</v>
      </c>
      <c r="M87" s="54" t="str">
        <f>IFERROR(INDEX('[1]REP DISEÑO'!$BA$9:$BA$1008,MATCH('INDIC-DIS2'!C87,'[1]REP DISEÑO'!$D$9:$D$1008,0)),"")</f>
        <v>ARVAL</v>
      </c>
      <c r="N87" s="55"/>
      <c r="O87" s="55"/>
      <c r="P87" s="55"/>
      <c r="R87" s="57">
        <f t="shared" si="5"/>
        <v>1</v>
      </c>
    </row>
    <row r="88" spans="2:18" ht="26.25" customHeight="1" x14ac:dyDescent="0.25">
      <c r="B88" s="49">
        <f t="shared" si="3"/>
        <v>1</v>
      </c>
      <c r="C88" s="50" t="str">
        <f t="array" ref="C88">IFERROR(INDEX('[1]REP DISEÑO'!$D$9:$D$1008,SMALL(IF('[1]REP DISEÑO'!$AW$9:$AW$1008=$J$1,ROW('[1]REP DISEÑO'!$N$9:$N$1008)-ROW('[1]REP DISEÑO'!$N$9),""),ROWS(C$14:C88))+1),"")</f>
        <v>G26-5078</v>
      </c>
      <c r="D88" s="51" t="str">
        <f>IFERROR(INDEX('[1]REP DISEÑO'!$N$9:$N$1508,MATCH(C88,'[1]REP DISEÑO'!$D$9:$D$1508,0)),"")</f>
        <v>GABRIELA D.</v>
      </c>
      <c r="E88" s="51" t="str">
        <f>IFERROR(INDEX('[1]REP DISEÑO'!$G$9:$G$1508,MATCH(C88,'[1]REP DISEÑO'!$D$9:$D$1508,0)),"")</f>
        <v>TALÓN 0</v>
      </c>
      <c r="F88" s="51" t="str">
        <f>IFERROR(INDEX('[1]REP DISEÑO'!$I$9:$I$1508,MATCH(C88,'[1]REP DISEÑO'!$D$9:$D$1508,0)),"")</f>
        <v>PREESCOLAR NIÑA</v>
      </c>
      <c r="G88" s="51" t="str">
        <f>IFERROR(INDEX('[1]REP DISEÑO'!$M$9:$M$1508,MATCH(C88,'[1]REP DISEÑO'!$D$9:$D$1508,0)),"")</f>
        <v>GRAN AKI</v>
      </c>
      <c r="H88" s="51" t="str">
        <f>IFERROR(INDEX('[1]REP DISEÑO'!$J$9:$J$1508,MATCH(C88,'[1]REP DISEÑO'!$D$9:$D$1508,0)),"")</f>
        <v/>
      </c>
      <c r="I88" s="52" t="str">
        <f>IFERROR(INDEX('[1]REP DISEÑO'!$C$9:$C$1508,MATCH(C88,'[1]REP DISEÑO'!$D$9:$D$1508,0)),"")</f>
        <v>febrero</v>
      </c>
      <c r="J88" s="53">
        <f>IF(C88="","",IF(ISNUMBER(FIND("AMU",$C$14:$C$548)),1,(SUMIF('[1]REP PRODUCCIÓN'!$H$6:$H$1505,"*"&amp;C88&amp;"*",'[1]REP PRODUCCIÓN'!$E$6:$E$1505))))</f>
        <v>192</v>
      </c>
      <c r="K88" s="53" t="str">
        <f t="shared" si="4"/>
        <v>OK</v>
      </c>
      <c r="M88" s="54" t="str">
        <f>IFERROR(INDEX('[1]REP DISEÑO'!$BA$9:$BA$1008,MATCH('INDIC-DIS2'!C88,'[1]REP DISEÑO'!$D$9:$D$1008,0)),"")</f>
        <v>GRAN AKI</v>
      </c>
      <c r="N88" s="55"/>
      <c r="O88" s="55"/>
      <c r="P88" s="55"/>
      <c r="R88" s="57">
        <f t="shared" si="5"/>
        <v>1</v>
      </c>
    </row>
    <row r="89" spans="2:18" ht="26.25" customHeight="1" x14ac:dyDescent="0.25">
      <c r="B89" s="49">
        <f t="shared" si="3"/>
        <v>1</v>
      </c>
      <c r="C89" s="50" t="str">
        <f t="array" ref="C89">IFERROR(INDEX('[1]REP DISEÑO'!$D$9:$D$1008,SMALL(IF('[1]REP DISEÑO'!$AW$9:$AW$1008=$J$1,ROW('[1]REP DISEÑO'!$N$9:$N$1008)-ROW('[1]REP DISEÑO'!$N$9),""),ROWS(C$14:C89))+1),"")</f>
        <v>G26-5079</v>
      </c>
      <c r="D89" s="51" t="str">
        <f>IFERROR(INDEX('[1]REP DISEÑO'!$N$9:$N$1508,MATCH(C89,'[1]REP DISEÑO'!$D$9:$D$1508,0)),"")</f>
        <v>GABRIELA D.</v>
      </c>
      <c r="E89" s="51" t="str">
        <f>IFERROR(INDEX('[1]REP DISEÑO'!$G$9:$G$1508,MATCH(C89,'[1]REP DISEÑO'!$D$9:$D$1508,0)),"")</f>
        <v>TALÓN 0</v>
      </c>
      <c r="F89" s="51" t="str">
        <f>IFERROR(INDEX('[1]REP DISEÑO'!$I$9:$I$1508,MATCH(C89,'[1]REP DISEÑO'!$D$9:$D$1508,0)),"")</f>
        <v>PREESCOLAR NIÑA</v>
      </c>
      <c r="G89" s="51" t="str">
        <f>IFERROR(INDEX('[1]REP DISEÑO'!$M$9:$M$1508,MATCH(C89,'[1]REP DISEÑO'!$D$9:$D$1508,0)),"")</f>
        <v>GRAN AKI</v>
      </c>
      <c r="H89" s="51" t="str">
        <f>IFERROR(INDEX('[1]REP DISEÑO'!$J$9:$J$1508,MATCH(C89,'[1]REP DISEÑO'!$D$9:$D$1508,0)),"")</f>
        <v/>
      </c>
      <c r="I89" s="52" t="str">
        <f>IFERROR(INDEX('[1]REP DISEÑO'!$C$9:$C$1508,MATCH(C89,'[1]REP DISEÑO'!$D$9:$D$1508,0)),"")</f>
        <v>febrero</v>
      </c>
      <c r="J89" s="53">
        <f>IF(C89="","",IF(ISNUMBER(FIND("AMU",$C$14:$C$548)),1,(SUMIF('[1]REP PRODUCCIÓN'!$H$6:$H$1505,"*"&amp;C89&amp;"*",'[1]REP PRODUCCIÓN'!$E$6:$E$1505))))</f>
        <v>192</v>
      </c>
      <c r="K89" s="53" t="str">
        <f t="shared" si="4"/>
        <v>OK</v>
      </c>
      <c r="M89" s="54" t="str">
        <f>IFERROR(INDEX('[1]REP DISEÑO'!$BA$9:$BA$1008,MATCH('INDIC-DIS2'!C89,'[1]REP DISEÑO'!$D$9:$D$1008,0)),"")</f>
        <v>GRAN AKI</v>
      </c>
      <c r="N89" s="55"/>
      <c r="O89" s="55"/>
      <c r="P89" s="55"/>
      <c r="R89" s="57">
        <f t="shared" si="5"/>
        <v>1</v>
      </c>
    </row>
    <row r="90" spans="2:18" ht="26.25" customHeight="1" x14ac:dyDescent="0.25">
      <c r="B90" s="49">
        <f t="shared" si="3"/>
        <v>1</v>
      </c>
      <c r="C90" s="50" t="str">
        <f t="array" ref="C90">IFERROR(INDEX('[1]REP DISEÑO'!$D$9:$D$1008,SMALL(IF('[1]REP DISEÑO'!$AW$9:$AW$1008=$J$1,ROW('[1]REP DISEÑO'!$N$9:$N$1008)-ROW('[1]REP DISEÑO'!$N$9),""),ROWS(C$14:C90))+1),"")</f>
        <v>G26-5080</v>
      </c>
      <c r="D90" s="51" t="str">
        <f>IFERROR(INDEX('[1]REP DISEÑO'!$N$9:$N$1508,MATCH(C90,'[1]REP DISEÑO'!$D$9:$D$1508,0)),"")</f>
        <v>GABRIELA D.</v>
      </c>
      <c r="E90" s="51" t="str">
        <f>IFERROR(INDEX('[1]REP DISEÑO'!$G$9:$G$1508,MATCH(C90,'[1]REP DISEÑO'!$D$9:$D$1508,0)),"")</f>
        <v>TALÓN 0</v>
      </c>
      <c r="F90" s="51" t="str">
        <f>IFERROR(INDEX('[1]REP DISEÑO'!$I$9:$I$1508,MATCH(C90,'[1]REP DISEÑO'!$D$9:$D$1508,0)),"")</f>
        <v>PREESCOLAR NIÑA</v>
      </c>
      <c r="G90" s="51" t="str">
        <f>IFERROR(INDEX('[1]REP DISEÑO'!$M$9:$M$1508,MATCH(C90,'[1]REP DISEÑO'!$D$9:$D$1508,0)),"")</f>
        <v>GRAN AKI</v>
      </c>
      <c r="H90" s="51" t="str">
        <f>IFERROR(INDEX('[1]REP DISEÑO'!$J$9:$J$1508,MATCH(C90,'[1]REP DISEÑO'!$D$9:$D$1508,0)),"")</f>
        <v/>
      </c>
      <c r="I90" s="52" t="str">
        <f>IFERROR(INDEX('[1]REP DISEÑO'!$C$9:$C$1508,MATCH(C90,'[1]REP DISEÑO'!$D$9:$D$1508,0)),"")</f>
        <v>febrero</v>
      </c>
      <c r="J90" s="53">
        <f>IF(C90="","",IF(ISNUMBER(FIND("AMU",$C$14:$C$548)),1,(SUMIF('[1]REP PRODUCCIÓN'!$H$6:$H$1505,"*"&amp;C90&amp;"*",'[1]REP PRODUCCIÓN'!$E$6:$E$1505))))</f>
        <v>192</v>
      </c>
      <c r="K90" s="53" t="str">
        <f t="shared" si="4"/>
        <v>OK</v>
      </c>
      <c r="M90" s="54" t="str">
        <f>IFERROR(INDEX('[1]REP DISEÑO'!$BA$9:$BA$1008,MATCH('INDIC-DIS2'!C90,'[1]REP DISEÑO'!$D$9:$D$1008,0)),"")</f>
        <v>GRAN AKI</v>
      </c>
      <c r="N90" s="55"/>
      <c r="O90" s="55"/>
      <c r="P90" s="55"/>
      <c r="R90" s="57">
        <f t="shared" si="5"/>
        <v>1</v>
      </c>
    </row>
    <row r="91" spans="2:18" ht="26.25" customHeight="1" x14ac:dyDescent="0.25">
      <c r="B91" s="49">
        <f t="shared" si="3"/>
        <v>1</v>
      </c>
      <c r="C91" s="50" t="str">
        <f t="array" ref="C91">IFERROR(INDEX('[1]REP DISEÑO'!$D$9:$D$1008,SMALL(IF('[1]REP DISEÑO'!$AW$9:$AW$1008=$J$1,ROW('[1]REP DISEÑO'!$N$9:$N$1008)-ROW('[1]REP DISEÑO'!$N$9),""),ROWS(C$14:C91))+1),"")</f>
        <v>G26-5081</v>
      </c>
      <c r="D91" s="51" t="str">
        <f>IFERROR(INDEX('[1]REP DISEÑO'!$N$9:$N$1508,MATCH(C91,'[1]REP DISEÑO'!$D$9:$D$1508,0)),"")</f>
        <v>GABRIELA D.</v>
      </c>
      <c r="E91" s="51" t="str">
        <f>IFERROR(INDEX('[1]REP DISEÑO'!$G$9:$G$1508,MATCH(C91,'[1]REP DISEÑO'!$D$9:$D$1508,0)),"")</f>
        <v>TALÓN 0</v>
      </c>
      <c r="F91" s="51" t="str">
        <f>IFERROR(INDEX('[1]REP DISEÑO'!$I$9:$I$1508,MATCH(C91,'[1]REP DISEÑO'!$D$9:$D$1508,0)),"")</f>
        <v>PREESCOLAR NIÑA</v>
      </c>
      <c r="G91" s="51" t="str">
        <f>IFERROR(INDEX('[1]REP DISEÑO'!$M$9:$M$1508,MATCH(C91,'[1]REP DISEÑO'!$D$9:$D$1508,0)),"")</f>
        <v>GRAN AKI</v>
      </c>
      <c r="H91" s="51" t="str">
        <f>IFERROR(INDEX('[1]REP DISEÑO'!$J$9:$J$1508,MATCH(C91,'[1]REP DISEÑO'!$D$9:$D$1508,0)),"")</f>
        <v/>
      </c>
      <c r="I91" s="52" t="str">
        <f>IFERROR(INDEX('[1]REP DISEÑO'!$C$9:$C$1508,MATCH(C91,'[1]REP DISEÑO'!$D$9:$D$1508,0)),"")</f>
        <v>febrero</v>
      </c>
      <c r="J91" s="53">
        <f>IF(C91="","",IF(ISNUMBER(FIND("AMU",$C$14:$C$548)),1,(SUMIF('[1]REP PRODUCCIÓN'!$H$6:$H$1505,"*"&amp;C91&amp;"*",'[1]REP PRODUCCIÓN'!$E$6:$E$1505))))</f>
        <v>192</v>
      </c>
      <c r="K91" s="53" t="str">
        <f t="shared" si="4"/>
        <v>OK</v>
      </c>
      <c r="M91" s="54" t="str">
        <f>IFERROR(INDEX('[1]REP DISEÑO'!$BA$9:$BA$1008,MATCH('INDIC-DIS2'!C91,'[1]REP DISEÑO'!$D$9:$D$1008,0)),"")</f>
        <v>GRAN AKI</v>
      </c>
      <c r="N91" s="55"/>
      <c r="O91" s="55"/>
      <c r="P91" s="55"/>
      <c r="R91" s="57">
        <f t="shared" si="5"/>
        <v>1</v>
      </c>
    </row>
    <row r="92" spans="2:18" ht="26.25" customHeight="1" x14ac:dyDescent="0.25">
      <c r="B92" s="49">
        <f t="shared" si="3"/>
        <v>1</v>
      </c>
      <c r="C92" s="50" t="str">
        <f t="array" ref="C92">IFERROR(INDEX('[1]REP DISEÑO'!$D$9:$D$1008,SMALL(IF('[1]REP DISEÑO'!$AW$9:$AW$1008=$J$1,ROW('[1]REP DISEÑO'!$N$9:$N$1008)-ROW('[1]REP DISEÑO'!$N$9),""),ROWS(C$14:C92))+1),"")</f>
        <v>G26-5082</v>
      </c>
      <c r="D92" s="51" t="str">
        <f>IFERROR(INDEX('[1]REP DISEÑO'!$N$9:$N$1508,MATCH(C92,'[1]REP DISEÑO'!$D$9:$D$1508,0)),"")</f>
        <v>GABRIELA D.</v>
      </c>
      <c r="E92" s="51" t="str">
        <f>IFERROR(INDEX('[1]REP DISEÑO'!$G$9:$G$1508,MATCH(C92,'[1]REP DISEÑO'!$D$9:$D$1508,0)),"")</f>
        <v>TALÓN 0</v>
      </c>
      <c r="F92" s="51" t="str">
        <f>IFERROR(INDEX('[1]REP DISEÑO'!$I$9:$I$1508,MATCH(C92,'[1]REP DISEÑO'!$D$9:$D$1508,0)),"")</f>
        <v>PREESCOLAR NIÑA</v>
      </c>
      <c r="G92" s="51" t="str">
        <f>IFERROR(INDEX('[1]REP DISEÑO'!$M$9:$M$1508,MATCH(C92,'[1]REP DISEÑO'!$D$9:$D$1508,0)),"")</f>
        <v>GRAN AKI</v>
      </c>
      <c r="H92" s="51" t="str">
        <f>IFERROR(INDEX('[1]REP DISEÑO'!$J$9:$J$1508,MATCH(C92,'[1]REP DISEÑO'!$D$9:$D$1508,0)),"")</f>
        <v/>
      </c>
      <c r="I92" s="52" t="str">
        <f>IFERROR(INDEX('[1]REP DISEÑO'!$C$9:$C$1508,MATCH(C92,'[1]REP DISEÑO'!$D$9:$D$1508,0)),"")</f>
        <v>febrero</v>
      </c>
      <c r="J92" s="53">
        <f>IF(C92="","",IF(ISNUMBER(FIND("AMU",$C$14:$C$548)),1,(SUMIF('[1]REP PRODUCCIÓN'!$H$6:$H$1505,"*"&amp;C92&amp;"*",'[1]REP PRODUCCIÓN'!$E$6:$E$1505))))</f>
        <v>192</v>
      </c>
      <c r="K92" s="53" t="str">
        <f t="shared" si="4"/>
        <v>OK</v>
      </c>
      <c r="M92" s="54" t="str">
        <f>IFERROR(INDEX('[1]REP DISEÑO'!$BA$9:$BA$1008,MATCH('INDIC-DIS2'!C92,'[1]REP DISEÑO'!$D$9:$D$1008,0)),"")</f>
        <v>GRAN AKI</v>
      </c>
      <c r="N92" s="55"/>
      <c r="O92" s="55"/>
      <c r="P92" s="55"/>
      <c r="R92" s="57">
        <f t="shared" si="5"/>
        <v>1</v>
      </c>
    </row>
    <row r="93" spans="2:18" ht="26.25" customHeight="1" x14ac:dyDescent="0.25">
      <c r="B93" s="49">
        <f t="shared" si="3"/>
        <v>1</v>
      </c>
      <c r="C93" s="50" t="str">
        <f t="array" ref="C93">IFERROR(INDEX('[1]REP DISEÑO'!$D$9:$D$1008,SMALL(IF('[1]REP DISEÑO'!$AW$9:$AW$1008=$J$1,ROW('[1]REP DISEÑO'!$N$9:$N$1008)-ROW('[1]REP DISEÑO'!$N$9),""),ROWS(C$14:C93))+1),"")</f>
        <v>G26-5083</v>
      </c>
      <c r="D93" s="51" t="str">
        <f>IFERROR(INDEX('[1]REP DISEÑO'!$N$9:$N$1508,MATCH(C93,'[1]REP DISEÑO'!$D$9:$D$1508,0)),"")</f>
        <v>GABRIELA D.</v>
      </c>
      <c r="E93" s="51" t="str">
        <f>IFERROR(INDEX('[1]REP DISEÑO'!$G$9:$G$1508,MATCH(C93,'[1]REP DISEÑO'!$D$9:$D$1508,0)),"")</f>
        <v>SUECA 0</v>
      </c>
      <c r="F93" s="51" t="str">
        <f>IFERROR(INDEX('[1]REP DISEÑO'!$I$9:$I$1508,MATCH(C93,'[1]REP DISEÑO'!$D$9:$D$1508,0)),"")</f>
        <v>ESCOLAR NIÑA</v>
      </c>
      <c r="G93" s="51" t="str">
        <f>IFERROR(INDEX('[1]REP DISEÑO'!$M$9:$M$1508,MATCH(C93,'[1]REP DISEÑO'!$D$9:$D$1508,0)),"")</f>
        <v>GRAN AKI</v>
      </c>
      <c r="H93" s="51" t="str">
        <f>IFERROR(INDEX('[1]REP DISEÑO'!$J$9:$J$1508,MATCH(C93,'[1]REP DISEÑO'!$D$9:$D$1508,0)),"")</f>
        <v/>
      </c>
      <c r="I93" s="52" t="str">
        <f>IFERROR(INDEX('[1]REP DISEÑO'!$C$9:$C$1508,MATCH(C93,'[1]REP DISEÑO'!$D$9:$D$1508,0)),"")</f>
        <v>febrero</v>
      </c>
      <c r="J93" s="53">
        <f>IF(C93="","",IF(ISNUMBER(FIND("AMU",$C$14:$C$548)),1,(SUMIF('[1]REP PRODUCCIÓN'!$H$6:$H$1505,"*"&amp;C93&amp;"*",'[1]REP PRODUCCIÓN'!$E$6:$E$1505))))</f>
        <v>144</v>
      </c>
      <c r="K93" s="53" t="str">
        <f t="shared" si="4"/>
        <v>OK</v>
      </c>
      <c r="M93" s="54" t="str">
        <f>IFERROR(INDEX('[1]REP DISEÑO'!$BA$9:$BA$1008,MATCH('INDIC-DIS2'!C93,'[1]REP DISEÑO'!$D$9:$D$1008,0)),"")</f>
        <v>GRAN AKI</v>
      </c>
      <c r="N93" s="55"/>
      <c r="O93" s="55"/>
      <c r="P93" s="55"/>
      <c r="R93" s="57">
        <f t="shared" si="5"/>
        <v>1</v>
      </c>
    </row>
    <row r="94" spans="2:18" ht="26.25" customHeight="1" x14ac:dyDescent="0.25">
      <c r="B94" s="49">
        <f t="shared" si="3"/>
        <v>1</v>
      </c>
      <c r="C94" s="50" t="str">
        <f t="array" ref="C94">IFERROR(INDEX('[1]REP DISEÑO'!$D$9:$D$1008,SMALL(IF('[1]REP DISEÑO'!$AW$9:$AW$1008=$J$1,ROW('[1]REP DISEÑO'!$N$9:$N$1008)-ROW('[1]REP DISEÑO'!$N$9),""),ROWS(C$14:C94))+1),"")</f>
        <v>G26-5084</v>
      </c>
      <c r="D94" s="51" t="str">
        <f>IFERROR(INDEX('[1]REP DISEÑO'!$N$9:$N$1508,MATCH(C94,'[1]REP DISEÑO'!$D$9:$D$1508,0)),"")</f>
        <v>GABRIELA D.</v>
      </c>
      <c r="E94" s="51" t="str">
        <f>IFERROR(INDEX('[1]REP DISEÑO'!$G$9:$G$1508,MATCH(C94,'[1]REP DISEÑO'!$D$9:$D$1508,0)),"")</f>
        <v>SUECA 0</v>
      </c>
      <c r="F94" s="51" t="str">
        <f>IFERROR(INDEX('[1]REP DISEÑO'!$I$9:$I$1508,MATCH(C94,'[1]REP DISEÑO'!$D$9:$D$1508,0)),"")</f>
        <v>ESCOLAR NIÑA</v>
      </c>
      <c r="G94" s="51" t="str">
        <f>IFERROR(INDEX('[1]REP DISEÑO'!$M$9:$M$1508,MATCH(C94,'[1]REP DISEÑO'!$D$9:$D$1508,0)),"")</f>
        <v>GRAN AKI</v>
      </c>
      <c r="H94" s="51" t="str">
        <f>IFERROR(INDEX('[1]REP DISEÑO'!$J$9:$J$1508,MATCH(C94,'[1]REP DISEÑO'!$D$9:$D$1508,0)),"")</f>
        <v/>
      </c>
      <c r="I94" s="52" t="str">
        <f>IFERROR(INDEX('[1]REP DISEÑO'!$C$9:$C$1508,MATCH(C94,'[1]REP DISEÑO'!$D$9:$D$1508,0)),"")</f>
        <v>febrero</v>
      </c>
      <c r="J94" s="53">
        <f>IF(C94="","",IF(ISNUMBER(FIND("AMU",$C$14:$C$548)),1,(SUMIF('[1]REP PRODUCCIÓN'!$H$6:$H$1505,"*"&amp;C94&amp;"*",'[1]REP PRODUCCIÓN'!$E$6:$E$1505))))</f>
        <v>144</v>
      </c>
      <c r="K94" s="53" t="str">
        <f t="shared" si="4"/>
        <v>OK</v>
      </c>
      <c r="M94" s="54" t="str">
        <f>IFERROR(INDEX('[1]REP DISEÑO'!$BA$9:$BA$1008,MATCH('INDIC-DIS2'!C94,'[1]REP DISEÑO'!$D$9:$D$1008,0)),"")</f>
        <v>GRAN AKI</v>
      </c>
      <c r="N94" s="55"/>
      <c r="O94" s="55"/>
      <c r="P94" s="55"/>
      <c r="R94" s="57">
        <f t="shared" si="5"/>
        <v>1</v>
      </c>
    </row>
    <row r="95" spans="2:18" ht="26.25" customHeight="1" x14ac:dyDescent="0.25">
      <c r="B95" s="49">
        <f t="shared" si="3"/>
        <v>1</v>
      </c>
      <c r="C95" s="50" t="str">
        <f t="array" ref="C95">IFERROR(INDEX('[1]REP DISEÑO'!$D$9:$D$1008,SMALL(IF('[1]REP DISEÑO'!$AW$9:$AW$1008=$J$1,ROW('[1]REP DISEÑO'!$N$9:$N$1008)-ROW('[1]REP DISEÑO'!$N$9),""),ROWS(C$14:C95))+1),"")</f>
        <v>G26-5085</v>
      </c>
      <c r="D95" s="51" t="str">
        <f>IFERROR(INDEX('[1]REP DISEÑO'!$N$9:$N$1508,MATCH(C95,'[1]REP DISEÑO'!$D$9:$D$1508,0)),"")</f>
        <v>GABRIELA D.</v>
      </c>
      <c r="E95" s="51" t="str">
        <f>IFERROR(INDEX('[1]REP DISEÑO'!$G$9:$G$1508,MATCH(C95,'[1]REP DISEÑO'!$D$9:$D$1508,0)),"")</f>
        <v>SUECA 0</v>
      </c>
      <c r="F95" s="51" t="str">
        <f>IFERROR(INDEX('[1]REP DISEÑO'!$I$9:$I$1508,MATCH(C95,'[1]REP DISEÑO'!$D$9:$D$1508,0)),"")</f>
        <v>ESCOLAR NIÑA</v>
      </c>
      <c r="G95" s="51" t="str">
        <f>IFERROR(INDEX('[1]REP DISEÑO'!$M$9:$M$1508,MATCH(C95,'[1]REP DISEÑO'!$D$9:$D$1508,0)),"")</f>
        <v>GRAN AKI</v>
      </c>
      <c r="H95" s="51" t="str">
        <f>IFERROR(INDEX('[1]REP DISEÑO'!$J$9:$J$1508,MATCH(C95,'[1]REP DISEÑO'!$D$9:$D$1508,0)),"")</f>
        <v/>
      </c>
      <c r="I95" s="52" t="str">
        <f>IFERROR(INDEX('[1]REP DISEÑO'!$C$9:$C$1508,MATCH(C95,'[1]REP DISEÑO'!$D$9:$D$1508,0)),"")</f>
        <v>febrero</v>
      </c>
      <c r="J95" s="53">
        <f>IF(C95="","",IF(ISNUMBER(FIND("AMU",$C$14:$C$548)),1,(SUMIF('[1]REP PRODUCCIÓN'!$H$6:$H$1505,"*"&amp;C95&amp;"*",'[1]REP PRODUCCIÓN'!$E$6:$E$1505))))</f>
        <v>144</v>
      </c>
      <c r="K95" s="53" t="str">
        <f t="shared" si="4"/>
        <v>OK</v>
      </c>
      <c r="M95" s="54" t="str">
        <f>IFERROR(INDEX('[1]REP DISEÑO'!$BA$9:$BA$1008,MATCH('INDIC-DIS2'!C95,'[1]REP DISEÑO'!$D$9:$D$1008,0)),"")</f>
        <v>GRAN AKI</v>
      </c>
      <c r="N95" s="55"/>
      <c r="O95" s="55"/>
      <c r="P95" s="55"/>
      <c r="R95" s="57">
        <f t="shared" si="5"/>
        <v>1</v>
      </c>
    </row>
    <row r="96" spans="2:18" ht="26.25" customHeight="1" x14ac:dyDescent="0.25">
      <c r="B96" s="49">
        <f t="shared" si="3"/>
        <v>1</v>
      </c>
      <c r="C96" s="50" t="str">
        <f t="array" ref="C96">IFERROR(INDEX('[1]REP DISEÑO'!$D$9:$D$1008,SMALL(IF('[1]REP DISEÑO'!$AW$9:$AW$1008=$J$1,ROW('[1]REP DISEÑO'!$N$9:$N$1008)-ROW('[1]REP DISEÑO'!$N$9),""),ROWS(C$14:C96))+1),"")</f>
        <v>G26-5086</v>
      </c>
      <c r="D96" s="51" t="str">
        <f>IFERROR(INDEX('[1]REP DISEÑO'!$N$9:$N$1508,MATCH(C96,'[1]REP DISEÑO'!$D$9:$D$1508,0)),"")</f>
        <v>GABRIELA D.</v>
      </c>
      <c r="E96" s="51" t="str">
        <f>IFERROR(INDEX('[1]REP DISEÑO'!$G$9:$G$1508,MATCH(C96,'[1]REP DISEÑO'!$D$9:$D$1508,0)),"")</f>
        <v>DESTALONADA 0</v>
      </c>
      <c r="F96" s="51" t="str">
        <f>IFERROR(INDEX('[1]REP DISEÑO'!$I$9:$I$1508,MATCH(C96,'[1]REP DISEÑO'!$D$9:$D$1508,0)),"")</f>
        <v>ESCOLAR NIÑA</v>
      </c>
      <c r="G96" s="51" t="str">
        <f>IFERROR(INDEX('[1]REP DISEÑO'!$M$9:$M$1508,MATCH(C96,'[1]REP DISEÑO'!$D$9:$D$1508,0)),"")</f>
        <v>GRAN AKI</v>
      </c>
      <c r="H96" s="51" t="str">
        <f>IFERROR(INDEX('[1]REP DISEÑO'!$J$9:$J$1508,MATCH(C96,'[1]REP DISEÑO'!$D$9:$D$1508,0)),"")</f>
        <v/>
      </c>
      <c r="I96" s="52" t="str">
        <f>IFERROR(INDEX('[1]REP DISEÑO'!$C$9:$C$1508,MATCH(C96,'[1]REP DISEÑO'!$D$9:$D$1508,0)),"")</f>
        <v>febrero</v>
      </c>
      <c r="J96" s="53">
        <f>IF(C96="","",IF(ISNUMBER(FIND("AMU",$C$14:$C$548)),1,(SUMIF('[1]REP PRODUCCIÓN'!$H$6:$H$1505,"*"&amp;C96&amp;"*",'[1]REP PRODUCCIÓN'!$E$6:$E$1505))))</f>
        <v>144</v>
      </c>
      <c r="K96" s="53" t="str">
        <f t="shared" si="4"/>
        <v>OK</v>
      </c>
      <c r="M96" s="54" t="str">
        <f>IFERROR(INDEX('[1]REP DISEÑO'!$BA$9:$BA$1008,MATCH('INDIC-DIS2'!C96,'[1]REP DISEÑO'!$D$9:$D$1008,0)),"")</f>
        <v>GRAN AKI</v>
      </c>
      <c r="N96" s="55"/>
      <c r="O96" s="55"/>
      <c r="P96" s="55"/>
      <c r="R96" s="57">
        <f t="shared" si="5"/>
        <v>1</v>
      </c>
    </row>
    <row r="97" spans="2:18" ht="26.25" customHeight="1" x14ac:dyDescent="0.25">
      <c r="B97" s="49">
        <f t="shared" si="3"/>
        <v>0</v>
      </c>
      <c r="C97" s="50" t="str">
        <f t="array" ref="C97">IFERROR(INDEX('[1]REP DISEÑO'!$D$9:$D$1008,SMALL(IF('[1]REP DISEÑO'!$AW$9:$AW$1008=$J$1,ROW('[1]REP DISEÑO'!$N$9:$N$1008)-ROW('[1]REP DISEÑO'!$N$9),""),ROWS(C$14:C97))+1),"")</f>
        <v>D26-4126</v>
      </c>
      <c r="D97" s="51" t="str">
        <f>IFERROR(INDEX('[1]REP DISEÑO'!$N$9:$N$1508,MATCH(C97,'[1]REP DISEÑO'!$D$9:$D$1508,0)),"")</f>
        <v>GABRIELA D.</v>
      </c>
      <c r="E97" s="51" t="str">
        <f>IFERROR(INDEX('[1]REP DISEÑO'!$G$9:$G$1508,MATCH(C97,'[1]REP DISEÑO'!$D$9:$D$1508,0)),"")</f>
        <v>SUECA 0</v>
      </c>
      <c r="F97" s="51" t="str">
        <f>IFERROR(INDEX('[1]REP DISEÑO'!$I$9:$I$1508,MATCH(C97,'[1]REP DISEÑO'!$D$9:$D$1508,0)),"")</f>
        <v>DAMA</v>
      </c>
      <c r="G97" s="51" t="str">
        <f>IFERROR(INDEX('[1]REP DISEÑO'!$M$9:$M$1508,MATCH(C97,'[1]REP DISEÑO'!$D$9:$D$1508,0)),"")</f>
        <v>MEGAMAXI</v>
      </c>
      <c r="H97" s="51" t="str">
        <f>IFERROR(INDEX('[1]REP DISEÑO'!$J$9:$J$1508,MATCH(C97,'[1]REP DISEÑO'!$D$9:$D$1508,0)),"")</f>
        <v/>
      </c>
      <c r="I97" s="52" t="str">
        <f>IFERROR(INDEX('[1]REP DISEÑO'!$C$9:$C$1508,MATCH(C97,'[1]REP DISEÑO'!$D$9:$D$1508,0)),"")</f>
        <v>febrero</v>
      </c>
      <c r="J97" s="53">
        <f>IF(C97="","",IF(ISNUMBER(FIND("AMU",$C$14:$C$548)),1,(SUMIF('[1]REP PRODUCCIÓN'!$H$6:$H$1505,"*"&amp;C97&amp;"*",'[1]REP PRODUCCIÓN'!$E$6:$E$1505))))</f>
        <v>0</v>
      </c>
      <c r="K97" s="53">
        <f t="shared" si="4"/>
        <v>0</v>
      </c>
      <c r="M97" s="54" t="str">
        <f>IFERROR(INDEX('[1]REP DISEÑO'!$BA$9:$BA$1008,MATCH('INDIC-DIS2'!C97,'[1]REP DISEÑO'!$D$9:$D$1008,0)),"")</f>
        <v>MEGAMAXI</v>
      </c>
      <c r="N97" s="55"/>
      <c r="O97" s="55"/>
      <c r="P97" s="55"/>
      <c r="R97" s="57">
        <f t="shared" si="5"/>
        <v>1</v>
      </c>
    </row>
    <row r="98" spans="2:18" ht="26.25" customHeight="1" x14ac:dyDescent="0.25">
      <c r="B98" s="49">
        <f t="shared" si="3"/>
        <v>1</v>
      </c>
      <c r="C98" s="50" t="str">
        <f t="array" ref="C98">IFERROR(INDEX('[1]REP DISEÑO'!$D$9:$D$1008,SMALL(IF('[1]REP DISEÑO'!$AW$9:$AW$1008=$J$1,ROW('[1]REP DISEÑO'!$N$9:$N$1008)-ROW('[1]REP DISEÑO'!$N$9),""),ROWS(C$14:C98))+1),"")</f>
        <v>D26-4127</v>
      </c>
      <c r="D98" s="51" t="str">
        <f>IFERROR(INDEX('[1]REP DISEÑO'!$N$9:$N$1508,MATCH(C98,'[1]REP DISEÑO'!$D$9:$D$1508,0)),"")</f>
        <v>GABRIELA D.</v>
      </c>
      <c r="E98" s="51" t="str">
        <f>IFERROR(INDEX('[1]REP DISEÑO'!$G$9:$G$1508,MATCH(C98,'[1]REP DISEÑO'!$D$9:$D$1508,0)),"")</f>
        <v>SUECA 0</v>
      </c>
      <c r="F98" s="51" t="str">
        <f>IFERROR(INDEX('[1]REP DISEÑO'!$I$9:$I$1508,MATCH(C98,'[1]REP DISEÑO'!$D$9:$D$1508,0)),"")</f>
        <v>DAMA</v>
      </c>
      <c r="G98" s="51" t="str">
        <f>IFERROR(INDEX('[1]REP DISEÑO'!$M$9:$M$1508,MATCH(C98,'[1]REP DISEÑO'!$D$9:$D$1508,0)),"")</f>
        <v>ROSADO</v>
      </c>
      <c r="H98" s="51" t="str">
        <f>IFERROR(INDEX('[1]REP DISEÑO'!$J$9:$J$1508,MATCH(C98,'[1]REP DISEÑO'!$D$9:$D$1508,0)),"")</f>
        <v/>
      </c>
      <c r="I98" s="52" t="str">
        <f>IFERROR(INDEX('[1]REP DISEÑO'!$C$9:$C$1508,MATCH(C98,'[1]REP DISEÑO'!$D$9:$D$1508,0)),"")</f>
        <v>febrero</v>
      </c>
      <c r="J98" s="53">
        <f>IF(C98="","",IF(ISNUMBER(FIND("AMU",$C$14:$C$548)),1,(SUMIF('[1]REP PRODUCCIÓN'!$H$6:$H$1505,"*"&amp;C98&amp;"*",'[1]REP PRODUCCIÓN'!$E$6:$E$1505))))</f>
        <v>367</v>
      </c>
      <c r="K98" s="53" t="str">
        <f t="shared" si="4"/>
        <v>OK</v>
      </c>
      <c r="M98" s="54" t="str">
        <f>IFERROR(INDEX('[1]REP DISEÑO'!$BA$9:$BA$1008,MATCH('INDIC-DIS2'!C98,'[1]REP DISEÑO'!$D$9:$D$1008,0)),"")</f>
        <v>ROSADO</v>
      </c>
      <c r="N98" s="55"/>
      <c r="O98" s="55"/>
      <c r="P98" s="55"/>
      <c r="R98" s="57">
        <f t="shared" si="5"/>
        <v>1</v>
      </c>
    </row>
    <row r="99" spans="2:18" ht="26.25" customHeight="1" x14ac:dyDescent="0.25">
      <c r="B99" s="49">
        <f t="shared" si="3"/>
        <v>1</v>
      </c>
      <c r="C99" s="50" t="str">
        <f t="array" ref="C99">IFERROR(INDEX('[1]REP DISEÑO'!$D$9:$D$1008,SMALL(IF('[1]REP DISEÑO'!$AW$9:$AW$1008=$J$1,ROW('[1]REP DISEÑO'!$N$9:$N$1008)-ROW('[1]REP DISEÑO'!$N$9),""),ROWS(C$14:C99))+1),"")</f>
        <v>D26-4128</v>
      </c>
      <c r="D99" s="51" t="str">
        <f>IFERROR(INDEX('[1]REP DISEÑO'!$N$9:$N$1508,MATCH(C99,'[1]REP DISEÑO'!$D$9:$D$1508,0)),"")</f>
        <v>GABRIELA D.</v>
      </c>
      <c r="E99" s="51" t="str">
        <f>IFERROR(INDEX('[1]REP DISEÑO'!$G$9:$G$1508,MATCH(C99,'[1]REP DISEÑO'!$D$9:$D$1508,0)),"")</f>
        <v>SANDALIA PUNTA ABIERTA</v>
      </c>
      <c r="F99" s="51" t="str">
        <f>IFERROR(INDEX('[1]REP DISEÑO'!$I$9:$I$1508,MATCH(C99,'[1]REP DISEÑO'!$D$9:$D$1508,0)),"")</f>
        <v>DAMA</v>
      </c>
      <c r="G99" s="51" t="str">
        <f>IFERROR(INDEX('[1]REP DISEÑO'!$M$9:$M$1508,MATCH(C99,'[1]REP DISEÑO'!$D$9:$D$1508,0)),"")</f>
        <v>ROSADO</v>
      </c>
      <c r="H99" s="51" t="str">
        <f>IFERROR(INDEX('[1]REP DISEÑO'!$J$9:$J$1508,MATCH(C99,'[1]REP DISEÑO'!$D$9:$D$1508,0)),"")</f>
        <v/>
      </c>
      <c r="I99" s="52" t="str">
        <f>IFERROR(INDEX('[1]REP DISEÑO'!$C$9:$C$1508,MATCH(C99,'[1]REP DISEÑO'!$D$9:$D$1508,0)),"")</f>
        <v>febrero</v>
      </c>
      <c r="J99" s="53">
        <f>IF(C99="","",IF(ISNUMBER(FIND("AMU",$C$14:$C$548)),1,(SUMIF('[1]REP PRODUCCIÓN'!$H$6:$H$1505,"*"&amp;C99&amp;"*",'[1]REP PRODUCCIÓN'!$E$6:$E$1505))))</f>
        <v>330</v>
      </c>
      <c r="K99" s="53" t="str">
        <f t="shared" si="4"/>
        <v>OK</v>
      </c>
      <c r="M99" s="54" t="str">
        <f>IFERROR(INDEX('[1]REP DISEÑO'!$BA$9:$BA$1008,MATCH('INDIC-DIS2'!C99,'[1]REP DISEÑO'!$D$9:$D$1008,0)),"")</f>
        <v>ROSADO</v>
      </c>
      <c r="N99" s="55"/>
      <c r="O99" s="55"/>
      <c r="P99" s="55"/>
      <c r="R99" s="57">
        <f t="shared" si="5"/>
        <v>1</v>
      </c>
    </row>
    <row r="100" spans="2:18" ht="26.25" customHeight="1" x14ac:dyDescent="0.25">
      <c r="B100" s="49">
        <f t="shared" si="3"/>
        <v>0</v>
      </c>
      <c r="C100" s="50" t="str">
        <f t="array" ref="C100">IFERROR(INDEX('[1]REP DISEÑO'!$D$9:$D$1008,SMALL(IF('[1]REP DISEÑO'!$AW$9:$AW$1008=$J$1,ROW('[1]REP DISEÑO'!$N$9:$N$1008)-ROW('[1]REP DISEÑO'!$N$9),""),ROWS(C$14:C100))+1),"")</f>
        <v>D26-4129</v>
      </c>
      <c r="D100" s="51" t="str">
        <f>IFERROR(INDEX('[1]REP DISEÑO'!$N$9:$N$1508,MATCH(C100,'[1]REP DISEÑO'!$D$9:$D$1508,0)),"")</f>
        <v>GABRIELA D.</v>
      </c>
      <c r="E100" s="51" t="str">
        <f>IFERROR(INDEX('[1]REP DISEÑO'!$G$9:$G$1508,MATCH(C100,'[1]REP DISEÑO'!$D$9:$D$1508,0)),"")</f>
        <v>DESTALONADA 0</v>
      </c>
      <c r="F100" s="51" t="str">
        <f>IFERROR(INDEX('[1]REP DISEÑO'!$I$9:$I$1508,MATCH(C100,'[1]REP DISEÑO'!$D$9:$D$1508,0)),"")</f>
        <v>DAMA</v>
      </c>
      <c r="G100" s="51" t="str">
        <f>IFERROR(INDEX('[1]REP DISEÑO'!$M$9:$M$1508,MATCH(C100,'[1]REP DISEÑO'!$D$9:$D$1508,0)),"")</f>
        <v>ROSADO</v>
      </c>
      <c r="H100" s="51" t="str">
        <f>IFERROR(INDEX('[1]REP DISEÑO'!$J$9:$J$1508,MATCH(C100,'[1]REP DISEÑO'!$D$9:$D$1508,0)),"")</f>
        <v/>
      </c>
      <c r="I100" s="52" t="str">
        <f>IFERROR(INDEX('[1]REP DISEÑO'!$C$9:$C$1508,MATCH(C100,'[1]REP DISEÑO'!$D$9:$D$1508,0)),"")</f>
        <v>febrero</v>
      </c>
      <c r="J100" s="53">
        <f>IF(C100="","",IF(ISNUMBER(FIND("AMU",$C$14:$C$548)),1,(SUMIF('[1]REP PRODUCCIÓN'!$H$6:$H$1505,"*"&amp;C100&amp;"*",'[1]REP PRODUCCIÓN'!$E$6:$E$1505))))</f>
        <v>0</v>
      </c>
      <c r="K100" s="53">
        <f t="shared" si="4"/>
        <v>0</v>
      </c>
      <c r="M100" s="54" t="str">
        <f>IFERROR(INDEX('[1]REP DISEÑO'!$BA$9:$BA$1008,MATCH('INDIC-DIS2'!C100,'[1]REP DISEÑO'!$D$9:$D$1008,0)),"")</f>
        <v>ROSADO</v>
      </c>
      <c r="N100" s="55"/>
      <c r="O100" s="55"/>
      <c r="P100" s="55"/>
      <c r="R100" s="57">
        <f t="shared" si="5"/>
        <v>1</v>
      </c>
    </row>
    <row r="101" spans="2:18" ht="26.25" customHeight="1" x14ac:dyDescent="0.25">
      <c r="B101" s="49">
        <f t="shared" si="3"/>
        <v>1</v>
      </c>
      <c r="C101" s="50" t="str">
        <f t="array" ref="C101">IFERROR(INDEX('[1]REP DISEÑO'!$D$9:$D$1008,SMALL(IF('[1]REP DISEÑO'!$AW$9:$AW$1008=$J$1,ROW('[1]REP DISEÑO'!$N$9:$N$1008)-ROW('[1]REP DISEÑO'!$N$9),""),ROWS(C$14:C101))+1),"")</f>
        <v>G26-5087</v>
      </c>
      <c r="D101" s="51" t="str">
        <f>IFERROR(INDEX('[1]REP DISEÑO'!$N$9:$N$1508,MATCH(C101,'[1]REP DISEÑO'!$D$9:$D$1508,0)),"")</f>
        <v>GABRIELA D.</v>
      </c>
      <c r="E101" s="51" t="str">
        <f>IFERROR(INDEX('[1]REP DISEÑO'!$G$9:$G$1508,MATCH(C101,'[1]REP DISEÑO'!$D$9:$D$1508,0)),"")</f>
        <v>DESTALONADA 0</v>
      </c>
      <c r="F101" s="51" t="str">
        <f>IFERROR(INDEX('[1]REP DISEÑO'!$I$9:$I$1508,MATCH(C101,'[1]REP DISEÑO'!$D$9:$D$1508,0)),"")</f>
        <v>ESCOLAR NIÑA</v>
      </c>
      <c r="G101" s="51" t="str">
        <f>IFERROR(INDEX('[1]REP DISEÑO'!$M$9:$M$1508,MATCH(C101,'[1]REP DISEÑO'!$D$9:$D$1508,0)),"")</f>
        <v>GRAN AKI</v>
      </c>
      <c r="H101" s="51" t="str">
        <f>IFERROR(INDEX('[1]REP DISEÑO'!$J$9:$J$1508,MATCH(C101,'[1]REP DISEÑO'!$D$9:$D$1508,0)),"")</f>
        <v/>
      </c>
      <c r="I101" s="52" t="str">
        <f>IFERROR(INDEX('[1]REP DISEÑO'!$C$9:$C$1508,MATCH(C101,'[1]REP DISEÑO'!$D$9:$D$1508,0)),"")</f>
        <v>febrero</v>
      </c>
      <c r="J101" s="53">
        <f>IF(C101="","",IF(ISNUMBER(FIND("AMU",$C$14:$C$548)),1,(SUMIF('[1]REP PRODUCCIÓN'!$H$6:$H$1505,"*"&amp;C101&amp;"*",'[1]REP PRODUCCIÓN'!$E$6:$E$1505))))</f>
        <v>144</v>
      </c>
      <c r="K101" s="53" t="str">
        <f t="shared" si="4"/>
        <v>OK</v>
      </c>
      <c r="M101" s="54" t="str">
        <f>IFERROR(INDEX('[1]REP DISEÑO'!$BA$9:$BA$1008,MATCH('INDIC-DIS2'!C101,'[1]REP DISEÑO'!$D$9:$D$1008,0)),"")</f>
        <v>GRAN AKI</v>
      </c>
      <c r="N101" s="55"/>
      <c r="O101" s="55"/>
      <c r="P101" s="55"/>
      <c r="R101" s="57">
        <f t="shared" si="5"/>
        <v>1</v>
      </c>
    </row>
    <row r="102" spans="2:18" ht="26.25" customHeight="1" x14ac:dyDescent="0.25">
      <c r="B102" s="49">
        <f t="shared" si="3"/>
        <v>0</v>
      </c>
      <c r="C102" s="50" t="str">
        <f t="array" ref="C102">IFERROR(INDEX('[1]REP DISEÑO'!$D$9:$D$1008,SMALL(IF('[1]REP DISEÑO'!$AW$9:$AW$1008=$J$1,ROW('[1]REP DISEÑO'!$N$9:$N$1008)-ROW('[1]REP DISEÑO'!$N$9),""),ROWS(C$14:C102))+1),"")</f>
        <v/>
      </c>
      <c r="D102" s="51" t="str">
        <f>IFERROR(INDEX('[1]REP DISEÑO'!$N$9:$N$1508,MATCH(C102,'[1]REP DISEÑO'!$D$9:$D$1508,0)),"")</f>
        <v/>
      </c>
      <c r="E102" s="51" t="str">
        <f>IFERROR(INDEX('[1]REP DISEÑO'!$G$9:$G$1508,MATCH(C102,'[1]REP DISEÑO'!$D$9:$D$1508,0)),"")</f>
        <v/>
      </c>
      <c r="F102" s="51" t="str">
        <f>IFERROR(INDEX('[1]REP DISEÑO'!$I$9:$I$1508,MATCH(C102,'[1]REP DISEÑO'!$D$9:$D$1508,0)),"")</f>
        <v/>
      </c>
      <c r="G102" s="51" t="str">
        <f>IFERROR(INDEX('[1]REP DISEÑO'!$M$9:$M$1508,MATCH(C102,'[1]REP DISEÑO'!$D$9:$D$1508,0)),"")</f>
        <v/>
      </c>
      <c r="H102" s="51" t="str">
        <f>IFERROR(INDEX('[1]REP DISEÑO'!$J$9:$J$1508,MATCH(C102,'[1]REP DISEÑO'!$D$9:$D$1508,0)),"")</f>
        <v/>
      </c>
      <c r="I102" s="52" t="str">
        <f>IFERROR(INDEX('[1]REP DISEÑO'!$C$9:$C$1508,MATCH(C102,'[1]REP DISEÑO'!$D$9:$D$1508,0)),"")</f>
        <v/>
      </c>
      <c r="J102" s="53" t="str">
        <f>IF(C102="","",IF(ISNUMBER(FIND("AMU",$C$14:$C$548)),1,(SUMIF('[1]REP PRODUCCIÓN'!$H$6:$H$1505,"*"&amp;C102&amp;"*",'[1]REP PRODUCCIÓN'!$E$6:$E$1505))))</f>
        <v/>
      </c>
      <c r="K102" s="53">
        <f t="shared" si="4"/>
        <v>0</v>
      </c>
      <c r="M102" s="54" t="str">
        <f>IFERROR(INDEX('[1]REP DISEÑO'!$BA$9:$BA$1008,MATCH('INDIC-DIS2'!C102,'[1]REP DISEÑO'!$D$9:$D$1008,0)),"")</f>
        <v/>
      </c>
      <c r="N102" s="55"/>
      <c r="O102" s="55"/>
      <c r="P102" s="55"/>
      <c r="R102" s="57" t="str">
        <f t="shared" si="5"/>
        <v/>
      </c>
    </row>
    <row r="103" spans="2:18" ht="26.25" customHeight="1" x14ac:dyDescent="0.25">
      <c r="B103" s="49">
        <f t="shared" si="3"/>
        <v>0</v>
      </c>
      <c r="C103" s="50" t="str">
        <f t="array" ref="C103">IFERROR(INDEX('[1]REP DISEÑO'!$D$9:$D$1008,SMALL(IF('[1]REP DISEÑO'!$AW$9:$AW$1008=$J$1,ROW('[1]REP DISEÑO'!$N$9:$N$1008)-ROW('[1]REP DISEÑO'!$N$9),""),ROWS(C$14:C103))+1),"")</f>
        <v/>
      </c>
      <c r="D103" s="51" t="str">
        <f>IFERROR(INDEX('[1]REP DISEÑO'!$N$9:$N$1508,MATCH(C103,'[1]REP DISEÑO'!$D$9:$D$1508,0)),"")</f>
        <v/>
      </c>
      <c r="E103" s="51" t="str">
        <f>IFERROR(INDEX('[1]REP DISEÑO'!$G$9:$G$1508,MATCH(C103,'[1]REP DISEÑO'!$D$9:$D$1508,0)),"")</f>
        <v/>
      </c>
      <c r="F103" s="51" t="str">
        <f>IFERROR(INDEX('[1]REP DISEÑO'!$I$9:$I$1508,MATCH(C103,'[1]REP DISEÑO'!$D$9:$D$1508,0)),"")</f>
        <v/>
      </c>
      <c r="G103" s="51" t="str">
        <f>IFERROR(INDEX('[1]REP DISEÑO'!$M$9:$M$1508,MATCH(C103,'[1]REP DISEÑO'!$D$9:$D$1508,0)),"")</f>
        <v/>
      </c>
      <c r="H103" s="51" t="str">
        <f>IFERROR(INDEX('[1]REP DISEÑO'!$J$9:$J$1508,MATCH(C103,'[1]REP DISEÑO'!$D$9:$D$1508,0)),"")</f>
        <v/>
      </c>
      <c r="I103" s="52" t="str">
        <f>IFERROR(INDEX('[1]REP DISEÑO'!$C$9:$C$1508,MATCH(C103,'[1]REP DISEÑO'!$D$9:$D$1508,0)),"")</f>
        <v/>
      </c>
      <c r="J103" s="53" t="str">
        <f>IF(C103="","",IF(ISNUMBER(FIND("AMU",$C$14:$C$548)),1,(SUMIF('[1]REP PRODUCCIÓN'!$H$6:$H$1505,"*"&amp;C103&amp;"*",'[1]REP PRODUCCIÓN'!$E$6:$E$1505))))</f>
        <v/>
      </c>
      <c r="K103" s="53">
        <f t="shared" si="4"/>
        <v>0</v>
      </c>
      <c r="M103" s="54" t="str">
        <f>IFERROR(INDEX('[1]REP DISEÑO'!$BA$9:$BA$1008,MATCH('INDIC-DIS2'!C103,'[1]REP DISEÑO'!$D$9:$D$1008,0)),"")</f>
        <v/>
      </c>
      <c r="N103" s="55"/>
      <c r="O103" s="55"/>
      <c r="P103" s="55"/>
      <c r="R103" s="57" t="str">
        <f t="shared" si="5"/>
        <v/>
      </c>
    </row>
    <row r="104" spans="2:18" ht="26.25" customHeight="1" x14ac:dyDescent="0.25">
      <c r="B104" s="49">
        <f t="shared" si="3"/>
        <v>0</v>
      </c>
      <c r="C104" s="50" t="str">
        <f t="array" ref="C104">IFERROR(INDEX('[1]REP DISEÑO'!$D$9:$D$1008,SMALL(IF('[1]REP DISEÑO'!$AW$9:$AW$1008=$J$1,ROW('[1]REP DISEÑO'!$N$9:$N$1008)-ROW('[1]REP DISEÑO'!$N$9),""),ROWS(C$14:C104))+1),"")</f>
        <v/>
      </c>
      <c r="D104" s="51" t="str">
        <f>IFERROR(INDEX('[1]REP DISEÑO'!$N$9:$N$1508,MATCH(C104,'[1]REP DISEÑO'!$D$9:$D$1508,0)),"")</f>
        <v/>
      </c>
      <c r="E104" s="51" t="str">
        <f>IFERROR(INDEX('[1]REP DISEÑO'!$G$9:$G$1508,MATCH(C104,'[1]REP DISEÑO'!$D$9:$D$1508,0)),"")</f>
        <v/>
      </c>
      <c r="F104" s="51" t="str">
        <f>IFERROR(INDEX('[1]REP DISEÑO'!$I$9:$I$1508,MATCH(C104,'[1]REP DISEÑO'!$D$9:$D$1508,0)),"")</f>
        <v/>
      </c>
      <c r="G104" s="51" t="str">
        <f>IFERROR(INDEX('[1]REP DISEÑO'!$M$9:$M$1508,MATCH(C104,'[1]REP DISEÑO'!$D$9:$D$1508,0)),"")</f>
        <v/>
      </c>
      <c r="H104" s="51" t="str">
        <f>IFERROR(INDEX('[1]REP DISEÑO'!$J$9:$J$1508,MATCH(C104,'[1]REP DISEÑO'!$D$9:$D$1508,0)),"")</f>
        <v/>
      </c>
      <c r="I104" s="52" t="str">
        <f>IFERROR(INDEX('[1]REP DISEÑO'!$C$9:$C$1508,MATCH(C104,'[1]REP DISEÑO'!$D$9:$D$1508,0)),"")</f>
        <v/>
      </c>
      <c r="J104" s="53" t="str">
        <f>IF(C104="","",IF(ISNUMBER(FIND("AMU",$C$14:$C$548)),1,(SUMIF('[1]REP PRODUCCIÓN'!$H$6:$H$1505,"*"&amp;C104&amp;"*",'[1]REP PRODUCCIÓN'!$E$6:$E$1505))))</f>
        <v/>
      </c>
      <c r="K104" s="53">
        <f t="shared" si="4"/>
        <v>0</v>
      </c>
      <c r="M104" s="54" t="str">
        <f>IFERROR(INDEX('[1]REP DISEÑO'!$BA$9:$BA$1008,MATCH('INDIC-DIS2'!C104,'[1]REP DISEÑO'!$D$9:$D$1008,0)),"")</f>
        <v/>
      </c>
      <c r="N104" s="55"/>
      <c r="O104" s="55"/>
      <c r="P104" s="55"/>
      <c r="R104" s="57" t="str">
        <f t="shared" si="5"/>
        <v/>
      </c>
    </row>
    <row r="105" spans="2:18" ht="26.25" customHeight="1" x14ac:dyDescent="0.25">
      <c r="B105" s="49">
        <f t="shared" si="3"/>
        <v>0</v>
      </c>
      <c r="C105" s="50" t="str">
        <f t="array" ref="C105">IFERROR(INDEX('[1]REP DISEÑO'!$D$9:$D$1008,SMALL(IF('[1]REP DISEÑO'!$AW$9:$AW$1008=$J$1,ROW('[1]REP DISEÑO'!$N$9:$N$1008)-ROW('[1]REP DISEÑO'!$N$9),""),ROWS(C$14:C105))+1),"")</f>
        <v/>
      </c>
      <c r="D105" s="51" t="str">
        <f>IFERROR(INDEX('[1]REP DISEÑO'!$N$9:$N$1508,MATCH(C105,'[1]REP DISEÑO'!$D$9:$D$1508,0)),"")</f>
        <v/>
      </c>
      <c r="E105" s="51" t="str">
        <f>IFERROR(INDEX('[1]REP DISEÑO'!$G$9:$G$1508,MATCH(C105,'[1]REP DISEÑO'!$D$9:$D$1508,0)),"")</f>
        <v/>
      </c>
      <c r="F105" s="51" t="str">
        <f>IFERROR(INDEX('[1]REP DISEÑO'!$I$9:$I$1508,MATCH(C105,'[1]REP DISEÑO'!$D$9:$D$1508,0)),"")</f>
        <v/>
      </c>
      <c r="G105" s="51" t="str">
        <f>IFERROR(INDEX('[1]REP DISEÑO'!$M$9:$M$1508,MATCH(C105,'[1]REP DISEÑO'!$D$9:$D$1508,0)),"")</f>
        <v/>
      </c>
      <c r="H105" s="51" t="str">
        <f>IFERROR(INDEX('[1]REP DISEÑO'!$J$9:$J$1508,MATCH(C105,'[1]REP DISEÑO'!$D$9:$D$1508,0)),"")</f>
        <v/>
      </c>
      <c r="I105" s="52" t="str">
        <f>IFERROR(INDEX('[1]REP DISEÑO'!$C$9:$C$1508,MATCH(C105,'[1]REP DISEÑO'!$D$9:$D$1508,0)),"")</f>
        <v/>
      </c>
      <c r="J105" s="53" t="str">
        <f>IF(C105="","",IF(ISNUMBER(FIND("AMU",$C$14:$C$548)),1,(SUMIF('[1]REP PRODUCCIÓN'!$H$6:$H$1505,"*"&amp;C105&amp;"*",'[1]REP PRODUCCIÓN'!$E$6:$E$1505))))</f>
        <v/>
      </c>
      <c r="K105" s="53">
        <f t="shared" si="4"/>
        <v>0</v>
      </c>
      <c r="M105" s="54" t="str">
        <f>IFERROR(INDEX('[1]REP DISEÑO'!$BA$9:$BA$1008,MATCH('INDIC-DIS2'!C105,'[1]REP DISEÑO'!$D$9:$D$1008,0)),"")</f>
        <v/>
      </c>
      <c r="N105" s="55"/>
      <c r="O105" s="55"/>
      <c r="P105" s="55"/>
      <c r="R105" s="57" t="str">
        <f t="shared" si="5"/>
        <v/>
      </c>
    </row>
    <row r="106" spans="2:18" ht="26.25" customHeight="1" x14ac:dyDescent="0.25">
      <c r="B106" s="49">
        <f t="shared" si="3"/>
        <v>0</v>
      </c>
      <c r="C106" s="50" t="str">
        <f t="array" ref="C106">IFERROR(INDEX('[1]REP DISEÑO'!$D$9:$D$1008,SMALL(IF('[1]REP DISEÑO'!$AW$9:$AW$1008=$J$1,ROW('[1]REP DISEÑO'!$N$9:$N$1008)-ROW('[1]REP DISEÑO'!$N$9),""),ROWS(C$14:C106))+1),"")</f>
        <v/>
      </c>
      <c r="D106" s="51" t="str">
        <f>IFERROR(INDEX('[1]REP DISEÑO'!$N$9:$N$1508,MATCH(C106,'[1]REP DISEÑO'!$D$9:$D$1508,0)),"")</f>
        <v/>
      </c>
      <c r="E106" s="51" t="str">
        <f>IFERROR(INDEX('[1]REP DISEÑO'!$G$9:$G$1508,MATCH(C106,'[1]REP DISEÑO'!$D$9:$D$1508,0)),"")</f>
        <v/>
      </c>
      <c r="F106" s="51" t="str">
        <f>IFERROR(INDEX('[1]REP DISEÑO'!$I$9:$I$1508,MATCH(C106,'[1]REP DISEÑO'!$D$9:$D$1508,0)),"")</f>
        <v/>
      </c>
      <c r="G106" s="51" t="str">
        <f>IFERROR(INDEX('[1]REP DISEÑO'!$M$9:$M$1508,MATCH(C106,'[1]REP DISEÑO'!$D$9:$D$1508,0)),"")</f>
        <v/>
      </c>
      <c r="H106" s="51" t="str">
        <f>IFERROR(INDEX('[1]REP DISEÑO'!$J$9:$J$1508,MATCH(C106,'[1]REP DISEÑO'!$D$9:$D$1508,0)),"")</f>
        <v/>
      </c>
      <c r="I106" s="52" t="str">
        <f>IFERROR(INDEX('[1]REP DISEÑO'!$C$9:$C$1508,MATCH(C106,'[1]REP DISEÑO'!$D$9:$D$1508,0)),"")</f>
        <v/>
      </c>
      <c r="J106" s="53" t="str">
        <f>IF(C106="","",IF(ISNUMBER(FIND("AMU",$C$14:$C$548)),1,(SUMIF('[1]REP PRODUCCIÓN'!$H$6:$H$1505,"*"&amp;C106&amp;"*",'[1]REP PRODUCCIÓN'!$E$6:$E$1505))))</f>
        <v/>
      </c>
      <c r="K106" s="53">
        <f t="shared" si="4"/>
        <v>0</v>
      </c>
      <c r="M106" s="54" t="str">
        <f>IFERROR(INDEX('[1]REP DISEÑO'!$BA$9:$BA$1008,MATCH('INDIC-DIS2'!C106,'[1]REP DISEÑO'!$D$9:$D$1008,0)),"")</f>
        <v/>
      </c>
      <c r="N106" s="55"/>
      <c r="O106" s="55"/>
      <c r="P106" s="55"/>
      <c r="R106" s="57" t="str">
        <f t="shared" si="5"/>
        <v/>
      </c>
    </row>
    <row r="107" spans="2:18" ht="26.25" customHeight="1" x14ac:dyDescent="0.25">
      <c r="B107" s="49">
        <f t="shared" si="3"/>
        <v>0</v>
      </c>
      <c r="C107" s="50" t="str">
        <f t="array" ref="C107">IFERROR(INDEX('[1]REP DISEÑO'!$D$9:$D$1008,SMALL(IF('[1]REP DISEÑO'!$AW$9:$AW$1008=$J$1,ROW('[1]REP DISEÑO'!$N$9:$N$1008)-ROW('[1]REP DISEÑO'!$N$9),""),ROWS(C$14:C107))+1),"")</f>
        <v/>
      </c>
      <c r="D107" s="51" t="str">
        <f>IFERROR(INDEX('[1]REP DISEÑO'!$N$9:$N$1508,MATCH(C107,'[1]REP DISEÑO'!$D$9:$D$1508,0)),"")</f>
        <v/>
      </c>
      <c r="E107" s="51" t="str">
        <f>IFERROR(INDEX('[1]REP DISEÑO'!$G$9:$G$1508,MATCH(C107,'[1]REP DISEÑO'!$D$9:$D$1508,0)),"")</f>
        <v/>
      </c>
      <c r="F107" s="51" t="str">
        <f>IFERROR(INDEX('[1]REP DISEÑO'!$I$9:$I$1508,MATCH(C107,'[1]REP DISEÑO'!$D$9:$D$1508,0)),"")</f>
        <v/>
      </c>
      <c r="G107" s="51" t="str">
        <f>IFERROR(INDEX('[1]REP DISEÑO'!$M$9:$M$1508,MATCH(C107,'[1]REP DISEÑO'!$D$9:$D$1508,0)),"")</f>
        <v/>
      </c>
      <c r="H107" s="51" t="str">
        <f>IFERROR(INDEX('[1]REP DISEÑO'!$J$9:$J$1508,MATCH(C107,'[1]REP DISEÑO'!$D$9:$D$1508,0)),"")</f>
        <v/>
      </c>
      <c r="I107" s="52" t="str">
        <f>IFERROR(INDEX('[1]REP DISEÑO'!$C$9:$C$1508,MATCH(C107,'[1]REP DISEÑO'!$D$9:$D$1508,0)),"")</f>
        <v/>
      </c>
      <c r="J107" s="53" t="str">
        <f>IF(C107="","",IF(ISNUMBER(FIND("AMU",$C$14:$C$548)),1,(SUMIF('[1]REP PRODUCCIÓN'!$H$6:$H$1505,"*"&amp;C107&amp;"*",'[1]REP PRODUCCIÓN'!$E$6:$E$1505))))</f>
        <v/>
      </c>
      <c r="K107" s="53">
        <f t="shared" si="4"/>
        <v>0</v>
      </c>
      <c r="M107" s="54" t="str">
        <f>IFERROR(INDEX('[1]REP DISEÑO'!$BA$9:$BA$1008,MATCH('INDIC-DIS2'!C107,'[1]REP DISEÑO'!$D$9:$D$1008,0)),"")</f>
        <v/>
      </c>
      <c r="N107" s="55"/>
      <c r="O107" s="55"/>
      <c r="P107" s="55"/>
      <c r="R107" s="57" t="str">
        <f t="shared" si="5"/>
        <v/>
      </c>
    </row>
    <row r="108" spans="2:18" ht="26.25" customHeight="1" x14ac:dyDescent="0.25">
      <c r="B108" s="49">
        <f t="shared" si="3"/>
        <v>0</v>
      </c>
      <c r="C108" s="50" t="str">
        <f t="array" ref="C108">IFERROR(INDEX('[1]REP DISEÑO'!$D$9:$D$1008,SMALL(IF('[1]REP DISEÑO'!$AW$9:$AW$1008=$J$1,ROW('[1]REP DISEÑO'!$N$9:$N$1008)-ROW('[1]REP DISEÑO'!$N$9),""),ROWS(C$14:C108))+1),"")</f>
        <v/>
      </c>
      <c r="D108" s="51" t="str">
        <f>IFERROR(INDEX('[1]REP DISEÑO'!$N$9:$N$1508,MATCH(C108,'[1]REP DISEÑO'!$D$9:$D$1508,0)),"")</f>
        <v/>
      </c>
      <c r="E108" s="51" t="str">
        <f>IFERROR(INDEX('[1]REP DISEÑO'!$G$9:$G$1508,MATCH(C108,'[1]REP DISEÑO'!$D$9:$D$1508,0)),"")</f>
        <v/>
      </c>
      <c r="F108" s="51" t="str">
        <f>IFERROR(INDEX('[1]REP DISEÑO'!$I$9:$I$1508,MATCH(C108,'[1]REP DISEÑO'!$D$9:$D$1508,0)),"")</f>
        <v/>
      </c>
      <c r="G108" s="51" t="str">
        <f>IFERROR(INDEX('[1]REP DISEÑO'!$M$9:$M$1508,MATCH(C108,'[1]REP DISEÑO'!$D$9:$D$1508,0)),"")</f>
        <v/>
      </c>
      <c r="H108" s="51" t="str">
        <f>IFERROR(INDEX('[1]REP DISEÑO'!$J$9:$J$1508,MATCH(C108,'[1]REP DISEÑO'!$D$9:$D$1508,0)),"")</f>
        <v/>
      </c>
      <c r="I108" s="52" t="str">
        <f>IFERROR(INDEX('[1]REP DISEÑO'!$C$9:$C$1508,MATCH(C108,'[1]REP DISEÑO'!$D$9:$D$1508,0)),"")</f>
        <v/>
      </c>
      <c r="J108" s="53" t="str">
        <f>IF(C108="","",IF(ISNUMBER(FIND("AMU",$C$14:$C$548)),1,(SUMIF('[1]REP PRODUCCIÓN'!$H$6:$H$1505,"*"&amp;C108&amp;"*",'[1]REP PRODUCCIÓN'!$E$6:$E$1505))))</f>
        <v/>
      </c>
      <c r="K108" s="53">
        <f t="shared" si="4"/>
        <v>0</v>
      </c>
      <c r="M108" s="54" t="str">
        <f>IFERROR(INDEX('[1]REP DISEÑO'!$BA$9:$BA$1008,MATCH('INDIC-DIS2'!C108,'[1]REP DISEÑO'!$D$9:$D$1008,0)),"")</f>
        <v/>
      </c>
      <c r="N108" s="55"/>
      <c r="O108" s="55"/>
      <c r="P108" s="55"/>
      <c r="R108" s="57" t="str">
        <f t="shared" si="5"/>
        <v/>
      </c>
    </row>
    <row r="109" spans="2:18" ht="26.25" customHeight="1" x14ac:dyDescent="0.25">
      <c r="B109" s="49">
        <f t="shared" si="3"/>
        <v>0</v>
      </c>
      <c r="C109" s="50" t="str">
        <f t="array" ref="C109">IFERROR(INDEX('[1]REP DISEÑO'!$D$9:$D$1008,SMALL(IF('[1]REP DISEÑO'!$AW$9:$AW$1008=$J$1,ROW('[1]REP DISEÑO'!$N$9:$N$1008)-ROW('[1]REP DISEÑO'!$N$9),""),ROWS(C$14:C109))+1),"")</f>
        <v/>
      </c>
      <c r="D109" s="51" t="str">
        <f>IFERROR(INDEX('[1]REP DISEÑO'!$N$9:$N$1508,MATCH(C109,'[1]REP DISEÑO'!$D$9:$D$1508,0)),"")</f>
        <v/>
      </c>
      <c r="E109" s="51" t="str">
        <f>IFERROR(INDEX('[1]REP DISEÑO'!$G$9:$G$1508,MATCH(C109,'[1]REP DISEÑO'!$D$9:$D$1508,0)),"")</f>
        <v/>
      </c>
      <c r="F109" s="51" t="str">
        <f>IFERROR(INDEX('[1]REP DISEÑO'!$I$9:$I$1508,MATCH(C109,'[1]REP DISEÑO'!$D$9:$D$1508,0)),"")</f>
        <v/>
      </c>
      <c r="G109" s="51" t="str">
        <f>IFERROR(INDEX('[1]REP DISEÑO'!$M$9:$M$1508,MATCH(C109,'[1]REP DISEÑO'!$D$9:$D$1508,0)),"")</f>
        <v/>
      </c>
      <c r="H109" s="51" t="str">
        <f>IFERROR(INDEX('[1]REP DISEÑO'!$J$9:$J$1508,MATCH(C109,'[1]REP DISEÑO'!$D$9:$D$1508,0)),"")</f>
        <v/>
      </c>
      <c r="I109" s="52" t="str">
        <f>IFERROR(INDEX('[1]REP DISEÑO'!$C$9:$C$1508,MATCH(C109,'[1]REP DISEÑO'!$D$9:$D$1508,0)),"")</f>
        <v/>
      </c>
      <c r="J109" s="53" t="str">
        <f>IF(C109="","",IF(ISNUMBER(FIND("AMU",$C$14:$C$548)),1,(SUMIF('[1]REP PRODUCCIÓN'!$H$6:$H$1505,"*"&amp;C109&amp;"*",'[1]REP PRODUCCIÓN'!$E$6:$E$1505))))</f>
        <v/>
      </c>
      <c r="K109" s="53">
        <f t="shared" si="4"/>
        <v>0</v>
      </c>
      <c r="M109" s="54" t="str">
        <f>IFERROR(INDEX('[1]REP DISEÑO'!$BA$9:$BA$1008,MATCH('INDIC-DIS2'!C109,'[1]REP DISEÑO'!$D$9:$D$1008,0)),"")</f>
        <v/>
      </c>
      <c r="N109" s="55"/>
      <c r="O109" s="55"/>
      <c r="P109" s="55"/>
      <c r="R109" s="57" t="str">
        <f t="shared" si="5"/>
        <v/>
      </c>
    </row>
    <row r="110" spans="2:18" ht="26.25" customHeight="1" x14ac:dyDescent="0.25">
      <c r="B110" s="49">
        <f t="shared" si="3"/>
        <v>0</v>
      </c>
      <c r="C110" s="50" t="str">
        <f t="array" ref="C110">IFERROR(INDEX('[1]REP DISEÑO'!$D$9:$D$1008,SMALL(IF('[1]REP DISEÑO'!$AW$9:$AW$1008=$J$1,ROW('[1]REP DISEÑO'!$N$9:$N$1008)-ROW('[1]REP DISEÑO'!$N$9),""),ROWS(C$14:C110))+1),"")</f>
        <v/>
      </c>
      <c r="D110" s="51" t="str">
        <f>IFERROR(INDEX('[1]REP DISEÑO'!$N$9:$N$1508,MATCH(C110,'[1]REP DISEÑO'!$D$9:$D$1508,0)),"")</f>
        <v/>
      </c>
      <c r="E110" s="51" t="str">
        <f>IFERROR(INDEX('[1]REP DISEÑO'!$G$9:$G$1508,MATCH(C110,'[1]REP DISEÑO'!$D$9:$D$1508,0)),"")</f>
        <v/>
      </c>
      <c r="F110" s="51" t="str">
        <f>IFERROR(INDEX('[1]REP DISEÑO'!$I$9:$I$1508,MATCH(C110,'[1]REP DISEÑO'!$D$9:$D$1508,0)),"")</f>
        <v/>
      </c>
      <c r="G110" s="51" t="str">
        <f>IFERROR(INDEX('[1]REP DISEÑO'!$M$9:$M$1508,MATCH(C110,'[1]REP DISEÑO'!$D$9:$D$1508,0)),"")</f>
        <v/>
      </c>
      <c r="H110" s="51" t="str">
        <f>IFERROR(INDEX('[1]REP DISEÑO'!$J$9:$J$1508,MATCH(C110,'[1]REP DISEÑO'!$D$9:$D$1508,0)),"")</f>
        <v/>
      </c>
      <c r="I110" s="52" t="str">
        <f>IFERROR(INDEX('[1]REP DISEÑO'!$C$9:$C$1508,MATCH(C110,'[1]REP DISEÑO'!$D$9:$D$1508,0)),"")</f>
        <v/>
      </c>
      <c r="J110" s="53" t="str">
        <f>IF(C110="","",IF(ISNUMBER(FIND("AMU",$C$14:$C$548)),1,(SUMIF('[1]REP PRODUCCIÓN'!$H$6:$H$1505,"*"&amp;C110&amp;"*",'[1]REP PRODUCCIÓN'!$E$6:$E$1505))))</f>
        <v/>
      </c>
      <c r="K110" s="53">
        <f t="shared" si="4"/>
        <v>0</v>
      </c>
      <c r="M110" s="54" t="str">
        <f>IFERROR(INDEX('[1]REP DISEÑO'!$BA$9:$BA$1008,MATCH('INDIC-DIS2'!C110,'[1]REP DISEÑO'!$D$9:$D$1008,0)),"")</f>
        <v/>
      </c>
      <c r="N110" s="55"/>
      <c r="O110" s="55"/>
      <c r="P110" s="55"/>
      <c r="R110" s="57" t="str">
        <f t="shared" si="5"/>
        <v/>
      </c>
    </row>
    <row r="111" spans="2:18" ht="26.25" customHeight="1" x14ac:dyDescent="0.25">
      <c r="B111" s="49">
        <f t="shared" si="3"/>
        <v>0</v>
      </c>
      <c r="C111" s="50" t="str">
        <f t="array" ref="C111">IFERROR(INDEX('[1]REP DISEÑO'!$D$9:$D$1008,SMALL(IF('[1]REP DISEÑO'!$AW$9:$AW$1008=$J$1,ROW('[1]REP DISEÑO'!$N$9:$N$1008)-ROW('[1]REP DISEÑO'!$N$9),""),ROWS(C$14:C111))+1),"")</f>
        <v/>
      </c>
      <c r="D111" s="51" t="str">
        <f>IFERROR(INDEX('[1]REP DISEÑO'!$N$9:$N$1508,MATCH(C111,'[1]REP DISEÑO'!$D$9:$D$1508,0)),"")</f>
        <v/>
      </c>
      <c r="E111" s="51" t="str">
        <f>IFERROR(INDEX('[1]REP DISEÑO'!$G$9:$G$1508,MATCH(C111,'[1]REP DISEÑO'!$D$9:$D$1508,0)),"")</f>
        <v/>
      </c>
      <c r="F111" s="51" t="str">
        <f>IFERROR(INDEX('[1]REP DISEÑO'!$I$9:$I$1508,MATCH(C111,'[1]REP DISEÑO'!$D$9:$D$1508,0)),"")</f>
        <v/>
      </c>
      <c r="G111" s="51" t="str">
        <f>IFERROR(INDEX('[1]REP DISEÑO'!$M$9:$M$1508,MATCH(C111,'[1]REP DISEÑO'!$D$9:$D$1508,0)),"")</f>
        <v/>
      </c>
      <c r="H111" s="51" t="str">
        <f>IFERROR(INDEX('[1]REP DISEÑO'!$J$9:$J$1508,MATCH(C111,'[1]REP DISEÑO'!$D$9:$D$1508,0)),"")</f>
        <v/>
      </c>
      <c r="I111" s="52" t="str">
        <f>IFERROR(INDEX('[1]REP DISEÑO'!$C$9:$C$1508,MATCH(C111,'[1]REP DISEÑO'!$D$9:$D$1508,0)),"")</f>
        <v/>
      </c>
      <c r="J111" s="53" t="str">
        <f>IF(C111="","",IF(ISNUMBER(FIND("AMU",$C$14:$C$548)),1,(SUMIF('[1]REP PRODUCCIÓN'!$H$6:$H$1505,"*"&amp;C111&amp;"*",'[1]REP PRODUCCIÓN'!$E$6:$E$1505))))</f>
        <v/>
      </c>
      <c r="K111" s="53">
        <f t="shared" si="4"/>
        <v>0</v>
      </c>
      <c r="M111" s="54" t="str">
        <f>IFERROR(INDEX('[1]REP DISEÑO'!$BA$9:$BA$1008,MATCH('INDIC-DIS2'!C111,'[1]REP DISEÑO'!$D$9:$D$1008,0)),"")</f>
        <v/>
      </c>
      <c r="N111" s="55"/>
      <c r="O111" s="55"/>
      <c r="P111" s="55"/>
      <c r="R111" s="57" t="str">
        <f t="shared" si="5"/>
        <v/>
      </c>
    </row>
    <row r="112" spans="2:18" ht="26.25" customHeight="1" x14ac:dyDescent="0.25">
      <c r="B112" s="49">
        <f t="shared" si="3"/>
        <v>0</v>
      </c>
      <c r="C112" s="50" t="str">
        <f t="array" ref="C112">IFERROR(INDEX('[1]REP DISEÑO'!$D$9:$D$1008,SMALL(IF('[1]REP DISEÑO'!$AW$9:$AW$1008=$J$1,ROW('[1]REP DISEÑO'!$N$9:$N$1008)-ROW('[1]REP DISEÑO'!$N$9),""),ROWS(C$14:C112))+1),"")</f>
        <v/>
      </c>
      <c r="D112" s="51" t="str">
        <f>IFERROR(INDEX('[1]REP DISEÑO'!$N$9:$N$1508,MATCH(C112,'[1]REP DISEÑO'!$D$9:$D$1508,0)),"")</f>
        <v/>
      </c>
      <c r="E112" s="51" t="str">
        <f>IFERROR(INDEX('[1]REP DISEÑO'!$G$9:$G$1508,MATCH(C112,'[1]REP DISEÑO'!$D$9:$D$1508,0)),"")</f>
        <v/>
      </c>
      <c r="F112" s="51" t="str">
        <f>IFERROR(INDEX('[1]REP DISEÑO'!$I$9:$I$1508,MATCH(C112,'[1]REP DISEÑO'!$D$9:$D$1508,0)),"")</f>
        <v/>
      </c>
      <c r="G112" s="51" t="str">
        <f>IFERROR(INDEX('[1]REP DISEÑO'!$M$9:$M$1508,MATCH(C112,'[1]REP DISEÑO'!$D$9:$D$1508,0)),"")</f>
        <v/>
      </c>
      <c r="H112" s="51" t="str">
        <f>IFERROR(INDEX('[1]REP DISEÑO'!$J$9:$J$1508,MATCH(C112,'[1]REP DISEÑO'!$D$9:$D$1508,0)),"")</f>
        <v/>
      </c>
      <c r="I112" s="52" t="str">
        <f>IFERROR(INDEX('[1]REP DISEÑO'!$C$9:$C$1508,MATCH(C112,'[1]REP DISEÑO'!$D$9:$D$1508,0)),"")</f>
        <v/>
      </c>
      <c r="J112" s="53" t="str">
        <f>IF(C112="","",IF(ISNUMBER(FIND("AMU",$C$14:$C$548)),1,(SUMIF('[1]REP PRODUCCIÓN'!$H$6:$H$1505,"*"&amp;C112&amp;"*",'[1]REP PRODUCCIÓN'!$E$6:$E$1505))))</f>
        <v/>
      </c>
      <c r="K112" s="53">
        <f t="shared" si="4"/>
        <v>0</v>
      </c>
      <c r="M112" s="54" t="str">
        <f>IFERROR(INDEX('[1]REP DISEÑO'!$BA$9:$BA$1008,MATCH('INDIC-DIS2'!C112,'[1]REP DISEÑO'!$D$9:$D$1008,0)),"")</f>
        <v/>
      </c>
      <c r="N112" s="55"/>
      <c r="O112" s="55"/>
      <c r="P112" s="55"/>
      <c r="R112" s="57" t="str">
        <f t="shared" si="5"/>
        <v/>
      </c>
    </row>
    <row r="113" spans="2:18" ht="26.25" customHeight="1" x14ac:dyDescent="0.25">
      <c r="B113" s="49">
        <f t="shared" si="3"/>
        <v>0</v>
      </c>
      <c r="C113" s="50" t="str">
        <f t="array" ref="C113">IFERROR(INDEX('[1]REP DISEÑO'!$D$9:$D$1008,SMALL(IF('[1]REP DISEÑO'!$AW$9:$AW$1008=$J$1,ROW('[1]REP DISEÑO'!$N$9:$N$1008)-ROW('[1]REP DISEÑO'!$N$9),""),ROWS(C$14:C113))+1),"")</f>
        <v/>
      </c>
      <c r="D113" s="51" t="str">
        <f>IFERROR(INDEX('[1]REP DISEÑO'!$N$9:$N$1508,MATCH(C113,'[1]REP DISEÑO'!$D$9:$D$1508,0)),"")</f>
        <v/>
      </c>
      <c r="E113" s="51" t="str">
        <f>IFERROR(INDEX('[1]REP DISEÑO'!$G$9:$G$1508,MATCH(C113,'[1]REP DISEÑO'!$D$9:$D$1508,0)),"")</f>
        <v/>
      </c>
      <c r="F113" s="51" t="str">
        <f>IFERROR(INDEX('[1]REP DISEÑO'!$I$9:$I$1508,MATCH(C113,'[1]REP DISEÑO'!$D$9:$D$1508,0)),"")</f>
        <v/>
      </c>
      <c r="G113" s="51" t="str">
        <f>IFERROR(INDEX('[1]REP DISEÑO'!$M$9:$M$1508,MATCH(C113,'[1]REP DISEÑO'!$D$9:$D$1508,0)),"")</f>
        <v/>
      </c>
      <c r="H113" s="51" t="str">
        <f>IFERROR(INDEX('[1]REP DISEÑO'!$J$9:$J$1508,MATCH(C113,'[1]REP DISEÑO'!$D$9:$D$1508,0)),"")</f>
        <v/>
      </c>
      <c r="I113" s="52" t="str">
        <f>IFERROR(INDEX('[1]REP DISEÑO'!$C$9:$C$1508,MATCH(C113,'[1]REP DISEÑO'!$D$9:$D$1508,0)),"")</f>
        <v/>
      </c>
      <c r="J113" s="53" t="str">
        <f>IF(C113="","",IF(ISNUMBER(FIND("AMU",$C$14:$C$548)),1,(SUMIF('[1]REP PRODUCCIÓN'!$H$6:$H$1505,"*"&amp;C113&amp;"*",'[1]REP PRODUCCIÓN'!$E$6:$E$1505))))</f>
        <v/>
      </c>
      <c r="K113" s="53">
        <f t="shared" si="4"/>
        <v>0</v>
      </c>
      <c r="M113" s="54" t="str">
        <f>IFERROR(INDEX('[1]REP DISEÑO'!$BA$9:$BA$1008,MATCH('INDIC-DIS2'!C113,'[1]REP DISEÑO'!$D$9:$D$1008,0)),"")</f>
        <v/>
      </c>
      <c r="N113" s="55"/>
      <c r="O113" s="55"/>
      <c r="P113" s="55"/>
      <c r="R113" s="57" t="str">
        <f t="shared" si="5"/>
        <v/>
      </c>
    </row>
    <row r="114" spans="2:18" ht="26.25" customHeight="1" x14ac:dyDescent="0.25">
      <c r="B114" s="49">
        <f t="shared" si="3"/>
        <v>0</v>
      </c>
      <c r="C114" s="50" t="str">
        <f t="array" ref="C114">IFERROR(INDEX('[1]REP DISEÑO'!$D$9:$D$1008,SMALL(IF('[1]REP DISEÑO'!$AW$9:$AW$1008=$J$1,ROW('[1]REP DISEÑO'!$N$9:$N$1008)-ROW('[1]REP DISEÑO'!$N$9),""),ROWS(C$14:C114))+1),"")</f>
        <v/>
      </c>
      <c r="D114" s="51" t="str">
        <f>IFERROR(INDEX('[1]REP DISEÑO'!$N$9:$N$1508,MATCH(C114,'[1]REP DISEÑO'!$D$9:$D$1508,0)),"")</f>
        <v/>
      </c>
      <c r="E114" s="51" t="str">
        <f>IFERROR(INDEX('[1]REP DISEÑO'!$G$9:$G$1508,MATCH(C114,'[1]REP DISEÑO'!$D$9:$D$1508,0)),"")</f>
        <v/>
      </c>
      <c r="F114" s="51" t="str">
        <f>IFERROR(INDEX('[1]REP DISEÑO'!$I$9:$I$1508,MATCH(C114,'[1]REP DISEÑO'!$D$9:$D$1508,0)),"")</f>
        <v/>
      </c>
      <c r="G114" s="51" t="str">
        <f>IFERROR(INDEX('[1]REP DISEÑO'!$M$9:$M$1508,MATCH(C114,'[1]REP DISEÑO'!$D$9:$D$1508,0)),"")</f>
        <v/>
      </c>
      <c r="H114" s="51" t="str">
        <f>IFERROR(INDEX('[1]REP DISEÑO'!$J$9:$J$1508,MATCH(C114,'[1]REP DISEÑO'!$D$9:$D$1508,0)),"")</f>
        <v/>
      </c>
      <c r="I114" s="52" t="str">
        <f>IFERROR(INDEX('[1]REP DISEÑO'!$C$9:$C$1508,MATCH(C114,'[1]REP DISEÑO'!$D$9:$D$1508,0)),"")</f>
        <v/>
      </c>
      <c r="J114" s="53" t="str">
        <f>IF(C114="","",IF(ISNUMBER(FIND("AMU",$C$14:$C$548)),1,(SUMIF('[1]REP PRODUCCIÓN'!$H$6:$H$1505,"*"&amp;C114&amp;"*",'[1]REP PRODUCCIÓN'!$E$6:$E$1505))))</f>
        <v/>
      </c>
      <c r="K114" s="53">
        <f t="shared" si="4"/>
        <v>0</v>
      </c>
      <c r="M114" s="54" t="str">
        <f>IFERROR(INDEX('[1]REP DISEÑO'!$BA$9:$BA$1008,MATCH('INDIC-DIS2'!C114,'[1]REP DISEÑO'!$D$9:$D$1008,0)),"")</f>
        <v/>
      </c>
      <c r="N114" s="55"/>
      <c r="O114" s="55"/>
      <c r="P114" s="55"/>
      <c r="R114" s="57" t="str">
        <f t="shared" si="5"/>
        <v/>
      </c>
    </row>
    <row r="115" spans="2:18" ht="26.25" customHeight="1" x14ac:dyDescent="0.25">
      <c r="B115" s="49">
        <f t="shared" si="3"/>
        <v>0</v>
      </c>
      <c r="C115" s="50" t="str">
        <f t="array" ref="C115">IFERROR(INDEX('[1]REP DISEÑO'!$D$9:$D$1008,SMALL(IF('[1]REP DISEÑO'!$AW$9:$AW$1008=$J$1,ROW('[1]REP DISEÑO'!$N$9:$N$1008)-ROW('[1]REP DISEÑO'!$N$9),""),ROWS(C$14:C115))+1),"")</f>
        <v/>
      </c>
      <c r="D115" s="51" t="str">
        <f>IFERROR(INDEX('[1]REP DISEÑO'!$N$9:$N$1508,MATCH(C115,'[1]REP DISEÑO'!$D$9:$D$1508,0)),"")</f>
        <v/>
      </c>
      <c r="E115" s="51" t="str">
        <f>IFERROR(INDEX('[1]REP DISEÑO'!$G$9:$G$1508,MATCH(C115,'[1]REP DISEÑO'!$D$9:$D$1508,0)),"")</f>
        <v/>
      </c>
      <c r="F115" s="51" t="str">
        <f>IFERROR(INDEX('[1]REP DISEÑO'!$I$9:$I$1508,MATCH(C115,'[1]REP DISEÑO'!$D$9:$D$1508,0)),"")</f>
        <v/>
      </c>
      <c r="G115" s="51" t="str">
        <f>IFERROR(INDEX('[1]REP DISEÑO'!$M$9:$M$1508,MATCH(C115,'[1]REP DISEÑO'!$D$9:$D$1508,0)),"")</f>
        <v/>
      </c>
      <c r="H115" s="51" t="str">
        <f>IFERROR(INDEX('[1]REP DISEÑO'!$J$9:$J$1508,MATCH(C115,'[1]REP DISEÑO'!$D$9:$D$1508,0)),"")</f>
        <v/>
      </c>
      <c r="I115" s="52" t="str">
        <f>IFERROR(INDEX('[1]REP DISEÑO'!$C$9:$C$1508,MATCH(C115,'[1]REP DISEÑO'!$D$9:$D$1508,0)),"")</f>
        <v/>
      </c>
      <c r="J115" s="53" t="str">
        <f>IF(C115="","",IF(ISNUMBER(FIND("AMU",$C$14:$C$548)),1,(SUMIF('[1]REP PRODUCCIÓN'!$H$6:$H$1505,"*"&amp;C115&amp;"*",'[1]REP PRODUCCIÓN'!$E$6:$E$1505))))</f>
        <v/>
      </c>
      <c r="K115" s="53">
        <f t="shared" si="4"/>
        <v>0</v>
      </c>
      <c r="M115" s="54" t="str">
        <f>IFERROR(INDEX('[1]REP DISEÑO'!$BA$9:$BA$1008,MATCH('INDIC-DIS2'!C115,'[1]REP DISEÑO'!$D$9:$D$1008,0)),"")</f>
        <v/>
      </c>
      <c r="N115" s="55"/>
      <c r="O115" s="55"/>
      <c r="P115" s="55"/>
      <c r="R115" s="57" t="str">
        <f t="shared" si="5"/>
        <v/>
      </c>
    </row>
    <row r="116" spans="2:18" ht="26.25" customHeight="1" x14ac:dyDescent="0.25">
      <c r="B116" s="49">
        <f t="shared" si="3"/>
        <v>0</v>
      </c>
      <c r="C116" s="50" t="str">
        <f t="array" ref="C116">IFERROR(INDEX('[1]REP DISEÑO'!$D$9:$D$1008,SMALL(IF('[1]REP DISEÑO'!$AW$9:$AW$1008=$J$1,ROW('[1]REP DISEÑO'!$N$9:$N$1008)-ROW('[1]REP DISEÑO'!$N$9),""),ROWS(C$14:C116))+1),"")</f>
        <v/>
      </c>
      <c r="D116" s="51" t="str">
        <f>IFERROR(INDEX('[1]REP DISEÑO'!$N$9:$N$1508,MATCH(C116,'[1]REP DISEÑO'!$D$9:$D$1508,0)),"")</f>
        <v/>
      </c>
      <c r="E116" s="51" t="str">
        <f>IFERROR(INDEX('[1]REP DISEÑO'!$G$9:$G$1508,MATCH(C116,'[1]REP DISEÑO'!$D$9:$D$1508,0)),"")</f>
        <v/>
      </c>
      <c r="F116" s="51" t="str">
        <f>IFERROR(INDEX('[1]REP DISEÑO'!$I$9:$I$1508,MATCH(C116,'[1]REP DISEÑO'!$D$9:$D$1508,0)),"")</f>
        <v/>
      </c>
      <c r="G116" s="51" t="str">
        <f>IFERROR(INDEX('[1]REP DISEÑO'!$M$9:$M$1508,MATCH(C116,'[1]REP DISEÑO'!$D$9:$D$1508,0)),"")</f>
        <v/>
      </c>
      <c r="H116" s="51" t="str">
        <f>IFERROR(INDEX('[1]REP DISEÑO'!$J$9:$J$1508,MATCH(C116,'[1]REP DISEÑO'!$D$9:$D$1508,0)),"")</f>
        <v/>
      </c>
      <c r="I116" s="52" t="str">
        <f>IFERROR(INDEX('[1]REP DISEÑO'!$C$9:$C$1508,MATCH(C116,'[1]REP DISEÑO'!$D$9:$D$1508,0)),"")</f>
        <v/>
      </c>
      <c r="J116" s="53" t="str">
        <f>IF(C116="","",IF(ISNUMBER(FIND("AMU",$C$14:$C$548)),1,(SUMIF('[1]REP PRODUCCIÓN'!$H$6:$H$1505,"*"&amp;C116&amp;"*",'[1]REP PRODUCCIÓN'!$E$6:$E$1505))))</f>
        <v/>
      </c>
      <c r="K116" s="53">
        <f t="shared" si="4"/>
        <v>0</v>
      </c>
      <c r="M116" s="54" t="str">
        <f>IFERROR(INDEX('[1]REP DISEÑO'!$BA$9:$BA$1008,MATCH('INDIC-DIS2'!C116,'[1]REP DISEÑO'!$D$9:$D$1008,0)),"")</f>
        <v/>
      </c>
      <c r="N116" s="55"/>
      <c r="O116" s="55"/>
      <c r="P116" s="55"/>
      <c r="R116" s="57" t="str">
        <f t="shared" si="5"/>
        <v/>
      </c>
    </row>
    <row r="117" spans="2:18" ht="26.25" customHeight="1" x14ac:dyDescent="0.25">
      <c r="B117" s="49">
        <f t="shared" si="3"/>
        <v>0</v>
      </c>
      <c r="C117" s="50" t="str">
        <f t="array" ref="C117">IFERROR(INDEX('[1]REP DISEÑO'!$D$9:$D$1008,SMALL(IF('[1]REP DISEÑO'!$AW$9:$AW$1008=$J$1,ROW('[1]REP DISEÑO'!$N$9:$N$1008)-ROW('[1]REP DISEÑO'!$N$9),""),ROWS(C$14:C117))+1),"")</f>
        <v/>
      </c>
      <c r="D117" s="51" t="str">
        <f>IFERROR(INDEX('[1]REP DISEÑO'!$N$9:$N$1508,MATCH(C117,'[1]REP DISEÑO'!$D$9:$D$1508,0)),"")</f>
        <v/>
      </c>
      <c r="E117" s="51" t="str">
        <f>IFERROR(INDEX('[1]REP DISEÑO'!$G$9:$G$1508,MATCH(C117,'[1]REP DISEÑO'!$D$9:$D$1508,0)),"")</f>
        <v/>
      </c>
      <c r="F117" s="51" t="str">
        <f>IFERROR(INDEX('[1]REP DISEÑO'!$I$9:$I$1508,MATCH(C117,'[1]REP DISEÑO'!$D$9:$D$1508,0)),"")</f>
        <v/>
      </c>
      <c r="G117" s="51" t="str">
        <f>IFERROR(INDEX('[1]REP DISEÑO'!$M$9:$M$1508,MATCH(C117,'[1]REP DISEÑO'!$D$9:$D$1508,0)),"")</f>
        <v/>
      </c>
      <c r="H117" s="51" t="str">
        <f>IFERROR(INDEX('[1]REP DISEÑO'!$J$9:$J$1508,MATCH(C117,'[1]REP DISEÑO'!$D$9:$D$1508,0)),"")</f>
        <v/>
      </c>
      <c r="I117" s="52" t="str">
        <f>IFERROR(INDEX('[1]REP DISEÑO'!$C$9:$C$1508,MATCH(C117,'[1]REP DISEÑO'!$D$9:$D$1508,0)),"")</f>
        <v/>
      </c>
      <c r="J117" s="53" t="str">
        <f>IF(C117="","",IF(ISNUMBER(FIND("AMU",$C$14:$C$548)),1,(SUMIF('[1]REP PRODUCCIÓN'!$H$6:$H$1505,"*"&amp;C117&amp;"*",'[1]REP PRODUCCIÓN'!$E$6:$E$1505))))</f>
        <v/>
      </c>
      <c r="K117" s="53">
        <f t="shared" si="4"/>
        <v>0</v>
      </c>
      <c r="M117" s="54" t="str">
        <f>IFERROR(INDEX('[1]REP DISEÑO'!$BA$9:$BA$1008,MATCH('INDIC-DIS2'!C117,'[1]REP DISEÑO'!$D$9:$D$1008,0)),"")</f>
        <v/>
      </c>
      <c r="N117" s="55"/>
      <c r="O117" s="55"/>
      <c r="P117" s="55"/>
      <c r="R117" s="57" t="str">
        <f t="shared" si="5"/>
        <v/>
      </c>
    </row>
    <row r="118" spans="2:18" ht="26.25" customHeight="1" x14ac:dyDescent="0.25">
      <c r="B118" s="49">
        <f t="shared" si="3"/>
        <v>0</v>
      </c>
      <c r="C118" s="50" t="str">
        <f t="array" ref="C118">IFERROR(INDEX('[1]REP DISEÑO'!$D$9:$D$1008,SMALL(IF('[1]REP DISEÑO'!$AW$9:$AW$1008=$J$1,ROW('[1]REP DISEÑO'!$N$9:$N$1008)-ROW('[1]REP DISEÑO'!$N$9),""),ROWS(C$14:C118))+1),"")</f>
        <v/>
      </c>
      <c r="D118" s="51" t="str">
        <f>IFERROR(INDEX('[1]REP DISEÑO'!$N$9:$N$1508,MATCH(C118,'[1]REP DISEÑO'!$D$9:$D$1508,0)),"")</f>
        <v/>
      </c>
      <c r="E118" s="51" t="str">
        <f>IFERROR(INDEX('[1]REP DISEÑO'!$G$9:$G$1508,MATCH(C118,'[1]REP DISEÑO'!$D$9:$D$1508,0)),"")</f>
        <v/>
      </c>
      <c r="F118" s="51" t="str">
        <f>IFERROR(INDEX('[1]REP DISEÑO'!$I$9:$I$1508,MATCH(C118,'[1]REP DISEÑO'!$D$9:$D$1508,0)),"")</f>
        <v/>
      </c>
      <c r="G118" s="51" t="str">
        <f>IFERROR(INDEX('[1]REP DISEÑO'!$M$9:$M$1508,MATCH(C118,'[1]REP DISEÑO'!$D$9:$D$1508,0)),"")</f>
        <v/>
      </c>
      <c r="H118" s="51" t="str">
        <f>IFERROR(INDEX('[1]REP DISEÑO'!$J$9:$J$1508,MATCH(C118,'[1]REP DISEÑO'!$D$9:$D$1508,0)),"")</f>
        <v/>
      </c>
      <c r="I118" s="52" t="str">
        <f>IFERROR(INDEX('[1]REP DISEÑO'!$C$9:$C$1508,MATCH(C118,'[1]REP DISEÑO'!$D$9:$D$1508,0)),"")</f>
        <v/>
      </c>
      <c r="J118" s="53" t="str">
        <f>IF(C118="","",IF(ISNUMBER(FIND("AMU",$C$14:$C$548)),1,(SUMIF('[1]REP PRODUCCIÓN'!$H$6:$H$1505,"*"&amp;C118&amp;"*",'[1]REP PRODUCCIÓN'!$E$6:$E$1505))))</f>
        <v/>
      </c>
      <c r="K118" s="53">
        <f t="shared" si="4"/>
        <v>0</v>
      </c>
      <c r="M118" s="54" t="str">
        <f>IFERROR(INDEX('[1]REP DISEÑO'!$BA$9:$BA$1008,MATCH('INDIC-DIS2'!C118,'[1]REP DISEÑO'!$D$9:$D$1008,0)),"")</f>
        <v/>
      </c>
      <c r="N118" s="55"/>
      <c r="O118" s="55"/>
      <c r="P118" s="55"/>
      <c r="R118" s="57" t="str">
        <f t="shared" si="5"/>
        <v/>
      </c>
    </row>
    <row r="119" spans="2:18" ht="26.25" customHeight="1" x14ac:dyDescent="0.25">
      <c r="B119" s="49">
        <f t="shared" si="3"/>
        <v>0</v>
      </c>
      <c r="C119" s="50" t="str">
        <f t="array" ref="C119">IFERROR(INDEX('[1]REP DISEÑO'!$D$9:$D$1008,SMALL(IF('[1]REP DISEÑO'!$AW$9:$AW$1008=$J$1,ROW('[1]REP DISEÑO'!$N$9:$N$1008)-ROW('[1]REP DISEÑO'!$N$9),""),ROWS(C$14:C119))+1),"")</f>
        <v/>
      </c>
      <c r="D119" s="51" t="str">
        <f>IFERROR(INDEX('[1]REP DISEÑO'!$N$9:$N$1508,MATCH(C119,'[1]REP DISEÑO'!$D$9:$D$1508,0)),"")</f>
        <v/>
      </c>
      <c r="E119" s="51" t="str">
        <f>IFERROR(INDEX('[1]REP DISEÑO'!$G$9:$G$1508,MATCH(C119,'[1]REP DISEÑO'!$D$9:$D$1508,0)),"")</f>
        <v/>
      </c>
      <c r="F119" s="51" t="str">
        <f>IFERROR(INDEX('[1]REP DISEÑO'!$I$9:$I$1508,MATCH(C119,'[1]REP DISEÑO'!$D$9:$D$1508,0)),"")</f>
        <v/>
      </c>
      <c r="G119" s="51" t="str">
        <f>IFERROR(INDEX('[1]REP DISEÑO'!$M$9:$M$1508,MATCH(C119,'[1]REP DISEÑO'!$D$9:$D$1508,0)),"")</f>
        <v/>
      </c>
      <c r="H119" s="51" t="str">
        <f>IFERROR(INDEX('[1]REP DISEÑO'!$J$9:$J$1508,MATCH(C119,'[1]REP DISEÑO'!$D$9:$D$1508,0)),"")</f>
        <v/>
      </c>
      <c r="I119" s="52" t="str">
        <f>IFERROR(INDEX('[1]REP DISEÑO'!$C$9:$C$1508,MATCH(C119,'[1]REP DISEÑO'!$D$9:$D$1508,0)),"")</f>
        <v/>
      </c>
      <c r="J119" s="53" t="str">
        <f>IF(C119="","",IF(ISNUMBER(FIND("AMU",$C$14:$C$548)),1,(SUMIF('[1]REP PRODUCCIÓN'!$H$6:$H$1505,"*"&amp;C119&amp;"*",'[1]REP PRODUCCIÓN'!$E$6:$E$1505))))</f>
        <v/>
      </c>
      <c r="K119" s="53">
        <f t="shared" si="4"/>
        <v>0</v>
      </c>
      <c r="M119" s="54" t="str">
        <f>IFERROR(INDEX('[1]REP DISEÑO'!$BA$9:$BA$1008,MATCH('INDIC-DIS2'!C119,'[1]REP DISEÑO'!$D$9:$D$1008,0)),"")</f>
        <v/>
      </c>
      <c r="N119" s="55"/>
      <c r="O119" s="55"/>
      <c r="P119" s="55"/>
      <c r="R119" s="57" t="str">
        <f t="shared" si="5"/>
        <v/>
      </c>
    </row>
    <row r="120" spans="2:18" ht="26.25" customHeight="1" x14ac:dyDescent="0.25">
      <c r="B120" s="49">
        <f t="shared" si="3"/>
        <v>0</v>
      </c>
      <c r="C120" s="50" t="str">
        <f t="array" ref="C120">IFERROR(INDEX('[1]REP DISEÑO'!$D$9:$D$1008,SMALL(IF('[1]REP DISEÑO'!$AW$9:$AW$1008=$J$1,ROW('[1]REP DISEÑO'!$N$9:$N$1008)-ROW('[1]REP DISEÑO'!$N$9),""),ROWS(C$14:C120))+1),"")</f>
        <v/>
      </c>
      <c r="D120" s="51" t="str">
        <f>IFERROR(INDEX('[1]REP DISEÑO'!$N$9:$N$1508,MATCH(C120,'[1]REP DISEÑO'!$D$9:$D$1508,0)),"")</f>
        <v/>
      </c>
      <c r="E120" s="51" t="str">
        <f>IFERROR(INDEX('[1]REP DISEÑO'!$G$9:$G$1508,MATCH(C120,'[1]REP DISEÑO'!$D$9:$D$1508,0)),"")</f>
        <v/>
      </c>
      <c r="F120" s="51" t="str">
        <f>IFERROR(INDEX('[1]REP DISEÑO'!$I$9:$I$1508,MATCH(C120,'[1]REP DISEÑO'!$D$9:$D$1508,0)),"")</f>
        <v/>
      </c>
      <c r="G120" s="51" t="str">
        <f>IFERROR(INDEX('[1]REP DISEÑO'!$M$9:$M$1508,MATCH(C120,'[1]REP DISEÑO'!$D$9:$D$1508,0)),"")</f>
        <v/>
      </c>
      <c r="H120" s="51" t="str">
        <f>IFERROR(INDEX('[1]REP DISEÑO'!$J$9:$J$1508,MATCH(C120,'[1]REP DISEÑO'!$D$9:$D$1508,0)),"")</f>
        <v/>
      </c>
      <c r="I120" s="52" t="str">
        <f>IFERROR(INDEX('[1]REP DISEÑO'!$C$9:$C$1508,MATCH(C120,'[1]REP DISEÑO'!$D$9:$D$1508,0)),"")</f>
        <v/>
      </c>
      <c r="J120" s="53" t="str">
        <f>IF(C120="","",IF(ISNUMBER(FIND("AMU",$C$14:$C$548)),1,(SUMIF('[1]REP PRODUCCIÓN'!$H$6:$H$1505,"*"&amp;C120&amp;"*",'[1]REP PRODUCCIÓN'!$E$6:$E$1505))))</f>
        <v/>
      </c>
      <c r="K120" s="53">
        <f t="shared" si="4"/>
        <v>0</v>
      </c>
      <c r="M120" s="54" t="str">
        <f>IFERROR(INDEX('[1]REP DISEÑO'!$BA$9:$BA$1008,MATCH('INDIC-DIS2'!C120,'[1]REP DISEÑO'!$D$9:$D$1008,0)),"")</f>
        <v/>
      </c>
      <c r="N120" s="55"/>
      <c r="O120" s="55"/>
      <c r="P120" s="55"/>
      <c r="R120" s="57" t="str">
        <f t="shared" si="5"/>
        <v/>
      </c>
    </row>
    <row r="121" spans="2:18" ht="26.25" customHeight="1" x14ac:dyDescent="0.25">
      <c r="B121" s="49">
        <f t="shared" si="3"/>
        <v>0</v>
      </c>
      <c r="C121" s="50" t="str">
        <f t="array" ref="C121">IFERROR(INDEX('[1]REP DISEÑO'!$D$9:$D$1008,SMALL(IF('[1]REP DISEÑO'!$AW$9:$AW$1008=$J$1,ROW('[1]REP DISEÑO'!$N$9:$N$1008)-ROW('[1]REP DISEÑO'!$N$9),""),ROWS(C$14:C121))+1),"")</f>
        <v/>
      </c>
      <c r="D121" s="51" t="str">
        <f>IFERROR(INDEX('[1]REP DISEÑO'!$N$9:$N$1508,MATCH(C121,'[1]REP DISEÑO'!$D$9:$D$1508,0)),"")</f>
        <v/>
      </c>
      <c r="E121" s="51" t="str">
        <f>IFERROR(INDEX('[1]REP DISEÑO'!$G$9:$G$1508,MATCH(C121,'[1]REP DISEÑO'!$D$9:$D$1508,0)),"")</f>
        <v/>
      </c>
      <c r="F121" s="51" t="str">
        <f>IFERROR(INDEX('[1]REP DISEÑO'!$I$9:$I$1508,MATCH(C121,'[1]REP DISEÑO'!$D$9:$D$1508,0)),"")</f>
        <v/>
      </c>
      <c r="G121" s="51" t="str">
        <f>IFERROR(INDEX('[1]REP DISEÑO'!$M$9:$M$1508,MATCH(C121,'[1]REP DISEÑO'!$D$9:$D$1508,0)),"")</f>
        <v/>
      </c>
      <c r="H121" s="51" t="str">
        <f>IFERROR(INDEX('[1]REP DISEÑO'!$J$9:$J$1508,MATCH(C121,'[1]REP DISEÑO'!$D$9:$D$1508,0)),"")</f>
        <v/>
      </c>
      <c r="I121" s="52" t="str">
        <f>IFERROR(INDEX('[1]REP DISEÑO'!$C$9:$C$1508,MATCH(C121,'[1]REP DISEÑO'!$D$9:$D$1508,0)),"")</f>
        <v/>
      </c>
      <c r="J121" s="53" t="str">
        <f>IF(C121="","",IF(ISNUMBER(FIND("AMU",$C$14:$C$548)),1,(SUMIF('[1]REP PRODUCCIÓN'!$H$6:$H$1505,"*"&amp;C121&amp;"*",'[1]REP PRODUCCIÓN'!$E$6:$E$1505))))</f>
        <v/>
      </c>
      <c r="K121" s="53">
        <f t="shared" si="4"/>
        <v>0</v>
      </c>
      <c r="M121" s="54" t="str">
        <f>IFERROR(INDEX('[1]REP DISEÑO'!$BA$9:$BA$1008,MATCH('INDIC-DIS2'!C121,'[1]REP DISEÑO'!$D$9:$D$1008,0)),"")</f>
        <v/>
      </c>
      <c r="N121" s="55"/>
      <c r="O121" s="55"/>
      <c r="P121" s="55"/>
      <c r="R121" s="57" t="str">
        <f t="shared" si="5"/>
        <v/>
      </c>
    </row>
    <row r="122" spans="2:18" ht="26.25" customHeight="1" x14ac:dyDescent="0.25">
      <c r="B122" s="49">
        <f t="shared" si="3"/>
        <v>0</v>
      </c>
      <c r="C122" s="50" t="str">
        <f t="array" ref="C122">IFERROR(INDEX('[1]REP DISEÑO'!$D$9:$D$1008,SMALL(IF('[1]REP DISEÑO'!$AW$9:$AW$1008=$J$1,ROW('[1]REP DISEÑO'!$N$9:$N$1008)-ROW('[1]REP DISEÑO'!$N$9),""),ROWS(C$14:C122))+1),"")</f>
        <v/>
      </c>
      <c r="D122" s="51" t="str">
        <f>IFERROR(INDEX('[1]REP DISEÑO'!$N$9:$N$1508,MATCH(C122,'[1]REP DISEÑO'!$D$9:$D$1508,0)),"")</f>
        <v/>
      </c>
      <c r="E122" s="51" t="str">
        <f>IFERROR(INDEX('[1]REP DISEÑO'!$G$9:$G$1508,MATCH(C122,'[1]REP DISEÑO'!$D$9:$D$1508,0)),"")</f>
        <v/>
      </c>
      <c r="F122" s="51" t="str">
        <f>IFERROR(INDEX('[1]REP DISEÑO'!$I$9:$I$1508,MATCH(C122,'[1]REP DISEÑO'!$D$9:$D$1508,0)),"")</f>
        <v/>
      </c>
      <c r="G122" s="51" t="str">
        <f>IFERROR(INDEX('[1]REP DISEÑO'!$M$9:$M$1508,MATCH(C122,'[1]REP DISEÑO'!$D$9:$D$1508,0)),"")</f>
        <v/>
      </c>
      <c r="H122" s="51" t="str">
        <f>IFERROR(INDEX('[1]REP DISEÑO'!$J$9:$J$1508,MATCH(C122,'[1]REP DISEÑO'!$D$9:$D$1508,0)),"")</f>
        <v/>
      </c>
      <c r="I122" s="52" t="str">
        <f>IFERROR(INDEX('[1]REP DISEÑO'!$C$9:$C$1508,MATCH(C122,'[1]REP DISEÑO'!$D$9:$D$1508,0)),"")</f>
        <v/>
      </c>
      <c r="J122" s="53" t="str">
        <f>IF(C122="","",IF(ISNUMBER(FIND("AMU",$C$14:$C$548)),1,(SUMIF('[1]REP PRODUCCIÓN'!$H$6:$H$1505,"*"&amp;C122&amp;"*",'[1]REP PRODUCCIÓN'!$E$6:$E$1505))))</f>
        <v/>
      </c>
      <c r="K122" s="53">
        <f t="shared" si="4"/>
        <v>0</v>
      </c>
      <c r="M122" s="54" t="str">
        <f>IFERROR(INDEX('[1]REP DISEÑO'!$BA$9:$BA$1008,MATCH('INDIC-DIS2'!C122,'[1]REP DISEÑO'!$D$9:$D$1008,0)),"")</f>
        <v/>
      </c>
      <c r="N122" s="55"/>
      <c r="O122" s="55"/>
      <c r="P122" s="55"/>
      <c r="R122" s="57" t="str">
        <f t="shared" si="5"/>
        <v/>
      </c>
    </row>
    <row r="123" spans="2:18" ht="26.25" customHeight="1" x14ac:dyDescent="0.25">
      <c r="B123" s="49">
        <f t="shared" si="3"/>
        <v>0</v>
      </c>
      <c r="C123" s="50" t="str">
        <f t="array" ref="C123">IFERROR(INDEX('[1]REP DISEÑO'!$D$9:$D$1008,SMALL(IF('[1]REP DISEÑO'!$AW$9:$AW$1008=$J$1,ROW('[1]REP DISEÑO'!$N$9:$N$1008)-ROW('[1]REP DISEÑO'!$N$9),""),ROWS(C$14:C123))+1),"")</f>
        <v/>
      </c>
      <c r="D123" s="51" t="str">
        <f>IFERROR(INDEX('[1]REP DISEÑO'!$N$9:$N$1508,MATCH(C123,'[1]REP DISEÑO'!$D$9:$D$1508,0)),"")</f>
        <v/>
      </c>
      <c r="E123" s="51" t="str">
        <f>IFERROR(INDEX('[1]REP DISEÑO'!$G$9:$G$1508,MATCH(C123,'[1]REP DISEÑO'!$D$9:$D$1508,0)),"")</f>
        <v/>
      </c>
      <c r="F123" s="51" t="str">
        <f>IFERROR(INDEX('[1]REP DISEÑO'!$I$9:$I$1508,MATCH(C123,'[1]REP DISEÑO'!$D$9:$D$1508,0)),"")</f>
        <v/>
      </c>
      <c r="G123" s="51" t="str">
        <f>IFERROR(INDEX('[1]REP DISEÑO'!$M$9:$M$1508,MATCH(C123,'[1]REP DISEÑO'!$D$9:$D$1508,0)),"")</f>
        <v/>
      </c>
      <c r="H123" s="51" t="str">
        <f>IFERROR(INDEX('[1]REP DISEÑO'!$J$9:$J$1508,MATCH(C123,'[1]REP DISEÑO'!$D$9:$D$1508,0)),"")</f>
        <v/>
      </c>
      <c r="I123" s="52" t="str">
        <f>IFERROR(INDEX('[1]REP DISEÑO'!$C$9:$C$1508,MATCH(C123,'[1]REP DISEÑO'!$D$9:$D$1508,0)),"")</f>
        <v/>
      </c>
      <c r="J123" s="53" t="str">
        <f>IF(C123="","",IF(ISNUMBER(FIND("AMU",$C$14:$C$548)),1,(SUMIF('[1]REP PRODUCCIÓN'!$H$6:$H$1505,"*"&amp;C123&amp;"*",'[1]REP PRODUCCIÓN'!$E$6:$E$1505))))</f>
        <v/>
      </c>
      <c r="K123" s="53">
        <f t="shared" si="4"/>
        <v>0</v>
      </c>
      <c r="M123" s="54" t="str">
        <f>IFERROR(INDEX('[1]REP DISEÑO'!$BA$9:$BA$1008,MATCH('INDIC-DIS2'!C123,'[1]REP DISEÑO'!$D$9:$D$1008,0)),"")</f>
        <v/>
      </c>
      <c r="N123" s="55"/>
      <c r="O123" s="55"/>
      <c r="P123" s="55"/>
      <c r="R123" s="57" t="str">
        <f t="shared" si="5"/>
        <v/>
      </c>
    </row>
    <row r="124" spans="2:18" ht="26.25" customHeight="1" x14ac:dyDescent="0.25">
      <c r="B124" s="49">
        <f t="shared" si="3"/>
        <v>0</v>
      </c>
      <c r="C124" s="50" t="str">
        <f t="array" ref="C124">IFERROR(INDEX('[1]REP DISEÑO'!$D$9:$D$1008,SMALL(IF('[1]REP DISEÑO'!$AW$9:$AW$1008=$J$1,ROW('[1]REP DISEÑO'!$N$9:$N$1008)-ROW('[1]REP DISEÑO'!$N$9),""),ROWS(C$14:C124))+1),"")</f>
        <v/>
      </c>
      <c r="D124" s="51" t="str">
        <f>IFERROR(INDEX('[1]REP DISEÑO'!$N$9:$N$1508,MATCH(C124,'[1]REP DISEÑO'!$D$9:$D$1508,0)),"")</f>
        <v/>
      </c>
      <c r="E124" s="51" t="str">
        <f>IFERROR(INDEX('[1]REP DISEÑO'!$G$9:$G$1508,MATCH(C124,'[1]REP DISEÑO'!$D$9:$D$1508,0)),"")</f>
        <v/>
      </c>
      <c r="F124" s="51" t="str">
        <f>IFERROR(INDEX('[1]REP DISEÑO'!$I$9:$I$1508,MATCH(C124,'[1]REP DISEÑO'!$D$9:$D$1508,0)),"")</f>
        <v/>
      </c>
      <c r="G124" s="51" t="str">
        <f>IFERROR(INDEX('[1]REP DISEÑO'!$M$9:$M$1508,MATCH(C124,'[1]REP DISEÑO'!$D$9:$D$1508,0)),"")</f>
        <v/>
      </c>
      <c r="H124" s="51" t="str">
        <f>IFERROR(INDEX('[1]REP DISEÑO'!$J$9:$J$1508,MATCH(C124,'[1]REP DISEÑO'!$D$9:$D$1508,0)),"")</f>
        <v/>
      </c>
      <c r="I124" s="52" t="str">
        <f>IFERROR(INDEX('[1]REP DISEÑO'!$C$9:$C$1508,MATCH(C124,'[1]REP DISEÑO'!$D$9:$D$1508,0)),"")</f>
        <v/>
      </c>
      <c r="J124" s="53" t="str">
        <f>IF(C124="","",IF(ISNUMBER(FIND("AMU",$C$14:$C$548)),1,(SUMIF('[1]REP PRODUCCIÓN'!$H$6:$H$1505,"*"&amp;C124&amp;"*",'[1]REP PRODUCCIÓN'!$E$6:$E$1505))))</f>
        <v/>
      </c>
      <c r="K124" s="53">
        <f t="shared" si="4"/>
        <v>0</v>
      </c>
      <c r="M124" s="54" t="str">
        <f>IFERROR(INDEX('[1]REP DISEÑO'!$BA$9:$BA$1008,MATCH('INDIC-DIS2'!C124,'[1]REP DISEÑO'!$D$9:$D$1008,0)),"")</f>
        <v/>
      </c>
      <c r="N124" s="55"/>
      <c r="O124" s="55"/>
      <c r="P124" s="55"/>
      <c r="R124" s="57" t="str">
        <f t="shared" si="5"/>
        <v/>
      </c>
    </row>
    <row r="125" spans="2:18" ht="26.25" customHeight="1" x14ac:dyDescent="0.25">
      <c r="B125" s="49">
        <f t="shared" si="3"/>
        <v>0</v>
      </c>
      <c r="C125" s="50" t="str">
        <f t="array" ref="C125">IFERROR(INDEX('[1]REP DISEÑO'!$D$9:$D$1008,SMALL(IF('[1]REP DISEÑO'!$AW$9:$AW$1008=$J$1,ROW('[1]REP DISEÑO'!$N$9:$N$1008)-ROW('[1]REP DISEÑO'!$N$9),""),ROWS(C$14:C125))+1),"")</f>
        <v/>
      </c>
      <c r="D125" s="51" t="str">
        <f>IFERROR(INDEX('[1]REP DISEÑO'!$N$9:$N$1508,MATCH(C125,'[1]REP DISEÑO'!$D$9:$D$1508,0)),"")</f>
        <v/>
      </c>
      <c r="E125" s="51" t="str">
        <f>IFERROR(INDEX('[1]REP DISEÑO'!$G$9:$G$1508,MATCH(C125,'[1]REP DISEÑO'!$D$9:$D$1508,0)),"")</f>
        <v/>
      </c>
      <c r="F125" s="51" t="str">
        <f>IFERROR(INDEX('[1]REP DISEÑO'!$I$9:$I$1508,MATCH(C125,'[1]REP DISEÑO'!$D$9:$D$1508,0)),"")</f>
        <v/>
      </c>
      <c r="G125" s="51" t="str">
        <f>IFERROR(INDEX('[1]REP DISEÑO'!$M$9:$M$1508,MATCH(C125,'[1]REP DISEÑO'!$D$9:$D$1508,0)),"")</f>
        <v/>
      </c>
      <c r="H125" s="51" t="str">
        <f>IFERROR(INDEX('[1]REP DISEÑO'!$J$9:$J$1508,MATCH(C125,'[1]REP DISEÑO'!$D$9:$D$1508,0)),"")</f>
        <v/>
      </c>
      <c r="I125" s="52" t="str">
        <f>IFERROR(INDEX('[1]REP DISEÑO'!$C$9:$C$1508,MATCH(C125,'[1]REP DISEÑO'!$D$9:$D$1508,0)),"")</f>
        <v/>
      </c>
      <c r="J125" s="53" t="str">
        <f>IF(C125="","",IF(ISNUMBER(FIND("AMU",$C$14:$C$548)),1,(SUMIF('[1]REP PRODUCCIÓN'!$H$6:$H$1505,"*"&amp;C125&amp;"*",'[1]REP PRODUCCIÓN'!$E$6:$E$1505))))</f>
        <v/>
      </c>
      <c r="K125" s="53">
        <f t="shared" si="4"/>
        <v>0</v>
      </c>
      <c r="M125" s="54" t="str">
        <f>IFERROR(INDEX('[1]REP DISEÑO'!$BA$9:$BA$1008,MATCH('INDIC-DIS2'!C125,'[1]REP DISEÑO'!$D$9:$D$1008,0)),"")</f>
        <v/>
      </c>
      <c r="N125" s="55"/>
      <c r="O125" s="55"/>
      <c r="P125" s="55"/>
      <c r="R125" s="57" t="str">
        <f t="shared" si="5"/>
        <v/>
      </c>
    </row>
    <row r="126" spans="2:18" ht="26.25" customHeight="1" x14ac:dyDescent="0.25">
      <c r="B126" s="49">
        <f t="shared" si="3"/>
        <v>0</v>
      </c>
      <c r="C126" s="50" t="str">
        <f t="array" ref="C126">IFERROR(INDEX('[1]REP DISEÑO'!$D$9:$D$1008,SMALL(IF('[1]REP DISEÑO'!$AW$9:$AW$1008=$J$1,ROW('[1]REP DISEÑO'!$N$9:$N$1008)-ROW('[1]REP DISEÑO'!$N$9),""),ROWS(C$14:C126))+1),"")</f>
        <v/>
      </c>
      <c r="D126" s="51" t="str">
        <f>IFERROR(INDEX('[1]REP DISEÑO'!$N$9:$N$1508,MATCH(C126,'[1]REP DISEÑO'!$D$9:$D$1508,0)),"")</f>
        <v/>
      </c>
      <c r="E126" s="51" t="str">
        <f>IFERROR(INDEX('[1]REP DISEÑO'!$G$9:$G$1508,MATCH(C126,'[1]REP DISEÑO'!$D$9:$D$1508,0)),"")</f>
        <v/>
      </c>
      <c r="F126" s="51" t="str">
        <f>IFERROR(INDEX('[1]REP DISEÑO'!$I$9:$I$1508,MATCH(C126,'[1]REP DISEÑO'!$D$9:$D$1508,0)),"")</f>
        <v/>
      </c>
      <c r="G126" s="51" t="str">
        <f>IFERROR(INDEX('[1]REP DISEÑO'!$M$9:$M$1508,MATCH(C126,'[1]REP DISEÑO'!$D$9:$D$1508,0)),"")</f>
        <v/>
      </c>
      <c r="H126" s="51" t="str">
        <f>IFERROR(INDEX('[1]REP DISEÑO'!$J$9:$J$1508,MATCH(C126,'[1]REP DISEÑO'!$D$9:$D$1508,0)),"")</f>
        <v/>
      </c>
      <c r="I126" s="52" t="str">
        <f>IFERROR(INDEX('[1]REP DISEÑO'!$C$9:$C$1508,MATCH(C126,'[1]REP DISEÑO'!$D$9:$D$1508,0)),"")</f>
        <v/>
      </c>
      <c r="J126" s="53" t="str">
        <f>IF(C126="","",IF(ISNUMBER(FIND("AMU",$C$14:$C$548)),1,(SUMIF('[1]REP PRODUCCIÓN'!$H$6:$H$1505,"*"&amp;C126&amp;"*",'[1]REP PRODUCCIÓN'!$E$6:$E$1505))))</f>
        <v/>
      </c>
      <c r="K126" s="53">
        <f t="shared" si="4"/>
        <v>0</v>
      </c>
      <c r="M126" s="54" t="str">
        <f>IFERROR(INDEX('[1]REP DISEÑO'!$BA$9:$BA$1008,MATCH('INDIC-DIS2'!C126,'[1]REP DISEÑO'!$D$9:$D$1008,0)),"")</f>
        <v/>
      </c>
      <c r="N126" s="55"/>
      <c r="O126" s="55"/>
      <c r="P126" s="55"/>
      <c r="R126" s="57" t="str">
        <f t="shared" si="5"/>
        <v/>
      </c>
    </row>
    <row r="127" spans="2:18" ht="26.25" customHeight="1" x14ac:dyDescent="0.25">
      <c r="B127" s="49">
        <f t="shared" si="3"/>
        <v>0</v>
      </c>
      <c r="C127" s="50" t="str">
        <f t="array" ref="C127">IFERROR(INDEX('[1]REP DISEÑO'!$D$9:$D$1008,SMALL(IF('[1]REP DISEÑO'!$AW$9:$AW$1008=$J$1,ROW('[1]REP DISEÑO'!$N$9:$N$1008)-ROW('[1]REP DISEÑO'!$N$9),""),ROWS(C$14:C127))+1),"")</f>
        <v/>
      </c>
      <c r="D127" s="51" t="str">
        <f>IFERROR(INDEX('[1]REP DISEÑO'!$N$9:$N$1508,MATCH(C127,'[1]REP DISEÑO'!$D$9:$D$1508,0)),"")</f>
        <v/>
      </c>
      <c r="E127" s="51" t="str">
        <f>IFERROR(INDEX('[1]REP DISEÑO'!$G$9:$G$1508,MATCH(C127,'[1]REP DISEÑO'!$D$9:$D$1508,0)),"")</f>
        <v/>
      </c>
      <c r="F127" s="51" t="str">
        <f>IFERROR(INDEX('[1]REP DISEÑO'!$I$9:$I$1508,MATCH(C127,'[1]REP DISEÑO'!$D$9:$D$1508,0)),"")</f>
        <v/>
      </c>
      <c r="G127" s="51" t="str">
        <f>IFERROR(INDEX('[1]REP DISEÑO'!$M$9:$M$1508,MATCH(C127,'[1]REP DISEÑO'!$D$9:$D$1508,0)),"")</f>
        <v/>
      </c>
      <c r="H127" s="51" t="str">
        <f>IFERROR(INDEX('[1]REP DISEÑO'!$J$9:$J$1508,MATCH(C127,'[1]REP DISEÑO'!$D$9:$D$1508,0)),"")</f>
        <v/>
      </c>
      <c r="I127" s="52" t="str">
        <f>IFERROR(INDEX('[1]REP DISEÑO'!$C$9:$C$1508,MATCH(C127,'[1]REP DISEÑO'!$D$9:$D$1508,0)),"")</f>
        <v/>
      </c>
      <c r="J127" s="53" t="str">
        <f>IF(C127="","",IF(ISNUMBER(FIND("AMU",$C$14:$C$548)),1,(SUMIF('[1]REP PRODUCCIÓN'!$H$6:$H$1505,"*"&amp;C127&amp;"*",'[1]REP PRODUCCIÓN'!$E$6:$E$1505))))</f>
        <v/>
      </c>
      <c r="K127" s="53">
        <f t="shared" si="4"/>
        <v>0</v>
      </c>
      <c r="M127" s="54" t="str">
        <f>IFERROR(INDEX('[1]REP DISEÑO'!$BA$9:$BA$1008,MATCH('INDIC-DIS2'!C127,'[1]REP DISEÑO'!$D$9:$D$1008,0)),"")</f>
        <v/>
      </c>
      <c r="N127" s="55"/>
      <c r="O127" s="55"/>
      <c r="P127" s="55"/>
      <c r="R127" s="57" t="str">
        <f t="shared" si="5"/>
        <v/>
      </c>
    </row>
    <row r="128" spans="2:18" ht="26.25" customHeight="1" x14ac:dyDescent="0.25">
      <c r="B128" s="49">
        <f t="shared" si="3"/>
        <v>0</v>
      </c>
      <c r="C128" s="50" t="str">
        <f t="array" ref="C128">IFERROR(INDEX('[1]REP DISEÑO'!$D$9:$D$1008,SMALL(IF('[1]REP DISEÑO'!$AW$9:$AW$1008=$J$1,ROW('[1]REP DISEÑO'!$N$9:$N$1008)-ROW('[1]REP DISEÑO'!$N$9),""),ROWS(C$14:C128))+1),"")</f>
        <v/>
      </c>
      <c r="D128" s="51" t="str">
        <f>IFERROR(INDEX('[1]REP DISEÑO'!$N$9:$N$1508,MATCH(C128,'[1]REP DISEÑO'!$D$9:$D$1508,0)),"")</f>
        <v/>
      </c>
      <c r="E128" s="51" t="str">
        <f>IFERROR(INDEX('[1]REP DISEÑO'!$G$9:$G$1508,MATCH(C128,'[1]REP DISEÑO'!$D$9:$D$1508,0)),"")</f>
        <v/>
      </c>
      <c r="F128" s="51" t="str">
        <f>IFERROR(INDEX('[1]REP DISEÑO'!$I$9:$I$1508,MATCH(C128,'[1]REP DISEÑO'!$D$9:$D$1508,0)),"")</f>
        <v/>
      </c>
      <c r="G128" s="51" t="str">
        <f>IFERROR(INDEX('[1]REP DISEÑO'!$M$9:$M$1508,MATCH(C128,'[1]REP DISEÑO'!$D$9:$D$1508,0)),"")</f>
        <v/>
      </c>
      <c r="H128" s="51" t="str">
        <f>IFERROR(INDEX('[1]REP DISEÑO'!$J$9:$J$1508,MATCH(C128,'[1]REP DISEÑO'!$D$9:$D$1508,0)),"")</f>
        <v/>
      </c>
      <c r="I128" s="52" t="str">
        <f>IFERROR(INDEX('[1]REP DISEÑO'!$C$9:$C$1508,MATCH(C128,'[1]REP DISEÑO'!$D$9:$D$1508,0)),"")</f>
        <v/>
      </c>
      <c r="J128" s="53" t="str">
        <f>IF(C128="","",IF(ISNUMBER(FIND("AMU",$C$14:$C$548)),1,(SUMIF('[1]REP PRODUCCIÓN'!$H$6:$H$1505,"*"&amp;C128&amp;"*",'[1]REP PRODUCCIÓN'!$E$6:$E$1505))))</f>
        <v/>
      </c>
      <c r="K128" s="53">
        <f t="shared" si="4"/>
        <v>0</v>
      </c>
      <c r="M128" s="54" t="str">
        <f>IFERROR(INDEX('[1]REP DISEÑO'!$BA$9:$BA$1008,MATCH('INDIC-DIS2'!C128,'[1]REP DISEÑO'!$D$9:$D$1008,0)),"")</f>
        <v/>
      </c>
      <c r="N128" s="55"/>
      <c r="O128" s="55"/>
      <c r="P128" s="55"/>
      <c r="R128" s="57" t="str">
        <f t="shared" si="5"/>
        <v/>
      </c>
    </row>
    <row r="129" spans="2:18" ht="26.25" customHeight="1" x14ac:dyDescent="0.25">
      <c r="B129" s="49">
        <f t="shared" si="3"/>
        <v>0</v>
      </c>
      <c r="C129" s="50" t="str">
        <f t="array" ref="C129">IFERROR(INDEX('[1]REP DISEÑO'!$D$9:$D$1008,SMALL(IF('[1]REP DISEÑO'!$AW$9:$AW$1008=$J$1,ROW('[1]REP DISEÑO'!$N$9:$N$1008)-ROW('[1]REP DISEÑO'!$N$9),""),ROWS(C$14:C129))+1),"")</f>
        <v/>
      </c>
      <c r="D129" s="51" t="str">
        <f>IFERROR(INDEX('[1]REP DISEÑO'!$N$9:$N$1508,MATCH(C129,'[1]REP DISEÑO'!$D$9:$D$1508,0)),"")</f>
        <v/>
      </c>
      <c r="E129" s="51" t="str">
        <f>IFERROR(INDEX('[1]REP DISEÑO'!$G$9:$G$1508,MATCH(C129,'[1]REP DISEÑO'!$D$9:$D$1508,0)),"")</f>
        <v/>
      </c>
      <c r="F129" s="51" t="str">
        <f>IFERROR(INDEX('[1]REP DISEÑO'!$I$9:$I$1508,MATCH(C129,'[1]REP DISEÑO'!$D$9:$D$1508,0)),"")</f>
        <v/>
      </c>
      <c r="G129" s="51" t="str">
        <f>IFERROR(INDEX('[1]REP DISEÑO'!$M$9:$M$1508,MATCH(C129,'[1]REP DISEÑO'!$D$9:$D$1508,0)),"")</f>
        <v/>
      </c>
      <c r="H129" s="51" t="str">
        <f>IFERROR(INDEX('[1]REP DISEÑO'!$J$9:$J$1508,MATCH(C129,'[1]REP DISEÑO'!$D$9:$D$1508,0)),"")</f>
        <v/>
      </c>
      <c r="I129" s="52" t="str">
        <f>IFERROR(INDEX('[1]REP DISEÑO'!$C$9:$C$1508,MATCH(C129,'[1]REP DISEÑO'!$D$9:$D$1508,0)),"")</f>
        <v/>
      </c>
      <c r="J129" s="53" t="str">
        <f>IF(C129="","",IF(ISNUMBER(FIND("AMU",$C$14:$C$548)),1,(SUMIF('[1]REP PRODUCCIÓN'!$H$6:$H$1505,"*"&amp;C129&amp;"*",'[1]REP PRODUCCIÓN'!$E$6:$E$1505))))</f>
        <v/>
      </c>
      <c r="K129" s="53">
        <f t="shared" si="4"/>
        <v>0</v>
      </c>
      <c r="M129" s="54" t="str">
        <f>IFERROR(INDEX('[1]REP DISEÑO'!$BA$9:$BA$1008,MATCH('INDIC-DIS2'!C129,'[1]REP DISEÑO'!$D$9:$D$1008,0)),"")</f>
        <v/>
      </c>
      <c r="N129" s="55"/>
      <c r="O129" s="55"/>
      <c r="P129" s="55"/>
      <c r="R129" s="57" t="str">
        <f t="shared" si="5"/>
        <v/>
      </c>
    </row>
    <row r="130" spans="2:18" ht="26.25" customHeight="1" x14ac:dyDescent="0.25">
      <c r="B130" s="49">
        <f t="shared" si="3"/>
        <v>0</v>
      </c>
      <c r="C130" s="50" t="str">
        <f t="array" ref="C130">IFERROR(INDEX('[1]REP DISEÑO'!$D$9:$D$1008,SMALL(IF('[1]REP DISEÑO'!$AW$9:$AW$1008=$J$1,ROW('[1]REP DISEÑO'!$N$9:$N$1008)-ROW('[1]REP DISEÑO'!$N$9),""),ROWS(C$14:C130))+1),"")</f>
        <v/>
      </c>
      <c r="D130" s="51" t="str">
        <f>IFERROR(INDEX('[1]REP DISEÑO'!$N$9:$N$1508,MATCH(C130,'[1]REP DISEÑO'!$D$9:$D$1508,0)),"")</f>
        <v/>
      </c>
      <c r="E130" s="51" t="str">
        <f>IFERROR(INDEX('[1]REP DISEÑO'!$G$9:$G$1508,MATCH(C130,'[1]REP DISEÑO'!$D$9:$D$1508,0)),"")</f>
        <v/>
      </c>
      <c r="F130" s="51" t="str">
        <f>IFERROR(INDEX('[1]REP DISEÑO'!$I$9:$I$1508,MATCH(C130,'[1]REP DISEÑO'!$D$9:$D$1508,0)),"")</f>
        <v/>
      </c>
      <c r="G130" s="51" t="str">
        <f>IFERROR(INDEX('[1]REP DISEÑO'!$M$9:$M$1508,MATCH(C130,'[1]REP DISEÑO'!$D$9:$D$1508,0)),"")</f>
        <v/>
      </c>
      <c r="H130" s="51" t="str">
        <f>IFERROR(INDEX('[1]REP DISEÑO'!$J$9:$J$1508,MATCH(C130,'[1]REP DISEÑO'!$D$9:$D$1508,0)),"")</f>
        <v/>
      </c>
      <c r="I130" s="52" t="str">
        <f>IFERROR(INDEX('[1]REP DISEÑO'!$C$9:$C$1508,MATCH(C130,'[1]REP DISEÑO'!$D$9:$D$1508,0)),"")</f>
        <v/>
      </c>
      <c r="J130" s="53" t="str">
        <f>IF(C130="","",IF(ISNUMBER(FIND("AMU",$C$14:$C$548)),1,(SUMIF('[1]REP PRODUCCIÓN'!$H$6:$H$1505,"*"&amp;C130&amp;"*",'[1]REP PRODUCCIÓN'!$E$6:$E$1505))))</f>
        <v/>
      </c>
      <c r="K130" s="53">
        <f t="shared" si="4"/>
        <v>0</v>
      </c>
      <c r="M130" s="54" t="str">
        <f>IFERROR(INDEX('[1]REP DISEÑO'!$BA$9:$BA$1008,MATCH('INDIC-DIS2'!C130,'[1]REP DISEÑO'!$D$9:$D$1008,0)),"")</f>
        <v/>
      </c>
      <c r="N130" s="55"/>
      <c r="O130" s="55"/>
      <c r="P130" s="55"/>
      <c r="R130" s="57" t="str">
        <f t="shared" si="5"/>
        <v/>
      </c>
    </row>
    <row r="131" spans="2:18" ht="26.25" customHeight="1" x14ac:dyDescent="0.25">
      <c r="B131" s="49">
        <f t="shared" si="3"/>
        <v>0</v>
      </c>
      <c r="C131" s="50" t="str">
        <f t="array" ref="C131">IFERROR(INDEX('[1]REP DISEÑO'!$D$9:$D$1008,SMALL(IF('[1]REP DISEÑO'!$AW$9:$AW$1008=$J$1,ROW('[1]REP DISEÑO'!$N$9:$N$1008)-ROW('[1]REP DISEÑO'!$N$9),""),ROWS(C$14:C131))+1),"")</f>
        <v/>
      </c>
      <c r="D131" s="51" t="str">
        <f>IFERROR(INDEX('[1]REP DISEÑO'!$N$9:$N$1508,MATCH(C131,'[1]REP DISEÑO'!$D$9:$D$1508,0)),"")</f>
        <v/>
      </c>
      <c r="E131" s="51" t="str">
        <f>IFERROR(INDEX('[1]REP DISEÑO'!$G$9:$G$1508,MATCH(C131,'[1]REP DISEÑO'!$D$9:$D$1508,0)),"")</f>
        <v/>
      </c>
      <c r="F131" s="51" t="str">
        <f>IFERROR(INDEX('[1]REP DISEÑO'!$I$9:$I$1508,MATCH(C131,'[1]REP DISEÑO'!$D$9:$D$1508,0)),"")</f>
        <v/>
      </c>
      <c r="G131" s="51" t="str">
        <f>IFERROR(INDEX('[1]REP DISEÑO'!$M$9:$M$1508,MATCH(C131,'[1]REP DISEÑO'!$D$9:$D$1508,0)),"")</f>
        <v/>
      </c>
      <c r="H131" s="51" t="str">
        <f>IFERROR(INDEX('[1]REP DISEÑO'!$J$9:$J$1508,MATCH(C131,'[1]REP DISEÑO'!$D$9:$D$1508,0)),"")</f>
        <v/>
      </c>
      <c r="I131" s="52" t="str">
        <f>IFERROR(INDEX('[1]REP DISEÑO'!$C$9:$C$1508,MATCH(C131,'[1]REP DISEÑO'!$D$9:$D$1508,0)),"")</f>
        <v/>
      </c>
      <c r="J131" s="53" t="str">
        <f>IF(C131="","",IF(ISNUMBER(FIND("AMU",$C$14:$C$548)),1,(SUMIF('[1]REP PRODUCCIÓN'!$H$6:$H$1505,"*"&amp;C131&amp;"*",'[1]REP PRODUCCIÓN'!$E$6:$E$1505))))</f>
        <v/>
      </c>
      <c r="K131" s="53">
        <f t="shared" si="4"/>
        <v>0</v>
      </c>
      <c r="M131" s="54" t="str">
        <f>IFERROR(INDEX('[1]REP DISEÑO'!$BA$9:$BA$1008,MATCH('INDIC-DIS2'!C131,'[1]REP DISEÑO'!$D$9:$D$1008,0)),"")</f>
        <v/>
      </c>
      <c r="N131" s="55"/>
      <c r="O131" s="55"/>
      <c r="P131" s="55"/>
      <c r="R131" s="57" t="str">
        <f t="shared" si="5"/>
        <v/>
      </c>
    </row>
    <row r="132" spans="2:18" ht="26.25" customHeight="1" x14ac:dyDescent="0.25">
      <c r="B132" s="49">
        <f t="shared" si="3"/>
        <v>0</v>
      </c>
      <c r="C132" s="50" t="str">
        <f t="array" ref="C132">IFERROR(INDEX('[1]REP DISEÑO'!$D$9:$D$1008,SMALL(IF('[1]REP DISEÑO'!$AW$9:$AW$1008=$J$1,ROW('[1]REP DISEÑO'!$N$9:$N$1008)-ROW('[1]REP DISEÑO'!$N$9),""),ROWS(C$14:C132))+1),"")</f>
        <v/>
      </c>
      <c r="D132" s="51" t="str">
        <f>IFERROR(INDEX('[1]REP DISEÑO'!$N$9:$N$1508,MATCH(C132,'[1]REP DISEÑO'!$D$9:$D$1508,0)),"")</f>
        <v/>
      </c>
      <c r="E132" s="51" t="str">
        <f>IFERROR(INDEX('[1]REP DISEÑO'!$G$9:$G$1508,MATCH(C132,'[1]REP DISEÑO'!$D$9:$D$1508,0)),"")</f>
        <v/>
      </c>
      <c r="F132" s="51" t="str">
        <f>IFERROR(INDEX('[1]REP DISEÑO'!$I$9:$I$1508,MATCH(C132,'[1]REP DISEÑO'!$D$9:$D$1508,0)),"")</f>
        <v/>
      </c>
      <c r="G132" s="51" t="str">
        <f>IFERROR(INDEX('[1]REP DISEÑO'!$M$9:$M$1508,MATCH(C132,'[1]REP DISEÑO'!$D$9:$D$1508,0)),"")</f>
        <v/>
      </c>
      <c r="H132" s="51" t="str">
        <f>IFERROR(INDEX('[1]REP DISEÑO'!$J$9:$J$1508,MATCH(C132,'[1]REP DISEÑO'!$D$9:$D$1508,0)),"")</f>
        <v/>
      </c>
      <c r="I132" s="52" t="str">
        <f>IFERROR(INDEX('[1]REP DISEÑO'!$C$9:$C$1508,MATCH(C132,'[1]REP DISEÑO'!$D$9:$D$1508,0)),"")</f>
        <v/>
      </c>
      <c r="J132" s="53" t="str">
        <f>IF(C132="","",IF(ISNUMBER(FIND("AMU",$C$14:$C$548)),1,(SUMIF('[1]REP PRODUCCIÓN'!$H$6:$H$1505,"*"&amp;C132&amp;"*",'[1]REP PRODUCCIÓN'!$E$6:$E$1505))))</f>
        <v/>
      </c>
      <c r="K132" s="53">
        <f t="shared" si="4"/>
        <v>0</v>
      </c>
      <c r="M132" s="54" t="str">
        <f>IFERROR(INDEX('[1]REP DISEÑO'!$BA$9:$BA$1008,MATCH('INDIC-DIS2'!C132,'[1]REP DISEÑO'!$D$9:$D$1008,0)),"")</f>
        <v/>
      </c>
      <c r="N132" s="55"/>
      <c r="O132" s="55"/>
      <c r="P132" s="55"/>
      <c r="R132" s="57" t="str">
        <f t="shared" si="5"/>
        <v/>
      </c>
    </row>
    <row r="133" spans="2:18" ht="26.25" customHeight="1" x14ac:dyDescent="0.25">
      <c r="B133" s="49">
        <f t="shared" si="3"/>
        <v>0</v>
      </c>
      <c r="C133" s="50" t="str">
        <f t="array" ref="C133">IFERROR(INDEX('[1]REP DISEÑO'!$D$9:$D$1008,SMALL(IF('[1]REP DISEÑO'!$AW$9:$AW$1008=$J$1,ROW('[1]REP DISEÑO'!$N$9:$N$1008)-ROW('[1]REP DISEÑO'!$N$9),""),ROWS(C$14:C133))+1),"")</f>
        <v/>
      </c>
      <c r="D133" s="51" t="str">
        <f>IFERROR(INDEX('[1]REP DISEÑO'!$N$9:$N$1508,MATCH(C133,'[1]REP DISEÑO'!$D$9:$D$1508,0)),"")</f>
        <v/>
      </c>
      <c r="E133" s="51" t="str">
        <f>IFERROR(INDEX('[1]REP DISEÑO'!$G$9:$G$1508,MATCH(C133,'[1]REP DISEÑO'!$D$9:$D$1508,0)),"")</f>
        <v/>
      </c>
      <c r="F133" s="51" t="str">
        <f>IFERROR(INDEX('[1]REP DISEÑO'!$I$9:$I$1508,MATCH(C133,'[1]REP DISEÑO'!$D$9:$D$1508,0)),"")</f>
        <v/>
      </c>
      <c r="G133" s="51" t="str">
        <f>IFERROR(INDEX('[1]REP DISEÑO'!$M$9:$M$1508,MATCH(C133,'[1]REP DISEÑO'!$D$9:$D$1508,0)),"")</f>
        <v/>
      </c>
      <c r="H133" s="51" t="str">
        <f>IFERROR(INDEX('[1]REP DISEÑO'!$J$9:$J$1508,MATCH(C133,'[1]REP DISEÑO'!$D$9:$D$1508,0)),"")</f>
        <v/>
      </c>
      <c r="I133" s="52" t="str">
        <f>IFERROR(INDEX('[1]REP DISEÑO'!$C$9:$C$1508,MATCH(C133,'[1]REP DISEÑO'!$D$9:$D$1508,0)),"")</f>
        <v/>
      </c>
      <c r="J133" s="53" t="str">
        <f>IF(C133="","",IF(ISNUMBER(FIND("AMU",$C$14:$C$548)),1,(SUMIF('[1]REP PRODUCCIÓN'!$H$6:$H$1505,"*"&amp;C133&amp;"*",'[1]REP PRODUCCIÓN'!$E$6:$E$1505))))</f>
        <v/>
      </c>
      <c r="K133" s="53">
        <f t="shared" si="4"/>
        <v>0</v>
      </c>
      <c r="M133" s="54" t="str">
        <f>IFERROR(INDEX('[1]REP DISEÑO'!$BA$9:$BA$1008,MATCH('INDIC-DIS2'!C133,'[1]REP DISEÑO'!$D$9:$D$1008,0)),"")</f>
        <v/>
      </c>
      <c r="N133" s="55"/>
      <c r="O133" s="55"/>
      <c r="P133" s="55"/>
      <c r="R133" s="57" t="str">
        <f t="shared" si="5"/>
        <v/>
      </c>
    </row>
    <row r="134" spans="2:18" ht="26.25" customHeight="1" x14ac:dyDescent="0.25">
      <c r="B134" s="49">
        <f t="shared" si="3"/>
        <v>0</v>
      </c>
      <c r="C134" s="50" t="str">
        <f t="array" ref="C134">IFERROR(INDEX('[1]REP DISEÑO'!$D$9:$D$1008,SMALL(IF('[1]REP DISEÑO'!$AW$9:$AW$1008=$J$1,ROW('[1]REP DISEÑO'!$N$9:$N$1008)-ROW('[1]REP DISEÑO'!$N$9),""),ROWS(C$14:C134))+1),"")</f>
        <v/>
      </c>
      <c r="D134" s="51" t="str">
        <f>IFERROR(INDEX('[1]REP DISEÑO'!$N$9:$N$1508,MATCH(C134,'[1]REP DISEÑO'!$D$9:$D$1508,0)),"")</f>
        <v/>
      </c>
      <c r="E134" s="51" t="str">
        <f>IFERROR(INDEX('[1]REP DISEÑO'!$G$9:$G$1508,MATCH(C134,'[1]REP DISEÑO'!$D$9:$D$1508,0)),"")</f>
        <v/>
      </c>
      <c r="F134" s="51" t="str">
        <f>IFERROR(INDEX('[1]REP DISEÑO'!$I$9:$I$1508,MATCH(C134,'[1]REP DISEÑO'!$D$9:$D$1508,0)),"")</f>
        <v/>
      </c>
      <c r="G134" s="51" t="str">
        <f>IFERROR(INDEX('[1]REP DISEÑO'!$M$9:$M$1508,MATCH(C134,'[1]REP DISEÑO'!$D$9:$D$1508,0)),"")</f>
        <v/>
      </c>
      <c r="H134" s="51" t="str">
        <f>IFERROR(INDEX('[1]REP DISEÑO'!$J$9:$J$1508,MATCH(C134,'[1]REP DISEÑO'!$D$9:$D$1508,0)),"")</f>
        <v/>
      </c>
      <c r="I134" s="52" t="str">
        <f>IFERROR(INDEX('[1]REP DISEÑO'!$C$9:$C$1508,MATCH(C134,'[1]REP DISEÑO'!$D$9:$D$1508,0)),"")</f>
        <v/>
      </c>
      <c r="J134" s="53" t="str">
        <f>IF(C134="","",IF(ISNUMBER(FIND("AMU",$C$14:$C$548)),1,(SUMIF('[1]REP PRODUCCIÓN'!$H$6:$H$1505,"*"&amp;C134&amp;"*",'[1]REP PRODUCCIÓN'!$E$6:$E$1505))))</f>
        <v/>
      </c>
      <c r="K134" s="53">
        <f t="shared" si="4"/>
        <v>0</v>
      </c>
      <c r="M134" s="54" t="str">
        <f>IFERROR(INDEX('[1]REP DISEÑO'!$BA$9:$BA$1008,MATCH('INDIC-DIS2'!C134,'[1]REP DISEÑO'!$D$9:$D$1008,0)),"")</f>
        <v/>
      </c>
      <c r="N134" s="55"/>
      <c r="O134" s="55"/>
      <c r="P134" s="55"/>
      <c r="R134" s="57" t="str">
        <f t="shared" si="5"/>
        <v/>
      </c>
    </row>
    <row r="135" spans="2:18" ht="26.25" customHeight="1" x14ac:dyDescent="0.25">
      <c r="B135" s="49">
        <f t="shared" si="3"/>
        <v>0</v>
      </c>
      <c r="C135" s="50" t="str">
        <f t="array" ref="C135">IFERROR(INDEX('[1]REP DISEÑO'!$D$9:$D$1008,SMALL(IF('[1]REP DISEÑO'!$AW$9:$AW$1008=$J$1,ROW('[1]REP DISEÑO'!$N$9:$N$1008)-ROW('[1]REP DISEÑO'!$N$9),""),ROWS(C$14:C135))+1),"")</f>
        <v/>
      </c>
      <c r="D135" s="51" t="str">
        <f>IFERROR(INDEX('[1]REP DISEÑO'!$N$9:$N$1508,MATCH(C135,'[1]REP DISEÑO'!$D$9:$D$1508,0)),"")</f>
        <v/>
      </c>
      <c r="E135" s="51" t="str">
        <f>IFERROR(INDEX('[1]REP DISEÑO'!$G$9:$G$1508,MATCH(C135,'[1]REP DISEÑO'!$D$9:$D$1508,0)),"")</f>
        <v/>
      </c>
      <c r="F135" s="51" t="str">
        <f>IFERROR(INDEX('[1]REP DISEÑO'!$I$9:$I$1508,MATCH(C135,'[1]REP DISEÑO'!$D$9:$D$1508,0)),"")</f>
        <v/>
      </c>
      <c r="G135" s="51" t="str">
        <f>IFERROR(INDEX('[1]REP DISEÑO'!$M$9:$M$1508,MATCH(C135,'[1]REP DISEÑO'!$D$9:$D$1508,0)),"")</f>
        <v/>
      </c>
      <c r="H135" s="51" t="str">
        <f>IFERROR(INDEX('[1]REP DISEÑO'!$J$9:$J$1508,MATCH(C135,'[1]REP DISEÑO'!$D$9:$D$1508,0)),"")</f>
        <v/>
      </c>
      <c r="I135" s="52" t="str">
        <f>IFERROR(INDEX('[1]REP DISEÑO'!$C$9:$C$1508,MATCH(C135,'[1]REP DISEÑO'!$D$9:$D$1508,0)),"")</f>
        <v/>
      </c>
      <c r="J135" s="53" t="str">
        <f>IF(C135="","",IF(ISNUMBER(FIND("AMU",$C$14:$C$548)),1,(SUMIF('[1]REP PRODUCCIÓN'!$H$6:$H$1505,"*"&amp;C135&amp;"*",'[1]REP PRODUCCIÓN'!$E$6:$E$1505))))</f>
        <v/>
      </c>
      <c r="K135" s="53">
        <f t="shared" si="4"/>
        <v>0</v>
      </c>
      <c r="M135" s="54" t="str">
        <f>IFERROR(INDEX('[1]REP DISEÑO'!$BA$9:$BA$1008,MATCH('INDIC-DIS2'!C135,'[1]REP DISEÑO'!$D$9:$D$1008,0)),"")</f>
        <v/>
      </c>
      <c r="N135" s="55"/>
      <c r="O135" s="55"/>
      <c r="P135" s="55"/>
      <c r="R135" s="57" t="str">
        <f t="shared" si="5"/>
        <v/>
      </c>
    </row>
    <row r="136" spans="2:18" ht="26.25" customHeight="1" x14ac:dyDescent="0.25">
      <c r="B136" s="49">
        <f t="shared" si="3"/>
        <v>0</v>
      </c>
      <c r="C136" s="50" t="str">
        <f t="array" ref="C136">IFERROR(INDEX('[1]REP DISEÑO'!$D$9:$D$1008,SMALL(IF('[1]REP DISEÑO'!$AW$9:$AW$1008=$J$1,ROW('[1]REP DISEÑO'!$N$9:$N$1008)-ROW('[1]REP DISEÑO'!$N$9),""),ROWS(C$14:C136))+1),"")</f>
        <v/>
      </c>
      <c r="D136" s="51" t="str">
        <f>IFERROR(INDEX('[1]REP DISEÑO'!$N$9:$N$1508,MATCH(C136,'[1]REP DISEÑO'!$D$9:$D$1508,0)),"")</f>
        <v/>
      </c>
      <c r="E136" s="51" t="str">
        <f>IFERROR(INDEX('[1]REP DISEÑO'!$G$9:$G$1508,MATCH(C136,'[1]REP DISEÑO'!$D$9:$D$1508,0)),"")</f>
        <v/>
      </c>
      <c r="F136" s="51" t="str">
        <f>IFERROR(INDEX('[1]REP DISEÑO'!$I$9:$I$1508,MATCH(C136,'[1]REP DISEÑO'!$D$9:$D$1508,0)),"")</f>
        <v/>
      </c>
      <c r="G136" s="51" t="str">
        <f>IFERROR(INDEX('[1]REP DISEÑO'!$M$9:$M$1508,MATCH(C136,'[1]REP DISEÑO'!$D$9:$D$1508,0)),"")</f>
        <v/>
      </c>
      <c r="H136" s="51" t="str">
        <f>IFERROR(INDEX('[1]REP DISEÑO'!$J$9:$J$1508,MATCH(C136,'[1]REP DISEÑO'!$D$9:$D$1508,0)),"")</f>
        <v/>
      </c>
      <c r="I136" s="52" t="str">
        <f>IFERROR(INDEX('[1]REP DISEÑO'!$C$9:$C$1508,MATCH(C136,'[1]REP DISEÑO'!$D$9:$D$1508,0)),"")</f>
        <v/>
      </c>
      <c r="J136" s="53" t="str">
        <f>IF(C136="","",IF(ISNUMBER(FIND("AMU",$C$14:$C$548)),1,(SUMIF('[1]REP PRODUCCIÓN'!$H$6:$H$1505,"*"&amp;C136&amp;"*",'[1]REP PRODUCCIÓN'!$E$6:$E$1505))))</f>
        <v/>
      </c>
      <c r="K136" s="53">
        <f t="shared" si="4"/>
        <v>0</v>
      </c>
      <c r="M136" s="54" t="str">
        <f>IFERROR(INDEX('[1]REP DISEÑO'!$BA$9:$BA$1008,MATCH('INDIC-DIS2'!C136,'[1]REP DISEÑO'!$D$9:$D$1008,0)),"")</f>
        <v/>
      </c>
      <c r="N136" s="55"/>
      <c r="O136" s="55"/>
      <c r="P136" s="55"/>
      <c r="R136" s="57" t="str">
        <f t="shared" si="5"/>
        <v/>
      </c>
    </row>
    <row r="137" spans="2:18" ht="26.25" customHeight="1" x14ac:dyDescent="0.25">
      <c r="B137" s="49">
        <f t="shared" si="3"/>
        <v>0</v>
      </c>
      <c r="C137" s="50" t="str">
        <f t="array" ref="C137">IFERROR(INDEX('[1]REP DISEÑO'!$D$9:$D$1008,SMALL(IF('[1]REP DISEÑO'!$AW$9:$AW$1008=$J$1,ROW('[1]REP DISEÑO'!$N$9:$N$1008)-ROW('[1]REP DISEÑO'!$N$9),""),ROWS(C$14:C137))+1),"")</f>
        <v/>
      </c>
      <c r="D137" s="51" t="str">
        <f>IFERROR(INDEX('[1]REP DISEÑO'!$N$9:$N$1508,MATCH(C137,'[1]REP DISEÑO'!$D$9:$D$1508,0)),"")</f>
        <v/>
      </c>
      <c r="E137" s="51" t="str">
        <f>IFERROR(INDEX('[1]REP DISEÑO'!$G$9:$G$1508,MATCH(C137,'[1]REP DISEÑO'!$D$9:$D$1508,0)),"")</f>
        <v/>
      </c>
      <c r="F137" s="51" t="str">
        <f>IFERROR(INDEX('[1]REP DISEÑO'!$I$9:$I$1508,MATCH(C137,'[1]REP DISEÑO'!$D$9:$D$1508,0)),"")</f>
        <v/>
      </c>
      <c r="G137" s="51" t="str">
        <f>IFERROR(INDEX('[1]REP DISEÑO'!$M$9:$M$1508,MATCH(C137,'[1]REP DISEÑO'!$D$9:$D$1508,0)),"")</f>
        <v/>
      </c>
      <c r="H137" s="51" t="str">
        <f>IFERROR(INDEX('[1]REP DISEÑO'!$J$9:$J$1508,MATCH(C137,'[1]REP DISEÑO'!$D$9:$D$1508,0)),"")</f>
        <v/>
      </c>
      <c r="I137" s="52" t="str">
        <f>IFERROR(INDEX('[1]REP DISEÑO'!$C$9:$C$1508,MATCH(C137,'[1]REP DISEÑO'!$D$9:$D$1508,0)),"")</f>
        <v/>
      </c>
      <c r="J137" s="53" t="str">
        <f>IF(C137="","",IF(ISNUMBER(FIND("AMU",$C$14:$C$548)),1,(SUMIF('[1]REP PRODUCCIÓN'!$H$6:$H$1505,"*"&amp;C137&amp;"*",'[1]REP PRODUCCIÓN'!$E$6:$E$1505))))</f>
        <v/>
      </c>
      <c r="K137" s="53">
        <f t="shared" si="4"/>
        <v>0</v>
      </c>
      <c r="M137" s="54" t="str">
        <f>IFERROR(INDEX('[1]REP DISEÑO'!$BA$9:$BA$1008,MATCH('INDIC-DIS2'!C137,'[1]REP DISEÑO'!$D$9:$D$1008,0)),"")</f>
        <v/>
      </c>
      <c r="N137" s="55"/>
      <c r="O137" s="55"/>
      <c r="P137" s="55"/>
      <c r="R137" s="57" t="str">
        <f t="shared" si="5"/>
        <v/>
      </c>
    </row>
    <row r="138" spans="2:18" ht="26.25" customHeight="1" x14ac:dyDescent="0.25">
      <c r="B138" s="49">
        <f t="shared" si="3"/>
        <v>0</v>
      </c>
      <c r="C138" s="50" t="str">
        <f t="array" ref="C138">IFERROR(INDEX('[1]REP DISEÑO'!$D$9:$D$1008,SMALL(IF('[1]REP DISEÑO'!$AW$9:$AW$1008=$J$1,ROW('[1]REP DISEÑO'!$N$9:$N$1008)-ROW('[1]REP DISEÑO'!$N$9),""),ROWS(C$14:C138))+1),"")</f>
        <v/>
      </c>
      <c r="D138" s="51" t="str">
        <f>IFERROR(INDEX('[1]REP DISEÑO'!$N$9:$N$1508,MATCH(C138,'[1]REP DISEÑO'!$D$9:$D$1508,0)),"")</f>
        <v/>
      </c>
      <c r="E138" s="51" t="str">
        <f>IFERROR(INDEX('[1]REP DISEÑO'!$G$9:$G$1508,MATCH(C138,'[1]REP DISEÑO'!$D$9:$D$1508,0)),"")</f>
        <v/>
      </c>
      <c r="F138" s="51" t="str">
        <f>IFERROR(INDEX('[1]REP DISEÑO'!$I$9:$I$1508,MATCH(C138,'[1]REP DISEÑO'!$D$9:$D$1508,0)),"")</f>
        <v/>
      </c>
      <c r="G138" s="51" t="str">
        <f>IFERROR(INDEX('[1]REP DISEÑO'!$M$9:$M$1508,MATCH(C138,'[1]REP DISEÑO'!$D$9:$D$1508,0)),"")</f>
        <v/>
      </c>
      <c r="H138" s="51" t="str">
        <f>IFERROR(INDEX('[1]REP DISEÑO'!$J$9:$J$1508,MATCH(C138,'[1]REP DISEÑO'!$D$9:$D$1508,0)),"")</f>
        <v/>
      </c>
      <c r="I138" s="52" t="str">
        <f>IFERROR(INDEX('[1]REP DISEÑO'!$C$9:$C$1508,MATCH(C138,'[1]REP DISEÑO'!$D$9:$D$1508,0)),"")</f>
        <v/>
      </c>
      <c r="J138" s="53" t="str">
        <f>IF(C138="","",IF(ISNUMBER(FIND("AMU",$C$14:$C$548)),1,(SUMIF('[1]REP PRODUCCIÓN'!$H$6:$H$1505,"*"&amp;C138&amp;"*",'[1]REP PRODUCCIÓN'!$E$6:$E$1505))))</f>
        <v/>
      </c>
      <c r="K138" s="53">
        <f t="shared" si="4"/>
        <v>0</v>
      </c>
      <c r="M138" s="54" t="str">
        <f>IFERROR(INDEX('[1]REP DISEÑO'!$BA$9:$BA$1008,MATCH('INDIC-DIS2'!C138,'[1]REP DISEÑO'!$D$9:$D$1008,0)),"")</f>
        <v/>
      </c>
      <c r="N138" s="55"/>
      <c r="O138" s="55"/>
      <c r="P138" s="55"/>
      <c r="R138" s="57" t="str">
        <f t="shared" si="5"/>
        <v/>
      </c>
    </row>
    <row r="139" spans="2:18" ht="26.25" customHeight="1" x14ac:dyDescent="0.25">
      <c r="B139" s="49">
        <f t="shared" si="3"/>
        <v>0</v>
      </c>
      <c r="C139" s="50" t="str">
        <f t="array" ref="C139">IFERROR(INDEX('[1]REP DISEÑO'!$D$9:$D$1008,SMALL(IF('[1]REP DISEÑO'!$AW$9:$AW$1008=$J$1,ROW('[1]REP DISEÑO'!$N$9:$N$1008)-ROW('[1]REP DISEÑO'!$N$9),""),ROWS(C$14:C139))+1),"")</f>
        <v/>
      </c>
      <c r="D139" s="51" t="str">
        <f>IFERROR(INDEX('[1]REP DISEÑO'!$N$9:$N$1508,MATCH(C139,'[1]REP DISEÑO'!$D$9:$D$1508,0)),"")</f>
        <v/>
      </c>
      <c r="E139" s="51" t="str">
        <f>IFERROR(INDEX('[1]REP DISEÑO'!$G$9:$G$1508,MATCH(C139,'[1]REP DISEÑO'!$D$9:$D$1508,0)),"")</f>
        <v/>
      </c>
      <c r="F139" s="51" t="str">
        <f>IFERROR(INDEX('[1]REP DISEÑO'!$I$9:$I$1508,MATCH(C139,'[1]REP DISEÑO'!$D$9:$D$1508,0)),"")</f>
        <v/>
      </c>
      <c r="G139" s="51" t="str">
        <f>IFERROR(INDEX('[1]REP DISEÑO'!$M$9:$M$1508,MATCH(C139,'[1]REP DISEÑO'!$D$9:$D$1508,0)),"")</f>
        <v/>
      </c>
      <c r="H139" s="51" t="str">
        <f>IFERROR(INDEX('[1]REP DISEÑO'!$J$9:$J$1508,MATCH(C139,'[1]REP DISEÑO'!$D$9:$D$1508,0)),"")</f>
        <v/>
      </c>
      <c r="I139" s="52" t="str">
        <f>IFERROR(INDEX('[1]REP DISEÑO'!$C$9:$C$1508,MATCH(C139,'[1]REP DISEÑO'!$D$9:$D$1508,0)),"")</f>
        <v/>
      </c>
      <c r="J139" s="53" t="str">
        <f>IF(C139="","",IF(ISNUMBER(FIND("AMU",$C$14:$C$548)),1,(SUMIF('[1]REP PRODUCCIÓN'!$H$6:$H$1505,"*"&amp;C139&amp;"*",'[1]REP PRODUCCIÓN'!$E$6:$E$1505))))</f>
        <v/>
      </c>
      <c r="K139" s="53">
        <f t="shared" si="4"/>
        <v>0</v>
      </c>
      <c r="M139" s="54" t="str">
        <f>IFERROR(INDEX('[1]REP DISEÑO'!$BA$9:$BA$1008,MATCH('INDIC-DIS2'!C139,'[1]REP DISEÑO'!$D$9:$D$1008,0)),"")</f>
        <v/>
      </c>
      <c r="N139" s="55"/>
      <c r="O139" s="55"/>
      <c r="P139" s="55"/>
      <c r="R139" s="57" t="str">
        <f t="shared" si="5"/>
        <v/>
      </c>
    </row>
    <row r="140" spans="2:18" ht="26.25" customHeight="1" x14ac:dyDescent="0.25">
      <c r="B140" s="49">
        <f t="shared" si="3"/>
        <v>0</v>
      </c>
      <c r="C140" s="50" t="str">
        <f t="array" ref="C140">IFERROR(INDEX('[1]REP DISEÑO'!$D$9:$D$1008,SMALL(IF('[1]REP DISEÑO'!$AW$9:$AW$1008=$J$1,ROW('[1]REP DISEÑO'!$N$9:$N$1008)-ROW('[1]REP DISEÑO'!$N$9),""),ROWS(C$14:C140))+1),"")</f>
        <v/>
      </c>
      <c r="D140" s="51" t="str">
        <f>IFERROR(INDEX('[1]REP DISEÑO'!$N$9:$N$1508,MATCH(C140,'[1]REP DISEÑO'!$D$9:$D$1508,0)),"")</f>
        <v/>
      </c>
      <c r="E140" s="51" t="str">
        <f>IFERROR(INDEX('[1]REP DISEÑO'!$G$9:$G$1508,MATCH(C140,'[1]REP DISEÑO'!$D$9:$D$1508,0)),"")</f>
        <v/>
      </c>
      <c r="F140" s="51" t="str">
        <f>IFERROR(INDEX('[1]REP DISEÑO'!$I$9:$I$1508,MATCH(C140,'[1]REP DISEÑO'!$D$9:$D$1508,0)),"")</f>
        <v/>
      </c>
      <c r="G140" s="51" t="str">
        <f>IFERROR(INDEX('[1]REP DISEÑO'!$M$9:$M$1508,MATCH(C140,'[1]REP DISEÑO'!$D$9:$D$1508,0)),"")</f>
        <v/>
      </c>
      <c r="H140" s="51" t="str">
        <f>IFERROR(INDEX('[1]REP DISEÑO'!$J$9:$J$1508,MATCH(C140,'[1]REP DISEÑO'!$D$9:$D$1508,0)),"")</f>
        <v/>
      </c>
      <c r="I140" s="52" t="str">
        <f>IFERROR(INDEX('[1]REP DISEÑO'!$C$9:$C$1508,MATCH(C140,'[1]REP DISEÑO'!$D$9:$D$1508,0)),"")</f>
        <v/>
      </c>
      <c r="J140" s="53" t="str">
        <f>IF(C140="","",IF(ISNUMBER(FIND("AMU",$C$14:$C$548)),1,(SUMIF('[1]REP PRODUCCIÓN'!$H$6:$H$1505,"*"&amp;C140&amp;"*",'[1]REP PRODUCCIÓN'!$E$6:$E$1505))))</f>
        <v/>
      </c>
      <c r="K140" s="53">
        <f t="shared" si="4"/>
        <v>0</v>
      </c>
      <c r="M140" s="54" t="str">
        <f>IFERROR(INDEX('[1]REP DISEÑO'!$BA$9:$BA$1008,MATCH('INDIC-DIS2'!C140,'[1]REP DISEÑO'!$D$9:$D$1008,0)),"")</f>
        <v/>
      </c>
      <c r="N140" s="55"/>
      <c r="O140" s="55"/>
      <c r="P140" s="55"/>
      <c r="R140" s="57" t="str">
        <f t="shared" si="5"/>
        <v/>
      </c>
    </row>
    <row r="141" spans="2:18" ht="26.25" customHeight="1" x14ac:dyDescent="0.25">
      <c r="B141" s="49">
        <f t="shared" si="3"/>
        <v>0</v>
      </c>
      <c r="C141" s="50" t="str">
        <f t="array" ref="C141">IFERROR(INDEX('[1]REP DISEÑO'!$D$9:$D$1008,SMALL(IF('[1]REP DISEÑO'!$AW$9:$AW$1008=$J$1,ROW('[1]REP DISEÑO'!$N$9:$N$1008)-ROW('[1]REP DISEÑO'!$N$9),""),ROWS(C$14:C141))+1),"")</f>
        <v/>
      </c>
      <c r="D141" s="51" t="str">
        <f>IFERROR(INDEX('[1]REP DISEÑO'!$N$9:$N$1508,MATCH(C141,'[1]REP DISEÑO'!$D$9:$D$1508,0)),"")</f>
        <v/>
      </c>
      <c r="E141" s="51" t="str">
        <f>IFERROR(INDEX('[1]REP DISEÑO'!$G$9:$G$1508,MATCH(C141,'[1]REP DISEÑO'!$D$9:$D$1508,0)),"")</f>
        <v/>
      </c>
      <c r="F141" s="51" t="str">
        <f>IFERROR(INDEX('[1]REP DISEÑO'!$I$9:$I$1508,MATCH(C141,'[1]REP DISEÑO'!$D$9:$D$1508,0)),"")</f>
        <v/>
      </c>
      <c r="G141" s="51" t="str">
        <f>IFERROR(INDEX('[1]REP DISEÑO'!$M$9:$M$1508,MATCH(C141,'[1]REP DISEÑO'!$D$9:$D$1508,0)),"")</f>
        <v/>
      </c>
      <c r="H141" s="51" t="str">
        <f>IFERROR(INDEX('[1]REP DISEÑO'!$J$9:$J$1508,MATCH(C141,'[1]REP DISEÑO'!$D$9:$D$1508,0)),"")</f>
        <v/>
      </c>
      <c r="I141" s="52" t="str">
        <f>IFERROR(INDEX('[1]REP DISEÑO'!$C$9:$C$1508,MATCH(C141,'[1]REP DISEÑO'!$D$9:$D$1508,0)),"")</f>
        <v/>
      </c>
      <c r="J141" s="53" t="str">
        <f>IF(C141="","",IF(ISNUMBER(FIND("AMU",$C$14:$C$548)),1,(SUMIF('[1]REP PRODUCCIÓN'!$H$6:$H$1505,"*"&amp;C141&amp;"*",'[1]REP PRODUCCIÓN'!$E$6:$E$1505))))</f>
        <v/>
      </c>
      <c r="K141" s="53">
        <f t="shared" si="4"/>
        <v>0</v>
      </c>
      <c r="M141" s="54" t="str">
        <f>IFERROR(INDEX('[1]REP DISEÑO'!$BA$9:$BA$1008,MATCH('INDIC-DIS2'!C141,'[1]REP DISEÑO'!$D$9:$D$1008,0)),"")</f>
        <v/>
      </c>
      <c r="N141" s="55"/>
      <c r="O141" s="55"/>
      <c r="P141" s="55"/>
      <c r="R141" s="57" t="str">
        <f t="shared" si="5"/>
        <v/>
      </c>
    </row>
    <row r="142" spans="2:18" ht="26.25" customHeight="1" x14ac:dyDescent="0.25">
      <c r="B142" s="49">
        <f t="shared" si="3"/>
        <v>0</v>
      </c>
      <c r="C142" s="50" t="str">
        <f t="array" ref="C142">IFERROR(INDEX('[1]REP DISEÑO'!$D$9:$D$1008,SMALL(IF('[1]REP DISEÑO'!$AW$9:$AW$1008=$J$1,ROW('[1]REP DISEÑO'!$N$9:$N$1008)-ROW('[1]REP DISEÑO'!$N$9),""),ROWS(C$14:C142))+1),"")</f>
        <v/>
      </c>
      <c r="D142" s="51" t="str">
        <f>IFERROR(INDEX('[1]REP DISEÑO'!$N$9:$N$1508,MATCH(C142,'[1]REP DISEÑO'!$D$9:$D$1508,0)),"")</f>
        <v/>
      </c>
      <c r="E142" s="51" t="str">
        <f>IFERROR(INDEX('[1]REP DISEÑO'!$G$9:$G$1508,MATCH(C142,'[1]REP DISEÑO'!$D$9:$D$1508,0)),"")</f>
        <v/>
      </c>
      <c r="F142" s="51" t="str">
        <f>IFERROR(INDEX('[1]REP DISEÑO'!$I$9:$I$1508,MATCH(C142,'[1]REP DISEÑO'!$D$9:$D$1508,0)),"")</f>
        <v/>
      </c>
      <c r="G142" s="51" t="str">
        <f>IFERROR(INDEX('[1]REP DISEÑO'!$M$9:$M$1508,MATCH(C142,'[1]REP DISEÑO'!$D$9:$D$1508,0)),"")</f>
        <v/>
      </c>
      <c r="H142" s="51" t="str">
        <f>IFERROR(INDEX('[1]REP DISEÑO'!$J$9:$J$1508,MATCH(C142,'[1]REP DISEÑO'!$D$9:$D$1508,0)),"")</f>
        <v/>
      </c>
      <c r="I142" s="52" t="str">
        <f>IFERROR(INDEX('[1]REP DISEÑO'!$C$9:$C$1508,MATCH(C142,'[1]REP DISEÑO'!$D$9:$D$1508,0)),"")</f>
        <v/>
      </c>
      <c r="J142" s="53" t="str">
        <f>IF(C142="","",IF(ISNUMBER(FIND("AMU",$C$14:$C$548)),1,(SUMIF('[1]REP PRODUCCIÓN'!$H$6:$H$1505,"*"&amp;C142&amp;"*",'[1]REP PRODUCCIÓN'!$E$6:$E$1505))))</f>
        <v/>
      </c>
      <c r="K142" s="53">
        <f t="shared" si="4"/>
        <v>0</v>
      </c>
      <c r="M142" s="54" t="str">
        <f>IFERROR(INDEX('[1]REP DISEÑO'!$BA$9:$BA$1008,MATCH('INDIC-DIS2'!C142,'[1]REP DISEÑO'!$D$9:$D$1008,0)),"")</f>
        <v/>
      </c>
      <c r="N142" s="55"/>
      <c r="O142" s="55"/>
      <c r="P142" s="55"/>
      <c r="R142" s="57" t="str">
        <f t="shared" si="5"/>
        <v/>
      </c>
    </row>
    <row r="143" spans="2:18" ht="26.25" customHeight="1" x14ac:dyDescent="0.25">
      <c r="B143" s="49">
        <f t="shared" ref="B143:B206" si="6">IF(J143="",0,IF(OR(J143&gt;0,ISNUMBER(FIND("AMU",$C$14:$C$548))),1,0))</f>
        <v>0</v>
      </c>
      <c r="C143" s="50" t="str">
        <f t="array" ref="C143">IFERROR(INDEX('[1]REP DISEÑO'!$D$9:$D$1008,SMALL(IF('[1]REP DISEÑO'!$AW$9:$AW$1008=$J$1,ROW('[1]REP DISEÑO'!$N$9:$N$1008)-ROW('[1]REP DISEÑO'!$N$9),""),ROWS(C$14:C143))+1),"")</f>
        <v/>
      </c>
      <c r="D143" s="51" t="str">
        <f>IFERROR(INDEX('[1]REP DISEÑO'!$N$9:$N$1508,MATCH(C143,'[1]REP DISEÑO'!$D$9:$D$1508,0)),"")</f>
        <v/>
      </c>
      <c r="E143" s="51" t="str">
        <f>IFERROR(INDEX('[1]REP DISEÑO'!$G$9:$G$1508,MATCH(C143,'[1]REP DISEÑO'!$D$9:$D$1508,0)),"")</f>
        <v/>
      </c>
      <c r="F143" s="51" t="str">
        <f>IFERROR(INDEX('[1]REP DISEÑO'!$I$9:$I$1508,MATCH(C143,'[1]REP DISEÑO'!$D$9:$D$1508,0)),"")</f>
        <v/>
      </c>
      <c r="G143" s="51" t="str">
        <f>IFERROR(INDEX('[1]REP DISEÑO'!$M$9:$M$1508,MATCH(C143,'[1]REP DISEÑO'!$D$9:$D$1508,0)),"")</f>
        <v/>
      </c>
      <c r="H143" s="51" t="str">
        <f>IFERROR(INDEX('[1]REP DISEÑO'!$J$9:$J$1508,MATCH(C143,'[1]REP DISEÑO'!$D$9:$D$1508,0)),"")</f>
        <v/>
      </c>
      <c r="I143" s="52" t="str">
        <f>IFERROR(INDEX('[1]REP DISEÑO'!$C$9:$C$1508,MATCH(C143,'[1]REP DISEÑO'!$D$9:$D$1508,0)),"")</f>
        <v/>
      </c>
      <c r="J143" s="53" t="str">
        <f>IF(C143="","",IF(ISNUMBER(FIND("AMU",$C$14:$C$548)),1,(SUMIF('[1]REP PRODUCCIÓN'!$H$6:$H$1505,"*"&amp;C143&amp;"*",'[1]REP PRODUCCIÓN'!$E$6:$E$1505))))</f>
        <v/>
      </c>
      <c r="K143" s="53">
        <f t="shared" ref="K143:K206" si="7">IF(B143=1,"OK",0)</f>
        <v>0</v>
      </c>
      <c r="M143" s="54" t="str">
        <f>IFERROR(INDEX('[1]REP DISEÑO'!$BA$9:$BA$1008,MATCH('INDIC-DIS2'!C143,'[1]REP DISEÑO'!$D$9:$D$1008,0)),"")</f>
        <v/>
      </c>
      <c r="N143" s="55"/>
      <c r="O143" s="55"/>
      <c r="P143" s="55"/>
      <c r="R143" s="57" t="str">
        <f t="shared" ref="R143:R206" si="8">IF(M143="","",1)</f>
        <v/>
      </c>
    </row>
    <row r="144" spans="2:18" ht="26.25" customHeight="1" x14ac:dyDescent="0.25">
      <c r="B144" s="49">
        <f t="shared" si="6"/>
        <v>0</v>
      </c>
      <c r="C144" s="50" t="str">
        <f t="array" ref="C144">IFERROR(INDEX('[1]REP DISEÑO'!$D$9:$D$1008,SMALL(IF('[1]REP DISEÑO'!$AW$9:$AW$1008=$J$1,ROW('[1]REP DISEÑO'!$N$9:$N$1008)-ROW('[1]REP DISEÑO'!$N$9),""),ROWS(C$14:C144))+1),"")</f>
        <v/>
      </c>
      <c r="D144" s="51" t="str">
        <f>IFERROR(INDEX('[1]REP DISEÑO'!$N$9:$N$1508,MATCH(C144,'[1]REP DISEÑO'!$D$9:$D$1508,0)),"")</f>
        <v/>
      </c>
      <c r="E144" s="51" t="str">
        <f>IFERROR(INDEX('[1]REP DISEÑO'!$G$9:$G$1508,MATCH(C144,'[1]REP DISEÑO'!$D$9:$D$1508,0)),"")</f>
        <v/>
      </c>
      <c r="F144" s="51" t="str">
        <f>IFERROR(INDEX('[1]REP DISEÑO'!$I$9:$I$1508,MATCH(C144,'[1]REP DISEÑO'!$D$9:$D$1508,0)),"")</f>
        <v/>
      </c>
      <c r="G144" s="51" t="str">
        <f>IFERROR(INDEX('[1]REP DISEÑO'!$M$9:$M$1508,MATCH(C144,'[1]REP DISEÑO'!$D$9:$D$1508,0)),"")</f>
        <v/>
      </c>
      <c r="H144" s="51" t="str">
        <f>IFERROR(INDEX('[1]REP DISEÑO'!$J$9:$J$1508,MATCH(C144,'[1]REP DISEÑO'!$D$9:$D$1508,0)),"")</f>
        <v/>
      </c>
      <c r="I144" s="52" t="str">
        <f>IFERROR(INDEX('[1]REP DISEÑO'!$C$9:$C$1508,MATCH(C144,'[1]REP DISEÑO'!$D$9:$D$1508,0)),"")</f>
        <v/>
      </c>
      <c r="J144" s="53" t="str">
        <f>IF(C144="","",IF(ISNUMBER(FIND("AMU",$C$14:$C$548)),1,(SUMIF('[1]REP PRODUCCIÓN'!$H$6:$H$1505,"*"&amp;C144&amp;"*",'[1]REP PRODUCCIÓN'!$E$6:$E$1505))))</f>
        <v/>
      </c>
      <c r="K144" s="53">
        <f t="shared" si="7"/>
        <v>0</v>
      </c>
      <c r="M144" s="54" t="str">
        <f>IFERROR(INDEX('[1]REP DISEÑO'!$BA$9:$BA$1008,MATCH('INDIC-DIS2'!C144,'[1]REP DISEÑO'!$D$9:$D$1008,0)),"")</f>
        <v/>
      </c>
      <c r="N144" s="55"/>
      <c r="O144" s="55"/>
      <c r="P144" s="55"/>
      <c r="R144" s="57" t="str">
        <f t="shared" si="8"/>
        <v/>
      </c>
    </row>
    <row r="145" spans="2:18" ht="26.25" customHeight="1" x14ac:dyDescent="0.25">
      <c r="B145" s="49">
        <f t="shared" si="6"/>
        <v>0</v>
      </c>
      <c r="C145" s="50" t="str">
        <f t="array" ref="C145">IFERROR(INDEX('[1]REP DISEÑO'!$D$9:$D$1008,SMALL(IF('[1]REP DISEÑO'!$AW$9:$AW$1008=$J$1,ROW('[1]REP DISEÑO'!$N$9:$N$1008)-ROW('[1]REP DISEÑO'!$N$9),""),ROWS(C$14:C145))+1),"")</f>
        <v/>
      </c>
      <c r="D145" s="51" t="str">
        <f>IFERROR(INDEX('[1]REP DISEÑO'!$N$9:$N$1508,MATCH(C145,'[1]REP DISEÑO'!$D$9:$D$1508,0)),"")</f>
        <v/>
      </c>
      <c r="E145" s="51" t="str">
        <f>IFERROR(INDEX('[1]REP DISEÑO'!$G$9:$G$1508,MATCH(C145,'[1]REP DISEÑO'!$D$9:$D$1508,0)),"")</f>
        <v/>
      </c>
      <c r="F145" s="51" t="str">
        <f>IFERROR(INDEX('[1]REP DISEÑO'!$I$9:$I$1508,MATCH(C145,'[1]REP DISEÑO'!$D$9:$D$1508,0)),"")</f>
        <v/>
      </c>
      <c r="G145" s="51" t="str">
        <f>IFERROR(INDEX('[1]REP DISEÑO'!$M$9:$M$1508,MATCH(C145,'[1]REP DISEÑO'!$D$9:$D$1508,0)),"")</f>
        <v/>
      </c>
      <c r="H145" s="51" t="str">
        <f>IFERROR(INDEX('[1]REP DISEÑO'!$J$9:$J$1508,MATCH(C145,'[1]REP DISEÑO'!$D$9:$D$1508,0)),"")</f>
        <v/>
      </c>
      <c r="I145" s="52" t="str">
        <f>IFERROR(INDEX('[1]REP DISEÑO'!$C$9:$C$1508,MATCH(C145,'[1]REP DISEÑO'!$D$9:$D$1508,0)),"")</f>
        <v/>
      </c>
      <c r="J145" s="53" t="str">
        <f>IF(C145="","",IF(ISNUMBER(FIND("AMU",$C$14:$C$548)),1,(SUMIF('[1]REP PRODUCCIÓN'!$H$6:$H$1505,"*"&amp;C145&amp;"*",'[1]REP PRODUCCIÓN'!$E$6:$E$1505))))</f>
        <v/>
      </c>
      <c r="K145" s="53">
        <f t="shared" si="7"/>
        <v>0</v>
      </c>
      <c r="M145" s="54" t="str">
        <f>IFERROR(INDEX('[1]REP DISEÑO'!$BA$9:$BA$1008,MATCH('INDIC-DIS2'!C145,'[1]REP DISEÑO'!$D$9:$D$1008,0)),"")</f>
        <v/>
      </c>
      <c r="N145" s="55"/>
      <c r="O145" s="55"/>
      <c r="P145" s="55"/>
      <c r="R145" s="57" t="str">
        <f t="shared" si="8"/>
        <v/>
      </c>
    </row>
    <row r="146" spans="2:18" ht="26.25" customHeight="1" x14ac:dyDescent="0.25">
      <c r="B146" s="49">
        <f t="shared" si="6"/>
        <v>0</v>
      </c>
      <c r="C146" s="50" t="str">
        <f t="array" ref="C146">IFERROR(INDEX('[1]REP DISEÑO'!$D$9:$D$1008,SMALL(IF('[1]REP DISEÑO'!$AW$9:$AW$1008=$J$1,ROW('[1]REP DISEÑO'!$N$9:$N$1008)-ROW('[1]REP DISEÑO'!$N$9),""),ROWS(C$14:C146))+1),"")</f>
        <v/>
      </c>
      <c r="D146" s="51" t="str">
        <f>IFERROR(INDEX('[1]REP DISEÑO'!$N$9:$N$1508,MATCH(C146,'[1]REP DISEÑO'!$D$9:$D$1508,0)),"")</f>
        <v/>
      </c>
      <c r="E146" s="51" t="str">
        <f>IFERROR(INDEX('[1]REP DISEÑO'!$G$9:$G$1508,MATCH(C146,'[1]REP DISEÑO'!$D$9:$D$1508,0)),"")</f>
        <v/>
      </c>
      <c r="F146" s="51" t="str">
        <f>IFERROR(INDEX('[1]REP DISEÑO'!$I$9:$I$1508,MATCH(C146,'[1]REP DISEÑO'!$D$9:$D$1508,0)),"")</f>
        <v/>
      </c>
      <c r="G146" s="51" t="str">
        <f>IFERROR(INDEX('[1]REP DISEÑO'!$M$9:$M$1508,MATCH(C146,'[1]REP DISEÑO'!$D$9:$D$1508,0)),"")</f>
        <v/>
      </c>
      <c r="H146" s="51" t="str">
        <f>IFERROR(INDEX('[1]REP DISEÑO'!$J$9:$J$1508,MATCH(C146,'[1]REP DISEÑO'!$D$9:$D$1508,0)),"")</f>
        <v/>
      </c>
      <c r="I146" s="52" t="str">
        <f>IFERROR(INDEX('[1]REP DISEÑO'!$C$9:$C$1508,MATCH(C146,'[1]REP DISEÑO'!$D$9:$D$1508,0)),"")</f>
        <v/>
      </c>
      <c r="J146" s="53" t="str">
        <f>IF(C146="","",IF(ISNUMBER(FIND("AMU",$C$14:$C$548)),1,(SUMIF('[1]REP PRODUCCIÓN'!$H$6:$H$1505,"*"&amp;C146&amp;"*",'[1]REP PRODUCCIÓN'!$E$6:$E$1505))))</f>
        <v/>
      </c>
      <c r="K146" s="53">
        <f t="shared" si="7"/>
        <v>0</v>
      </c>
      <c r="M146" s="54" t="str">
        <f>IFERROR(INDEX('[1]REP DISEÑO'!$BA$9:$BA$1008,MATCH('INDIC-DIS2'!C146,'[1]REP DISEÑO'!$D$9:$D$1008,0)),"")</f>
        <v/>
      </c>
      <c r="N146" s="55"/>
      <c r="O146" s="55"/>
      <c r="P146" s="55"/>
      <c r="R146" s="57" t="str">
        <f t="shared" si="8"/>
        <v/>
      </c>
    </row>
    <row r="147" spans="2:18" ht="26.25" customHeight="1" x14ac:dyDescent="0.25">
      <c r="B147" s="49">
        <f t="shared" si="6"/>
        <v>0</v>
      </c>
      <c r="C147" s="50" t="str">
        <f t="array" ref="C147">IFERROR(INDEX('[1]REP DISEÑO'!$D$9:$D$1008,SMALL(IF('[1]REP DISEÑO'!$AW$9:$AW$1008=$J$1,ROW('[1]REP DISEÑO'!$N$9:$N$1008)-ROW('[1]REP DISEÑO'!$N$9),""),ROWS(C$14:C147))+1),"")</f>
        <v/>
      </c>
      <c r="D147" s="51" t="str">
        <f>IFERROR(INDEX('[1]REP DISEÑO'!$N$9:$N$1508,MATCH(C147,'[1]REP DISEÑO'!$D$9:$D$1508,0)),"")</f>
        <v/>
      </c>
      <c r="E147" s="51" t="str">
        <f>IFERROR(INDEX('[1]REP DISEÑO'!$G$9:$G$1508,MATCH(C147,'[1]REP DISEÑO'!$D$9:$D$1508,0)),"")</f>
        <v/>
      </c>
      <c r="F147" s="51" t="str">
        <f>IFERROR(INDEX('[1]REP DISEÑO'!$I$9:$I$1508,MATCH(C147,'[1]REP DISEÑO'!$D$9:$D$1508,0)),"")</f>
        <v/>
      </c>
      <c r="G147" s="51" t="str">
        <f>IFERROR(INDEX('[1]REP DISEÑO'!$M$9:$M$1508,MATCH(C147,'[1]REP DISEÑO'!$D$9:$D$1508,0)),"")</f>
        <v/>
      </c>
      <c r="H147" s="51" t="str">
        <f>IFERROR(INDEX('[1]REP DISEÑO'!$J$9:$J$1508,MATCH(C147,'[1]REP DISEÑO'!$D$9:$D$1508,0)),"")</f>
        <v/>
      </c>
      <c r="I147" s="52" t="str">
        <f>IFERROR(INDEX('[1]REP DISEÑO'!$C$9:$C$1508,MATCH(C147,'[1]REP DISEÑO'!$D$9:$D$1508,0)),"")</f>
        <v/>
      </c>
      <c r="J147" s="53" t="str">
        <f>IF(C147="","",IF(ISNUMBER(FIND("AMU",$C$14:$C$548)),1,(SUMIF('[1]REP PRODUCCIÓN'!$H$6:$H$1505,"*"&amp;C147&amp;"*",'[1]REP PRODUCCIÓN'!$E$6:$E$1505))))</f>
        <v/>
      </c>
      <c r="K147" s="53">
        <f t="shared" si="7"/>
        <v>0</v>
      </c>
      <c r="M147" s="54" t="str">
        <f>IFERROR(INDEX('[1]REP DISEÑO'!$BA$9:$BA$1008,MATCH('INDIC-DIS2'!C147,'[1]REP DISEÑO'!$D$9:$D$1008,0)),"")</f>
        <v/>
      </c>
      <c r="N147" s="55"/>
      <c r="O147" s="55"/>
      <c r="P147" s="55"/>
      <c r="R147" s="57" t="str">
        <f t="shared" si="8"/>
        <v/>
      </c>
    </row>
    <row r="148" spans="2:18" ht="26.25" customHeight="1" x14ac:dyDescent="0.25">
      <c r="B148" s="49">
        <f t="shared" si="6"/>
        <v>0</v>
      </c>
      <c r="C148" s="50" t="str">
        <f t="array" ref="C148">IFERROR(INDEX('[1]REP DISEÑO'!$D$9:$D$1008,SMALL(IF('[1]REP DISEÑO'!$AW$9:$AW$1008=$J$1,ROW('[1]REP DISEÑO'!$N$9:$N$1008)-ROW('[1]REP DISEÑO'!$N$9),""),ROWS(C$14:C148))+1),"")</f>
        <v/>
      </c>
      <c r="D148" s="51" t="str">
        <f>IFERROR(INDEX('[1]REP DISEÑO'!$N$9:$N$1508,MATCH(C148,'[1]REP DISEÑO'!$D$9:$D$1508,0)),"")</f>
        <v/>
      </c>
      <c r="E148" s="51" t="str">
        <f>IFERROR(INDEX('[1]REP DISEÑO'!$G$9:$G$1508,MATCH(C148,'[1]REP DISEÑO'!$D$9:$D$1508,0)),"")</f>
        <v/>
      </c>
      <c r="F148" s="51" t="str">
        <f>IFERROR(INDEX('[1]REP DISEÑO'!$I$9:$I$1508,MATCH(C148,'[1]REP DISEÑO'!$D$9:$D$1508,0)),"")</f>
        <v/>
      </c>
      <c r="G148" s="51" t="str">
        <f>IFERROR(INDEX('[1]REP DISEÑO'!$M$9:$M$1508,MATCH(C148,'[1]REP DISEÑO'!$D$9:$D$1508,0)),"")</f>
        <v/>
      </c>
      <c r="H148" s="51" t="str">
        <f>IFERROR(INDEX('[1]REP DISEÑO'!$J$9:$J$1508,MATCH(C148,'[1]REP DISEÑO'!$D$9:$D$1508,0)),"")</f>
        <v/>
      </c>
      <c r="I148" s="52" t="str">
        <f>IFERROR(INDEX('[1]REP DISEÑO'!$C$9:$C$1508,MATCH(C148,'[1]REP DISEÑO'!$D$9:$D$1508,0)),"")</f>
        <v/>
      </c>
      <c r="J148" s="53" t="str">
        <f>IF(C148="","",IF(ISNUMBER(FIND("AMU",$C$14:$C$548)),1,(SUMIF('[1]REP PRODUCCIÓN'!$H$6:$H$1505,"*"&amp;C148&amp;"*",'[1]REP PRODUCCIÓN'!$E$6:$E$1505))))</f>
        <v/>
      </c>
      <c r="K148" s="53">
        <f t="shared" si="7"/>
        <v>0</v>
      </c>
      <c r="M148" s="54" t="str">
        <f>IFERROR(INDEX('[1]REP DISEÑO'!$BA$9:$BA$1008,MATCH('INDIC-DIS2'!C148,'[1]REP DISEÑO'!$D$9:$D$1008,0)),"")</f>
        <v/>
      </c>
      <c r="N148" s="55"/>
      <c r="O148" s="55"/>
      <c r="P148" s="55"/>
      <c r="R148" s="57" t="str">
        <f t="shared" si="8"/>
        <v/>
      </c>
    </row>
    <row r="149" spans="2:18" ht="26.25" customHeight="1" x14ac:dyDescent="0.25">
      <c r="B149" s="49">
        <f t="shared" si="6"/>
        <v>0</v>
      </c>
      <c r="C149" s="50" t="str">
        <f t="array" ref="C149">IFERROR(INDEX('[1]REP DISEÑO'!$D$9:$D$1008,SMALL(IF('[1]REP DISEÑO'!$AW$9:$AW$1008=$J$1,ROW('[1]REP DISEÑO'!$N$9:$N$1008)-ROW('[1]REP DISEÑO'!$N$9),""),ROWS(C$14:C149))+1),"")</f>
        <v/>
      </c>
      <c r="D149" s="51" t="str">
        <f>IFERROR(INDEX('[1]REP DISEÑO'!$N$9:$N$1508,MATCH(C149,'[1]REP DISEÑO'!$D$9:$D$1508,0)),"")</f>
        <v/>
      </c>
      <c r="E149" s="51" t="str">
        <f>IFERROR(INDEX('[1]REP DISEÑO'!$G$9:$G$1508,MATCH(C149,'[1]REP DISEÑO'!$D$9:$D$1508,0)),"")</f>
        <v/>
      </c>
      <c r="F149" s="51" t="str">
        <f>IFERROR(INDEX('[1]REP DISEÑO'!$I$9:$I$1508,MATCH(C149,'[1]REP DISEÑO'!$D$9:$D$1508,0)),"")</f>
        <v/>
      </c>
      <c r="G149" s="51" t="str">
        <f>IFERROR(INDEX('[1]REP DISEÑO'!$M$9:$M$1508,MATCH(C149,'[1]REP DISEÑO'!$D$9:$D$1508,0)),"")</f>
        <v/>
      </c>
      <c r="H149" s="51" t="str">
        <f>IFERROR(INDEX('[1]REP DISEÑO'!$J$9:$J$1508,MATCH(C149,'[1]REP DISEÑO'!$D$9:$D$1508,0)),"")</f>
        <v/>
      </c>
      <c r="I149" s="52" t="str">
        <f>IFERROR(INDEX('[1]REP DISEÑO'!$C$9:$C$1508,MATCH(C149,'[1]REP DISEÑO'!$D$9:$D$1508,0)),"")</f>
        <v/>
      </c>
      <c r="J149" s="53" t="str">
        <f>IF(C149="","",IF(ISNUMBER(FIND("AMU",$C$14:$C$548)),1,(SUMIF('[1]REP PRODUCCIÓN'!$H$6:$H$1505,"*"&amp;C149&amp;"*",'[1]REP PRODUCCIÓN'!$E$6:$E$1505))))</f>
        <v/>
      </c>
      <c r="K149" s="53">
        <f t="shared" si="7"/>
        <v>0</v>
      </c>
      <c r="M149" s="54" t="str">
        <f>IFERROR(INDEX('[1]REP DISEÑO'!$BA$9:$BA$1008,MATCH('INDIC-DIS2'!C149,'[1]REP DISEÑO'!$D$9:$D$1008,0)),"")</f>
        <v/>
      </c>
      <c r="N149" s="55"/>
      <c r="O149" s="55"/>
      <c r="P149" s="55"/>
      <c r="R149" s="57" t="str">
        <f t="shared" si="8"/>
        <v/>
      </c>
    </row>
    <row r="150" spans="2:18" ht="26.25" customHeight="1" x14ac:dyDescent="0.25">
      <c r="B150" s="49">
        <f t="shared" si="6"/>
        <v>0</v>
      </c>
      <c r="C150" s="50" t="str">
        <f t="array" ref="C150">IFERROR(INDEX('[1]REP DISEÑO'!$D$9:$D$1008,SMALL(IF('[1]REP DISEÑO'!$AW$9:$AW$1008=$J$1,ROW('[1]REP DISEÑO'!$N$9:$N$1008)-ROW('[1]REP DISEÑO'!$N$9),""),ROWS(C$14:C150))+1),"")</f>
        <v/>
      </c>
      <c r="D150" s="51" t="str">
        <f>IFERROR(INDEX('[1]REP DISEÑO'!$N$9:$N$1508,MATCH(C150,'[1]REP DISEÑO'!$D$9:$D$1508,0)),"")</f>
        <v/>
      </c>
      <c r="E150" s="51" t="str">
        <f>IFERROR(INDEX('[1]REP DISEÑO'!$G$9:$G$1508,MATCH(C150,'[1]REP DISEÑO'!$D$9:$D$1508,0)),"")</f>
        <v/>
      </c>
      <c r="F150" s="51" t="str">
        <f>IFERROR(INDEX('[1]REP DISEÑO'!$I$9:$I$1508,MATCH(C150,'[1]REP DISEÑO'!$D$9:$D$1508,0)),"")</f>
        <v/>
      </c>
      <c r="G150" s="51" t="str">
        <f>IFERROR(INDEX('[1]REP DISEÑO'!$M$9:$M$1508,MATCH(C150,'[1]REP DISEÑO'!$D$9:$D$1508,0)),"")</f>
        <v/>
      </c>
      <c r="H150" s="51" t="str">
        <f>IFERROR(INDEX('[1]REP DISEÑO'!$J$9:$J$1508,MATCH(C150,'[1]REP DISEÑO'!$D$9:$D$1508,0)),"")</f>
        <v/>
      </c>
      <c r="I150" s="52" t="str">
        <f>IFERROR(INDEX('[1]REP DISEÑO'!$C$9:$C$1508,MATCH(C150,'[1]REP DISEÑO'!$D$9:$D$1508,0)),"")</f>
        <v/>
      </c>
      <c r="J150" s="53" t="str">
        <f>IF(C150="","",IF(ISNUMBER(FIND("AMU",$C$14:$C$548)),1,(SUMIF('[1]REP PRODUCCIÓN'!$H$6:$H$1505,"*"&amp;C150&amp;"*",'[1]REP PRODUCCIÓN'!$E$6:$E$1505))))</f>
        <v/>
      </c>
      <c r="K150" s="53">
        <f t="shared" si="7"/>
        <v>0</v>
      </c>
      <c r="M150" s="54" t="str">
        <f>IFERROR(INDEX('[1]REP DISEÑO'!$BA$9:$BA$1008,MATCH('INDIC-DIS2'!C150,'[1]REP DISEÑO'!$D$9:$D$1008,0)),"")</f>
        <v/>
      </c>
      <c r="N150" s="55"/>
      <c r="O150" s="55"/>
      <c r="P150" s="55"/>
      <c r="R150" s="57" t="str">
        <f t="shared" si="8"/>
        <v/>
      </c>
    </row>
    <row r="151" spans="2:18" ht="26.25" customHeight="1" x14ac:dyDescent="0.25">
      <c r="B151" s="49">
        <f t="shared" si="6"/>
        <v>0</v>
      </c>
      <c r="C151" s="50" t="str">
        <f t="array" ref="C151">IFERROR(INDEX('[1]REP DISEÑO'!$D$9:$D$1008,SMALL(IF('[1]REP DISEÑO'!$AW$9:$AW$1008=$J$1,ROW('[1]REP DISEÑO'!$N$9:$N$1008)-ROW('[1]REP DISEÑO'!$N$9),""),ROWS(C$14:C151))+1),"")</f>
        <v/>
      </c>
      <c r="D151" s="51" t="str">
        <f>IFERROR(INDEX('[1]REP DISEÑO'!$N$9:$N$1508,MATCH(C151,'[1]REP DISEÑO'!$D$9:$D$1508,0)),"")</f>
        <v/>
      </c>
      <c r="E151" s="51" t="str">
        <f>IFERROR(INDEX('[1]REP DISEÑO'!$G$9:$G$1508,MATCH(C151,'[1]REP DISEÑO'!$D$9:$D$1508,0)),"")</f>
        <v/>
      </c>
      <c r="F151" s="51" t="str">
        <f>IFERROR(INDEX('[1]REP DISEÑO'!$I$9:$I$1508,MATCH(C151,'[1]REP DISEÑO'!$D$9:$D$1508,0)),"")</f>
        <v/>
      </c>
      <c r="G151" s="51" t="str">
        <f>IFERROR(INDEX('[1]REP DISEÑO'!$M$9:$M$1508,MATCH(C151,'[1]REP DISEÑO'!$D$9:$D$1508,0)),"")</f>
        <v/>
      </c>
      <c r="H151" s="51" t="str">
        <f>IFERROR(INDEX('[1]REP DISEÑO'!$J$9:$J$1508,MATCH(C151,'[1]REP DISEÑO'!$D$9:$D$1508,0)),"")</f>
        <v/>
      </c>
      <c r="I151" s="52" t="str">
        <f>IFERROR(INDEX('[1]REP DISEÑO'!$C$9:$C$1508,MATCH(C151,'[1]REP DISEÑO'!$D$9:$D$1508,0)),"")</f>
        <v/>
      </c>
      <c r="J151" s="53" t="str">
        <f>IF(C151="","",IF(ISNUMBER(FIND("AMU",$C$14:$C$548)),1,(SUMIF('[1]REP PRODUCCIÓN'!$H$6:$H$1505,"*"&amp;C151&amp;"*",'[1]REP PRODUCCIÓN'!$E$6:$E$1505))))</f>
        <v/>
      </c>
      <c r="K151" s="53">
        <f t="shared" si="7"/>
        <v>0</v>
      </c>
      <c r="M151" s="54" t="str">
        <f>IFERROR(INDEX('[1]REP DISEÑO'!$BA$9:$BA$1008,MATCH('INDIC-DIS2'!C151,'[1]REP DISEÑO'!$D$9:$D$1008,0)),"")</f>
        <v/>
      </c>
      <c r="N151" s="55"/>
      <c r="O151" s="55"/>
      <c r="P151" s="55"/>
      <c r="R151" s="57" t="str">
        <f t="shared" si="8"/>
        <v/>
      </c>
    </row>
    <row r="152" spans="2:18" ht="26.25" customHeight="1" x14ac:dyDescent="0.25">
      <c r="B152" s="49">
        <f t="shared" si="6"/>
        <v>0</v>
      </c>
      <c r="C152" s="50" t="str">
        <f t="array" ref="C152">IFERROR(INDEX('[1]REP DISEÑO'!$D$9:$D$1008,SMALL(IF('[1]REP DISEÑO'!$AW$9:$AW$1008=$J$1,ROW('[1]REP DISEÑO'!$N$9:$N$1008)-ROW('[1]REP DISEÑO'!$N$9),""),ROWS(C$14:C152))+1),"")</f>
        <v/>
      </c>
      <c r="D152" s="51" t="str">
        <f>IFERROR(INDEX('[1]REP DISEÑO'!$N$9:$N$1508,MATCH(C152,'[1]REP DISEÑO'!$D$9:$D$1508,0)),"")</f>
        <v/>
      </c>
      <c r="E152" s="51" t="str">
        <f>IFERROR(INDEX('[1]REP DISEÑO'!$G$9:$G$1508,MATCH(C152,'[1]REP DISEÑO'!$D$9:$D$1508,0)),"")</f>
        <v/>
      </c>
      <c r="F152" s="51" t="str">
        <f>IFERROR(INDEX('[1]REP DISEÑO'!$I$9:$I$1508,MATCH(C152,'[1]REP DISEÑO'!$D$9:$D$1508,0)),"")</f>
        <v/>
      </c>
      <c r="G152" s="51" t="str">
        <f>IFERROR(INDEX('[1]REP DISEÑO'!$M$9:$M$1508,MATCH(C152,'[1]REP DISEÑO'!$D$9:$D$1508,0)),"")</f>
        <v/>
      </c>
      <c r="H152" s="51" t="str">
        <f>IFERROR(INDEX('[1]REP DISEÑO'!$J$9:$J$1508,MATCH(C152,'[1]REP DISEÑO'!$D$9:$D$1508,0)),"")</f>
        <v/>
      </c>
      <c r="I152" s="52" t="str">
        <f>IFERROR(INDEX('[1]REP DISEÑO'!$C$9:$C$1508,MATCH(C152,'[1]REP DISEÑO'!$D$9:$D$1508,0)),"")</f>
        <v/>
      </c>
      <c r="J152" s="53" t="str">
        <f>IF(C152="","",IF(ISNUMBER(FIND("AMU",$C$14:$C$548)),1,(SUMIF('[1]REP PRODUCCIÓN'!$H$6:$H$1505,"*"&amp;C152&amp;"*",'[1]REP PRODUCCIÓN'!$E$6:$E$1505))))</f>
        <v/>
      </c>
      <c r="K152" s="53">
        <f t="shared" si="7"/>
        <v>0</v>
      </c>
      <c r="M152" s="54" t="str">
        <f>IFERROR(INDEX('[1]REP DISEÑO'!$BA$9:$BA$1008,MATCH('INDIC-DIS2'!C152,'[1]REP DISEÑO'!$D$9:$D$1008,0)),"")</f>
        <v/>
      </c>
      <c r="N152" s="55"/>
      <c r="O152" s="55"/>
      <c r="P152" s="55"/>
      <c r="R152" s="57" t="str">
        <f t="shared" si="8"/>
        <v/>
      </c>
    </row>
    <row r="153" spans="2:18" ht="26.25" customHeight="1" x14ac:dyDescent="0.25">
      <c r="B153" s="49">
        <f t="shared" si="6"/>
        <v>0</v>
      </c>
      <c r="C153" s="50" t="str">
        <f t="array" ref="C153">IFERROR(INDEX('[1]REP DISEÑO'!$D$9:$D$1008,SMALL(IF('[1]REP DISEÑO'!$AW$9:$AW$1008=$J$1,ROW('[1]REP DISEÑO'!$N$9:$N$1008)-ROW('[1]REP DISEÑO'!$N$9),""),ROWS(C$14:C153))+1),"")</f>
        <v/>
      </c>
      <c r="D153" s="51" t="str">
        <f>IFERROR(INDEX('[1]REP DISEÑO'!$N$9:$N$1508,MATCH(C153,'[1]REP DISEÑO'!$D$9:$D$1508,0)),"")</f>
        <v/>
      </c>
      <c r="E153" s="51" t="str">
        <f>IFERROR(INDEX('[1]REP DISEÑO'!$G$9:$G$1508,MATCH(C153,'[1]REP DISEÑO'!$D$9:$D$1508,0)),"")</f>
        <v/>
      </c>
      <c r="F153" s="51" t="str">
        <f>IFERROR(INDEX('[1]REP DISEÑO'!$I$9:$I$1508,MATCH(C153,'[1]REP DISEÑO'!$D$9:$D$1508,0)),"")</f>
        <v/>
      </c>
      <c r="G153" s="51" t="str">
        <f>IFERROR(INDEX('[1]REP DISEÑO'!$M$9:$M$1508,MATCH(C153,'[1]REP DISEÑO'!$D$9:$D$1508,0)),"")</f>
        <v/>
      </c>
      <c r="H153" s="51" t="str">
        <f>IFERROR(INDEX('[1]REP DISEÑO'!$J$9:$J$1508,MATCH(C153,'[1]REP DISEÑO'!$D$9:$D$1508,0)),"")</f>
        <v/>
      </c>
      <c r="I153" s="52" t="str">
        <f>IFERROR(INDEX('[1]REP DISEÑO'!$C$9:$C$1508,MATCH(C153,'[1]REP DISEÑO'!$D$9:$D$1508,0)),"")</f>
        <v/>
      </c>
      <c r="J153" s="53" t="str">
        <f>IF(C153="","",IF(ISNUMBER(FIND("AMU",$C$14:$C$548)),1,(SUMIF('[1]REP PRODUCCIÓN'!$H$6:$H$1505,"*"&amp;C153&amp;"*",'[1]REP PRODUCCIÓN'!$E$6:$E$1505))))</f>
        <v/>
      </c>
      <c r="K153" s="53">
        <f t="shared" si="7"/>
        <v>0</v>
      </c>
      <c r="M153" s="54" t="str">
        <f>IFERROR(INDEX('[1]REP DISEÑO'!$BA$9:$BA$1008,MATCH('INDIC-DIS2'!C153,'[1]REP DISEÑO'!$D$9:$D$1008,0)),"")</f>
        <v/>
      </c>
      <c r="N153" s="55"/>
      <c r="O153" s="55"/>
      <c r="P153" s="55"/>
      <c r="R153" s="57" t="str">
        <f t="shared" si="8"/>
        <v/>
      </c>
    </row>
    <row r="154" spans="2:18" ht="26.25" customHeight="1" x14ac:dyDescent="0.25">
      <c r="B154" s="49">
        <f t="shared" si="6"/>
        <v>0</v>
      </c>
      <c r="C154" s="50" t="str">
        <f t="array" ref="C154">IFERROR(INDEX('[1]REP DISEÑO'!$D$9:$D$1008,SMALL(IF('[1]REP DISEÑO'!$AW$9:$AW$1008=$J$1,ROW('[1]REP DISEÑO'!$N$9:$N$1008)-ROW('[1]REP DISEÑO'!$N$9),""),ROWS(C$14:C154))+1),"")</f>
        <v/>
      </c>
      <c r="D154" s="51" t="str">
        <f>IFERROR(INDEX('[1]REP DISEÑO'!$N$9:$N$1508,MATCH(C154,'[1]REP DISEÑO'!$D$9:$D$1508,0)),"")</f>
        <v/>
      </c>
      <c r="E154" s="51" t="str">
        <f>IFERROR(INDEX('[1]REP DISEÑO'!$G$9:$G$1508,MATCH(C154,'[1]REP DISEÑO'!$D$9:$D$1508,0)),"")</f>
        <v/>
      </c>
      <c r="F154" s="51" t="str">
        <f>IFERROR(INDEX('[1]REP DISEÑO'!$I$9:$I$1508,MATCH(C154,'[1]REP DISEÑO'!$D$9:$D$1508,0)),"")</f>
        <v/>
      </c>
      <c r="G154" s="51" t="str">
        <f>IFERROR(INDEX('[1]REP DISEÑO'!$M$9:$M$1508,MATCH(C154,'[1]REP DISEÑO'!$D$9:$D$1508,0)),"")</f>
        <v/>
      </c>
      <c r="H154" s="51" t="str">
        <f>IFERROR(INDEX('[1]REP DISEÑO'!$J$9:$J$1508,MATCH(C154,'[1]REP DISEÑO'!$D$9:$D$1508,0)),"")</f>
        <v/>
      </c>
      <c r="I154" s="52" t="str">
        <f>IFERROR(INDEX('[1]REP DISEÑO'!$C$9:$C$1508,MATCH(C154,'[1]REP DISEÑO'!$D$9:$D$1508,0)),"")</f>
        <v/>
      </c>
      <c r="J154" s="53" t="str">
        <f>IF(C154="","",IF(ISNUMBER(FIND("AMU",$C$14:$C$548)),1,(SUMIF('[1]REP PRODUCCIÓN'!$H$6:$H$1505,"*"&amp;C154&amp;"*",'[1]REP PRODUCCIÓN'!$E$6:$E$1505))))</f>
        <v/>
      </c>
      <c r="K154" s="53">
        <f t="shared" si="7"/>
        <v>0</v>
      </c>
      <c r="M154" s="54" t="str">
        <f>IFERROR(INDEX('[1]REP DISEÑO'!$BA$9:$BA$1008,MATCH('INDIC-DIS2'!C154,'[1]REP DISEÑO'!$D$9:$D$1008,0)),"")</f>
        <v/>
      </c>
      <c r="N154" s="55"/>
      <c r="O154" s="55"/>
      <c r="P154" s="55"/>
      <c r="R154" s="57" t="str">
        <f t="shared" si="8"/>
        <v/>
      </c>
    </row>
    <row r="155" spans="2:18" ht="26.25" customHeight="1" x14ac:dyDescent="0.25">
      <c r="B155" s="49">
        <f t="shared" si="6"/>
        <v>0</v>
      </c>
      <c r="C155" s="50" t="str">
        <f t="array" ref="C155">IFERROR(INDEX('[1]REP DISEÑO'!$D$9:$D$1008,SMALL(IF('[1]REP DISEÑO'!$AW$9:$AW$1008=$J$1,ROW('[1]REP DISEÑO'!$N$9:$N$1008)-ROW('[1]REP DISEÑO'!$N$9),""),ROWS(C$14:C155))+1),"")</f>
        <v/>
      </c>
      <c r="D155" s="51" t="str">
        <f>IFERROR(INDEX('[1]REP DISEÑO'!$N$9:$N$1508,MATCH(C155,'[1]REP DISEÑO'!$D$9:$D$1508,0)),"")</f>
        <v/>
      </c>
      <c r="E155" s="51" t="str">
        <f>IFERROR(INDEX('[1]REP DISEÑO'!$G$9:$G$1508,MATCH(C155,'[1]REP DISEÑO'!$D$9:$D$1508,0)),"")</f>
        <v/>
      </c>
      <c r="F155" s="51" t="str">
        <f>IFERROR(INDEX('[1]REP DISEÑO'!$I$9:$I$1508,MATCH(C155,'[1]REP DISEÑO'!$D$9:$D$1508,0)),"")</f>
        <v/>
      </c>
      <c r="G155" s="51" t="str">
        <f>IFERROR(INDEX('[1]REP DISEÑO'!$M$9:$M$1508,MATCH(C155,'[1]REP DISEÑO'!$D$9:$D$1508,0)),"")</f>
        <v/>
      </c>
      <c r="H155" s="51" t="str">
        <f>IFERROR(INDEX('[1]REP DISEÑO'!$J$9:$J$1508,MATCH(C155,'[1]REP DISEÑO'!$D$9:$D$1508,0)),"")</f>
        <v/>
      </c>
      <c r="I155" s="52" t="str">
        <f>IFERROR(INDEX('[1]REP DISEÑO'!$C$9:$C$1508,MATCH(C155,'[1]REP DISEÑO'!$D$9:$D$1508,0)),"")</f>
        <v/>
      </c>
      <c r="J155" s="53" t="str">
        <f>IF(C155="","",IF(ISNUMBER(FIND("AMU",$C$14:$C$548)),1,(SUMIF('[1]REP PRODUCCIÓN'!$H$6:$H$1505,"*"&amp;C155&amp;"*",'[1]REP PRODUCCIÓN'!$E$6:$E$1505))))</f>
        <v/>
      </c>
      <c r="K155" s="53">
        <f t="shared" si="7"/>
        <v>0</v>
      </c>
      <c r="M155" s="54" t="str">
        <f>IFERROR(INDEX('[1]REP DISEÑO'!$BA$9:$BA$1008,MATCH('INDIC-DIS2'!C155,'[1]REP DISEÑO'!$D$9:$D$1008,0)),"")</f>
        <v/>
      </c>
      <c r="N155" s="55"/>
      <c r="O155" s="55"/>
      <c r="P155" s="55"/>
      <c r="R155" s="57" t="str">
        <f t="shared" si="8"/>
        <v/>
      </c>
    </row>
    <row r="156" spans="2:18" ht="26.25" customHeight="1" x14ac:dyDescent="0.25">
      <c r="B156" s="49">
        <f t="shared" si="6"/>
        <v>0</v>
      </c>
      <c r="C156" s="50" t="str">
        <f t="array" ref="C156">IFERROR(INDEX('[1]REP DISEÑO'!$D$9:$D$1008,SMALL(IF('[1]REP DISEÑO'!$AW$9:$AW$1008=$J$1,ROW('[1]REP DISEÑO'!$N$9:$N$1008)-ROW('[1]REP DISEÑO'!$N$9),""),ROWS(C$14:C156))+1),"")</f>
        <v/>
      </c>
      <c r="D156" s="51" t="str">
        <f>IFERROR(INDEX('[1]REP DISEÑO'!$N$9:$N$1508,MATCH(C156,'[1]REP DISEÑO'!$D$9:$D$1508,0)),"")</f>
        <v/>
      </c>
      <c r="E156" s="51" t="str">
        <f>IFERROR(INDEX('[1]REP DISEÑO'!$G$9:$G$1508,MATCH(C156,'[1]REP DISEÑO'!$D$9:$D$1508,0)),"")</f>
        <v/>
      </c>
      <c r="F156" s="51" t="str">
        <f>IFERROR(INDEX('[1]REP DISEÑO'!$I$9:$I$1508,MATCH(C156,'[1]REP DISEÑO'!$D$9:$D$1508,0)),"")</f>
        <v/>
      </c>
      <c r="G156" s="51" t="str">
        <f>IFERROR(INDEX('[1]REP DISEÑO'!$M$9:$M$1508,MATCH(C156,'[1]REP DISEÑO'!$D$9:$D$1508,0)),"")</f>
        <v/>
      </c>
      <c r="H156" s="51" t="str">
        <f>IFERROR(INDEX('[1]REP DISEÑO'!$J$9:$J$1508,MATCH(C156,'[1]REP DISEÑO'!$D$9:$D$1508,0)),"")</f>
        <v/>
      </c>
      <c r="I156" s="52" t="str">
        <f>IFERROR(INDEX('[1]REP DISEÑO'!$C$9:$C$1508,MATCH(C156,'[1]REP DISEÑO'!$D$9:$D$1508,0)),"")</f>
        <v/>
      </c>
      <c r="J156" s="53" t="str">
        <f>IF(C156="","",IF(ISNUMBER(FIND("AMU",$C$14:$C$548)),1,(SUMIF('[1]REP PRODUCCIÓN'!$H$6:$H$1505,"*"&amp;C156&amp;"*",'[1]REP PRODUCCIÓN'!$E$6:$E$1505))))</f>
        <v/>
      </c>
      <c r="K156" s="53">
        <f t="shared" si="7"/>
        <v>0</v>
      </c>
      <c r="M156" s="54" t="str">
        <f>IFERROR(INDEX('[1]REP DISEÑO'!$BA$9:$BA$1008,MATCH('INDIC-DIS2'!C156,'[1]REP DISEÑO'!$D$9:$D$1008,0)),"")</f>
        <v/>
      </c>
      <c r="N156" s="55"/>
      <c r="O156" s="55"/>
      <c r="P156" s="55"/>
      <c r="R156" s="57" t="str">
        <f t="shared" si="8"/>
        <v/>
      </c>
    </row>
    <row r="157" spans="2:18" ht="26.25" customHeight="1" x14ac:dyDescent="0.25">
      <c r="B157" s="49">
        <f t="shared" si="6"/>
        <v>0</v>
      </c>
      <c r="C157" s="50" t="str">
        <f t="array" ref="C157">IFERROR(INDEX('[1]REP DISEÑO'!$D$9:$D$1008,SMALL(IF('[1]REP DISEÑO'!$AW$9:$AW$1008=$J$1,ROW('[1]REP DISEÑO'!$N$9:$N$1008)-ROW('[1]REP DISEÑO'!$N$9),""),ROWS(C$14:C157))+1),"")</f>
        <v/>
      </c>
      <c r="D157" s="51" t="str">
        <f>IFERROR(INDEX('[1]REP DISEÑO'!$N$9:$N$1508,MATCH(C157,'[1]REP DISEÑO'!$D$9:$D$1508,0)),"")</f>
        <v/>
      </c>
      <c r="E157" s="51" t="str">
        <f>IFERROR(INDEX('[1]REP DISEÑO'!$G$9:$G$1508,MATCH(C157,'[1]REP DISEÑO'!$D$9:$D$1508,0)),"")</f>
        <v/>
      </c>
      <c r="F157" s="51" t="str">
        <f>IFERROR(INDEX('[1]REP DISEÑO'!$I$9:$I$1508,MATCH(C157,'[1]REP DISEÑO'!$D$9:$D$1508,0)),"")</f>
        <v/>
      </c>
      <c r="G157" s="51" t="str">
        <f>IFERROR(INDEX('[1]REP DISEÑO'!$M$9:$M$1508,MATCH(C157,'[1]REP DISEÑO'!$D$9:$D$1508,0)),"")</f>
        <v/>
      </c>
      <c r="H157" s="51" t="str">
        <f>IFERROR(INDEX('[1]REP DISEÑO'!$J$9:$J$1508,MATCH(C157,'[1]REP DISEÑO'!$D$9:$D$1508,0)),"")</f>
        <v/>
      </c>
      <c r="I157" s="52" t="str">
        <f>IFERROR(INDEX('[1]REP DISEÑO'!$C$9:$C$1508,MATCH(C157,'[1]REP DISEÑO'!$D$9:$D$1508,0)),"")</f>
        <v/>
      </c>
      <c r="J157" s="53" t="str">
        <f>IF(C157="","",IF(ISNUMBER(FIND("AMU",$C$14:$C$548)),1,(SUMIF('[1]REP PRODUCCIÓN'!$H$6:$H$1505,"*"&amp;C157&amp;"*",'[1]REP PRODUCCIÓN'!$E$6:$E$1505))))</f>
        <v/>
      </c>
      <c r="K157" s="53">
        <f t="shared" si="7"/>
        <v>0</v>
      </c>
      <c r="M157" s="54" t="str">
        <f>IFERROR(INDEX('[1]REP DISEÑO'!$BA$9:$BA$1008,MATCH('INDIC-DIS2'!C157,'[1]REP DISEÑO'!$D$9:$D$1008,0)),"")</f>
        <v/>
      </c>
      <c r="N157" s="55"/>
      <c r="O157" s="55"/>
      <c r="P157" s="55"/>
      <c r="R157" s="57" t="str">
        <f t="shared" si="8"/>
        <v/>
      </c>
    </row>
    <row r="158" spans="2:18" ht="26.25" customHeight="1" x14ac:dyDescent="0.25">
      <c r="B158" s="49">
        <f t="shared" si="6"/>
        <v>0</v>
      </c>
      <c r="C158" s="50" t="str">
        <f t="array" ref="C158">IFERROR(INDEX('[1]REP DISEÑO'!$D$9:$D$1008,SMALL(IF('[1]REP DISEÑO'!$AW$9:$AW$1008=$J$1,ROW('[1]REP DISEÑO'!$N$9:$N$1008)-ROW('[1]REP DISEÑO'!$N$9),""),ROWS(C$14:C158))+1),"")</f>
        <v/>
      </c>
      <c r="D158" s="51" t="str">
        <f>IFERROR(INDEX('[1]REP DISEÑO'!$N$9:$N$1508,MATCH(C158,'[1]REP DISEÑO'!$D$9:$D$1508,0)),"")</f>
        <v/>
      </c>
      <c r="E158" s="51" t="str">
        <f>IFERROR(INDEX('[1]REP DISEÑO'!$G$9:$G$1508,MATCH(C158,'[1]REP DISEÑO'!$D$9:$D$1508,0)),"")</f>
        <v/>
      </c>
      <c r="F158" s="51" t="str">
        <f>IFERROR(INDEX('[1]REP DISEÑO'!$I$9:$I$1508,MATCH(C158,'[1]REP DISEÑO'!$D$9:$D$1508,0)),"")</f>
        <v/>
      </c>
      <c r="G158" s="51" t="str">
        <f>IFERROR(INDEX('[1]REP DISEÑO'!$M$9:$M$1508,MATCH(C158,'[1]REP DISEÑO'!$D$9:$D$1508,0)),"")</f>
        <v/>
      </c>
      <c r="H158" s="51" t="str">
        <f>IFERROR(INDEX('[1]REP DISEÑO'!$J$9:$J$1508,MATCH(C158,'[1]REP DISEÑO'!$D$9:$D$1508,0)),"")</f>
        <v/>
      </c>
      <c r="I158" s="52" t="str">
        <f>IFERROR(INDEX('[1]REP DISEÑO'!$C$9:$C$1508,MATCH(C158,'[1]REP DISEÑO'!$D$9:$D$1508,0)),"")</f>
        <v/>
      </c>
      <c r="J158" s="53" t="str">
        <f>IF(C158="","",IF(ISNUMBER(FIND("AMU",$C$14:$C$548)),1,(SUMIF('[1]REP PRODUCCIÓN'!$H$6:$H$1505,"*"&amp;C158&amp;"*",'[1]REP PRODUCCIÓN'!$E$6:$E$1505))))</f>
        <v/>
      </c>
      <c r="K158" s="53">
        <f t="shared" si="7"/>
        <v>0</v>
      </c>
      <c r="M158" s="54" t="str">
        <f>IFERROR(INDEX('[1]REP DISEÑO'!$BA$9:$BA$1008,MATCH('INDIC-DIS2'!C158,'[1]REP DISEÑO'!$D$9:$D$1008,0)),"")</f>
        <v/>
      </c>
      <c r="N158" s="55"/>
      <c r="O158" s="55"/>
      <c r="P158" s="55"/>
      <c r="R158" s="57" t="str">
        <f t="shared" si="8"/>
        <v/>
      </c>
    </row>
    <row r="159" spans="2:18" ht="26.25" customHeight="1" x14ac:dyDescent="0.25">
      <c r="B159" s="49">
        <f t="shared" si="6"/>
        <v>0</v>
      </c>
      <c r="C159" s="50" t="str">
        <f t="array" ref="C159">IFERROR(INDEX('[1]REP DISEÑO'!$D$9:$D$1008,SMALL(IF('[1]REP DISEÑO'!$AW$9:$AW$1008=$J$1,ROW('[1]REP DISEÑO'!$N$9:$N$1008)-ROW('[1]REP DISEÑO'!$N$9),""),ROWS(C$14:C159))+1),"")</f>
        <v/>
      </c>
      <c r="D159" s="51" t="str">
        <f>IFERROR(INDEX('[1]REP DISEÑO'!$N$9:$N$1508,MATCH(C159,'[1]REP DISEÑO'!$D$9:$D$1508,0)),"")</f>
        <v/>
      </c>
      <c r="E159" s="51" t="str">
        <f>IFERROR(INDEX('[1]REP DISEÑO'!$G$9:$G$1508,MATCH(C159,'[1]REP DISEÑO'!$D$9:$D$1508,0)),"")</f>
        <v/>
      </c>
      <c r="F159" s="51" t="str">
        <f>IFERROR(INDEX('[1]REP DISEÑO'!$I$9:$I$1508,MATCH(C159,'[1]REP DISEÑO'!$D$9:$D$1508,0)),"")</f>
        <v/>
      </c>
      <c r="G159" s="51" t="str">
        <f>IFERROR(INDEX('[1]REP DISEÑO'!$M$9:$M$1508,MATCH(C159,'[1]REP DISEÑO'!$D$9:$D$1508,0)),"")</f>
        <v/>
      </c>
      <c r="H159" s="51" t="str">
        <f>IFERROR(INDEX('[1]REP DISEÑO'!$J$9:$J$1508,MATCH(C159,'[1]REP DISEÑO'!$D$9:$D$1508,0)),"")</f>
        <v/>
      </c>
      <c r="I159" s="52" t="str">
        <f>IFERROR(INDEX('[1]REP DISEÑO'!$C$9:$C$1508,MATCH(C159,'[1]REP DISEÑO'!$D$9:$D$1508,0)),"")</f>
        <v/>
      </c>
      <c r="J159" s="53" t="str">
        <f>IF(C159="","",IF(ISNUMBER(FIND("AMU",$C$14:$C$548)),1,(SUMIF('[1]REP PRODUCCIÓN'!$H$6:$H$1505,"*"&amp;C159&amp;"*",'[1]REP PRODUCCIÓN'!$E$6:$E$1505))))</f>
        <v/>
      </c>
      <c r="K159" s="53">
        <f t="shared" si="7"/>
        <v>0</v>
      </c>
      <c r="M159" s="54" t="str">
        <f>IFERROR(INDEX('[1]REP DISEÑO'!$BA$9:$BA$1008,MATCH('INDIC-DIS2'!C159,'[1]REP DISEÑO'!$D$9:$D$1008,0)),"")</f>
        <v/>
      </c>
      <c r="N159" s="55"/>
      <c r="O159" s="55"/>
      <c r="P159" s="55"/>
      <c r="R159" s="57" t="str">
        <f t="shared" si="8"/>
        <v/>
      </c>
    </row>
    <row r="160" spans="2:18" ht="26.25" customHeight="1" x14ac:dyDescent="0.25">
      <c r="B160" s="49">
        <f t="shared" si="6"/>
        <v>0</v>
      </c>
      <c r="C160" s="50" t="str">
        <f t="array" ref="C160">IFERROR(INDEX('[1]REP DISEÑO'!$D$9:$D$1008,SMALL(IF('[1]REP DISEÑO'!$AW$9:$AW$1008=$J$1,ROW('[1]REP DISEÑO'!$N$9:$N$1008)-ROW('[1]REP DISEÑO'!$N$9),""),ROWS(C$14:C160))+1),"")</f>
        <v/>
      </c>
      <c r="D160" s="51" t="str">
        <f>IFERROR(INDEX('[1]REP DISEÑO'!$N$9:$N$1508,MATCH(C160,'[1]REP DISEÑO'!$D$9:$D$1508,0)),"")</f>
        <v/>
      </c>
      <c r="E160" s="51" t="str">
        <f>IFERROR(INDEX('[1]REP DISEÑO'!$G$9:$G$1508,MATCH(C160,'[1]REP DISEÑO'!$D$9:$D$1508,0)),"")</f>
        <v/>
      </c>
      <c r="F160" s="51" t="str">
        <f>IFERROR(INDEX('[1]REP DISEÑO'!$I$9:$I$1508,MATCH(C160,'[1]REP DISEÑO'!$D$9:$D$1508,0)),"")</f>
        <v/>
      </c>
      <c r="G160" s="51" t="str">
        <f>IFERROR(INDEX('[1]REP DISEÑO'!$M$9:$M$1508,MATCH(C160,'[1]REP DISEÑO'!$D$9:$D$1508,0)),"")</f>
        <v/>
      </c>
      <c r="H160" s="51" t="str">
        <f>IFERROR(INDEX('[1]REP DISEÑO'!$J$9:$J$1508,MATCH(C160,'[1]REP DISEÑO'!$D$9:$D$1508,0)),"")</f>
        <v/>
      </c>
      <c r="I160" s="52" t="str">
        <f>IFERROR(INDEX('[1]REP DISEÑO'!$C$9:$C$1508,MATCH(C160,'[1]REP DISEÑO'!$D$9:$D$1508,0)),"")</f>
        <v/>
      </c>
      <c r="J160" s="53" t="str">
        <f>IF(C160="","",IF(ISNUMBER(FIND("AMU",$C$14:$C$548)),1,(SUMIF('[1]REP PRODUCCIÓN'!$H$6:$H$1505,"*"&amp;C160&amp;"*",'[1]REP PRODUCCIÓN'!$E$6:$E$1505))))</f>
        <v/>
      </c>
      <c r="K160" s="53">
        <f t="shared" si="7"/>
        <v>0</v>
      </c>
      <c r="M160" s="54" t="str">
        <f>IFERROR(INDEX('[1]REP DISEÑO'!$BA$9:$BA$1008,MATCH('INDIC-DIS2'!C160,'[1]REP DISEÑO'!$D$9:$D$1008,0)),"")</f>
        <v/>
      </c>
      <c r="N160" s="55"/>
      <c r="O160" s="55"/>
      <c r="P160" s="55"/>
      <c r="R160" s="57" t="str">
        <f t="shared" si="8"/>
        <v/>
      </c>
    </row>
    <row r="161" spans="2:18" ht="26.25" customHeight="1" x14ac:dyDescent="0.25">
      <c r="B161" s="49">
        <f t="shared" si="6"/>
        <v>0</v>
      </c>
      <c r="C161" s="50" t="str">
        <f t="array" ref="C161">IFERROR(INDEX('[1]REP DISEÑO'!$D$9:$D$1008,SMALL(IF('[1]REP DISEÑO'!$AW$9:$AW$1008=$J$1,ROW('[1]REP DISEÑO'!$N$9:$N$1008)-ROW('[1]REP DISEÑO'!$N$9),""),ROWS(C$14:C161))+1),"")</f>
        <v/>
      </c>
      <c r="D161" s="51" t="str">
        <f>IFERROR(INDEX('[1]REP DISEÑO'!$N$9:$N$1508,MATCH(C161,'[1]REP DISEÑO'!$D$9:$D$1508,0)),"")</f>
        <v/>
      </c>
      <c r="E161" s="51" t="str">
        <f>IFERROR(INDEX('[1]REP DISEÑO'!$G$9:$G$1508,MATCH(C161,'[1]REP DISEÑO'!$D$9:$D$1508,0)),"")</f>
        <v/>
      </c>
      <c r="F161" s="51" t="str">
        <f>IFERROR(INDEX('[1]REP DISEÑO'!$I$9:$I$1508,MATCH(C161,'[1]REP DISEÑO'!$D$9:$D$1508,0)),"")</f>
        <v/>
      </c>
      <c r="G161" s="51" t="str">
        <f>IFERROR(INDEX('[1]REP DISEÑO'!$M$9:$M$1508,MATCH(C161,'[1]REP DISEÑO'!$D$9:$D$1508,0)),"")</f>
        <v/>
      </c>
      <c r="H161" s="51" t="str">
        <f>IFERROR(INDEX('[1]REP DISEÑO'!$J$9:$J$1508,MATCH(C161,'[1]REP DISEÑO'!$D$9:$D$1508,0)),"")</f>
        <v/>
      </c>
      <c r="I161" s="52" t="str">
        <f>IFERROR(INDEX('[1]REP DISEÑO'!$C$9:$C$1508,MATCH(C161,'[1]REP DISEÑO'!$D$9:$D$1508,0)),"")</f>
        <v/>
      </c>
      <c r="J161" s="53" t="str">
        <f>IF(C161="","",IF(ISNUMBER(FIND("AMU",$C$14:$C$548)),1,(SUMIF('[1]REP PRODUCCIÓN'!$H$6:$H$1505,"*"&amp;C161&amp;"*",'[1]REP PRODUCCIÓN'!$E$6:$E$1505))))</f>
        <v/>
      </c>
      <c r="K161" s="53">
        <f t="shared" si="7"/>
        <v>0</v>
      </c>
      <c r="M161" s="54" t="str">
        <f>IFERROR(INDEX('[1]REP DISEÑO'!$BA$9:$BA$1008,MATCH('INDIC-DIS2'!C161,'[1]REP DISEÑO'!$D$9:$D$1008,0)),"")</f>
        <v/>
      </c>
      <c r="N161" s="55"/>
      <c r="O161" s="55"/>
      <c r="P161" s="55"/>
      <c r="R161" s="57" t="str">
        <f t="shared" si="8"/>
        <v/>
      </c>
    </row>
    <row r="162" spans="2:18" ht="26.25" customHeight="1" x14ac:dyDescent="0.25">
      <c r="B162" s="49">
        <f t="shared" si="6"/>
        <v>0</v>
      </c>
      <c r="C162" s="50" t="str">
        <f t="array" ref="C162">IFERROR(INDEX('[1]REP DISEÑO'!$D$9:$D$1008,SMALL(IF('[1]REP DISEÑO'!$AW$9:$AW$1008=$J$1,ROW('[1]REP DISEÑO'!$N$9:$N$1008)-ROW('[1]REP DISEÑO'!$N$9),""),ROWS(C$14:C162))+1),"")</f>
        <v/>
      </c>
      <c r="D162" s="51" t="str">
        <f>IFERROR(INDEX('[1]REP DISEÑO'!$N$9:$N$1508,MATCH(C162,'[1]REP DISEÑO'!$D$9:$D$1508,0)),"")</f>
        <v/>
      </c>
      <c r="E162" s="51" t="str">
        <f>IFERROR(INDEX('[1]REP DISEÑO'!$G$9:$G$1508,MATCH(C162,'[1]REP DISEÑO'!$D$9:$D$1508,0)),"")</f>
        <v/>
      </c>
      <c r="F162" s="51" t="str">
        <f>IFERROR(INDEX('[1]REP DISEÑO'!$I$9:$I$1508,MATCH(C162,'[1]REP DISEÑO'!$D$9:$D$1508,0)),"")</f>
        <v/>
      </c>
      <c r="G162" s="51" t="str">
        <f>IFERROR(INDEX('[1]REP DISEÑO'!$M$9:$M$1508,MATCH(C162,'[1]REP DISEÑO'!$D$9:$D$1508,0)),"")</f>
        <v/>
      </c>
      <c r="H162" s="51" t="str">
        <f>IFERROR(INDEX('[1]REP DISEÑO'!$J$9:$J$1508,MATCH(C162,'[1]REP DISEÑO'!$D$9:$D$1508,0)),"")</f>
        <v/>
      </c>
      <c r="I162" s="52" t="str">
        <f>IFERROR(INDEX('[1]REP DISEÑO'!$C$9:$C$1508,MATCH(C162,'[1]REP DISEÑO'!$D$9:$D$1508,0)),"")</f>
        <v/>
      </c>
      <c r="J162" s="53" t="str">
        <f>IF(C162="","",IF(ISNUMBER(FIND("AMU",$C$14:$C$548)),1,(SUMIF('[1]REP PRODUCCIÓN'!$H$6:$H$1505,"*"&amp;C162&amp;"*",'[1]REP PRODUCCIÓN'!$E$6:$E$1505))))</f>
        <v/>
      </c>
      <c r="K162" s="53">
        <f t="shared" si="7"/>
        <v>0</v>
      </c>
      <c r="M162" s="54" t="str">
        <f>IFERROR(INDEX('[1]REP DISEÑO'!$BA$9:$BA$1008,MATCH('INDIC-DIS2'!C162,'[1]REP DISEÑO'!$D$9:$D$1008,0)),"")</f>
        <v/>
      </c>
      <c r="N162" s="55"/>
      <c r="O162" s="55"/>
      <c r="P162" s="55"/>
      <c r="R162" s="57" t="str">
        <f t="shared" si="8"/>
        <v/>
      </c>
    </row>
    <row r="163" spans="2:18" ht="26.25" customHeight="1" x14ac:dyDescent="0.25">
      <c r="B163" s="49">
        <f t="shared" si="6"/>
        <v>0</v>
      </c>
      <c r="C163" s="50" t="str">
        <f t="array" ref="C163">IFERROR(INDEX('[1]REP DISEÑO'!$D$9:$D$1008,SMALL(IF('[1]REP DISEÑO'!$AW$9:$AW$1008=$J$1,ROW('[1]REP DISEÑO'!$N$9:$N$1008)-ROW('[1]REP DISEÑO'!$N$9),""),ROWS(C$14:C163))+1),"")</f>
        <v/>
      </c>
      <c r="D163" s="51" t="str">
        <f>IFERROR(INDEX('[1]REP DISEÑO'!$N$9:$N$1508,MATCH(C163,'[1]REP DISEÑO'!$D$9:$D$1508,0)),"")</f>
        <v/>
      </c>
      <c r="E163" s="51" t="str">
        <f>IFERROR(INDEX('[1]REP DISEÑO'!$G$9:$G$1508,MATCH(C163,'[1]REP DISEÑO'!$D$9:$D$1508,0)),"")</f>
        <v/>
      </c>
      <c r="F163" s="51" t="str">
        <f>IFERROR(INDEX('[1]REP DISEÑO'!$I$9:$I$1508,MATCH(C163,'[1]REP DISEÑO'!$D$9:$D$1508,0)),"")</f>
        <v/>
      </c>
      <c r="G163" s="51" t="str">
        <f>IFERROR(INDEX('[1]REP DISEÑO'!$M$9:$M$1508,MATCH(C163,'[1]REP DISEÑO'!$D$9:$D$1508,0)),"")</f>
        <v/>
      </c>
      <c r="H163" s="51" t="str">
        <f>IFERROR(INDEX('[1]REP DISEÑO'!$J$9:$J$1508,MATCH(C163,'[1]REP DISEÑO'!$D$9:$D$1508,0)),"")</f>
        <v/>
      </c>
      <c r="I163" s="52" t="str">
        <f>IFERROR(INDEX('[1]REP DISEÑO'!$C$9:$C$1508,MATCH(C163,'[1]REP DISEÑO'!$D$9:$D$1508,0)),"")</f>
        <v/>
      </c>
      <c r="J163" s="53" t="str">
        <f>IF(C163="","",IF(ISNUMBER(FIND("AMU",$C$14:$C$548)),1,(SUMIF('[1]REP PRODUCCIÓN'!$H$6:$H$1505,"*"&amp;C163&amp;"*",'[1]REP PRODUCCIÓN'!$E$6:$E$1505))))</f>
        <v/>
      </c>
      <c r="K163" s="53">
        <f t="shared" si="7"/>
        <v>0</v>
      </c>
      <c r="M163" s="54" t="str">
        <f>IFERROR(INDEX('[1]REP DISEÑO'!$BA$9:$BA$1008,MATCH('INDIC-DIS2'!C163,'[1]REP DISEÑO'!$D$9:$D$1008,0)),"")</f>
        <v/>
      </c>
      <c r="N163" s="55"/>
      <c r="O163" s="55"/>
      <c r="P163" s="55"/>
      <c r="R163" s="57" t="str">
        <f t="shared" si="8"/>
        <v/>
      </c>
    </row>
    <row r="164" spans="2:18" ht="26.25" customHeight="1" x14ac:dyDescent="0.25">
      <c r="B164" s="49">
        <f t="shared" si="6"/>
        <v>0</v>
      </c>
      <c r="C164" s="50" t="str">
        <f t="array" ref="C164">IFERROR(INDEX('[1]REP DISEÑO'!$D$9:$D$1008,SMALL(IF('[1]REP DISEÑO'!$AW$9:$AW$1008=$J$1,ROW('[1]REP DISEÑO'!$N$9:$N$1008)-ROW('[1]REP DISEÑO'!$N$9),""),ROWS(C$14:C164))+1),"")</f>
        <v/>
      </c>
      <c r="D164" s="51" t="str">
        <f>IFERROR(INDEX('[1]REP DISEÑO'!$N$9:$N$1508,MATCH(C164,'[1]REP DISEÑO'!$D$9:$D$1508,0)),"")</f>
        <v/>
      </c>
      <c r="E164" s="51" t="str">
        <f>IFERROR(INDEX('[1]REP DISEÑO'!$G$9:$G$1508,MATCH(C164,'[1]REP DISEÑO'!$D$9:$D$1508,0)),"")</f>
        <v/>
      </c>
      <c r="F164" s="51" t="str">
        <f>IFERROR(INDEX('[1]REP DISEÑO'!$I$9:$I$1508,MATCH(C164,'[1]REP DISEÑO'!$D$9:$D$1508,0)),"")</f>
        <v/>
      </c>
      <c r="G164" s="51" t="str">
        <f>IFERROR(INDEX('[1]REP DISEÑO'!$M$9:$M$1508,MATCH(C164,'[1]REP DISEÑO'!$D$9:$D$1508,0)),"")</f>
        <v/>
      </c>
      <c r="H164" s="51" t="str">
        <f>IFERROR(INDEX('[1]REP DISEÑO'!$J$9:$J$1508,MATCH(C164,'[1]REP DISEÑO'!$D$9:$D$1508,0)),"")</f>
        <v/>
      </c>
      <c r="I164" s="52" t="str">
        <f>IFERROR(INDEX('[1]REP DISEÑO'!$C$9:$C$1508,MATCH(C164,'[1]REP DISEÑO'!$D$9:$D$1508,0)),"")</f>
        <v/>
      </c>
      <c r="J164" s="53" t="str">
        <f>IF(C164="","",IF(ISNUMBER(FIND("AMU",$C$14:$C$548)),1,(SUMIF('[1]REP PRODUCCIÓN'!$H$6:$H$1505,"*"&amp;C164&amp;"*",'[1]REP PRODUCCIÓN'!$E$6:$E$1505))))</f>
        <v/>
      </c>
      <c r="K164" s="53">
        <f t="shared" si="7"/>
        <v>0</v>
      </c>
      <c r="M164" s="54" t="str">
        <f>IFERROR(INDEX('[1]REP DISEÑO'!$BA$9:$BA$1008,MATCH('INDIC-DIS2'!C164,'[1]REP DISEÑO'!$D$9:$D$1008,0)),"")</f>
        <v/>
      </c>
      <c r="N164" s="55"/>
      <c r="O164" s="55"/>
      <c r="P164" s="55"/>
      <c r="R164" s="57" t="str">
        <f t="shared" si="8"/>
        <v/>
      </c>
    </row>
    <row r="165" spans="2:18" ht="26.25" customHeight="1" x14ac:dyDescent="0.25">
      <c r="B165" s="49">
        <f t="shared" si="6"/>
        <v>0</v>
      </c>
      <c r="C165" s="50" t="str">
        <f t="array" ref="C165">IFERROR(INDEX('[1]REP DISEÑO'!$D$9:$D$1008,SMALL(IF('[1]REP DISEÑO'!$AW$9:$AW$1008=$J$1,ROW('[1]REP DISEÑO'!$N$9:$N$1008)-ROW('[1]REP DISEÑO'!$N$9),""),ROWS(C$14:C165))+1),"")</f>
        <v/>
      </c>
      <c r="D165" s="51" t="str">
        <f>IFERROR(INDEX('[1]REP DISEÑO'!$N$9:$N$1508,MATCH(C165,'[1]REP DISEÑO'!$D$9:$D$1508,0)),"")</f>
        <v/>
      </c>
      <c r="E165" s="51" t="str">
        <f>IFERROR(INDEX('[1]REP DISEÑO'!$G$9:$G$1508,MATCH(C165,'[1]REP DISEÑO'!$D$9:$D$1508,0)),"")</f>
        <v/>
      </c>
      <c r="F165" s="51" t="str">
        <f>IFERROR(INDEX('[1]REP DISEÑO'!$I$9:$I$1508,MATCH(C165,'[1]REP DISEÑO'!$D$9:$D$1508,0)),"")</f>
        <v/>
      </c>
      <c r="G165" s="51" t="str">
        <f>IFERROR(INDEX('[1]REP DISEÑO'!$M$9:$M$1508,MATCH(C165,'[1]REP DISEÑO'!$D$9:$D$1508,0)),"")</f>
        <v/>
      </c>
      <c r="H165" s="51" t="str">
        <f>IFERROR(INDEX('[1]REP DISEÑO'!$J$9:$J$1508,MATCH(C165,'[1]REP DISEÑO'!$D$9:$D$1508,0)),"")</f>
        <v/>
      </c>
      <c r="I165" s="52" t="str">
        <f>IFERROR(INDEX('[1]REP DISEÑO'!$C$9:$C$1508,MATCH(C165,'[1]REP DISEÑO'!$D$9:$D$1508,0)),"")</f>
        <v/>
      </c>
      <c r="J165" s="53" t="str">
        <f>IF(C165="","",IF(ISNUMBER(FIND("AMU",$C$14:$C$548)),1,(SUMIF('[1]REP PRODUCCIÓN'!$H$6:$H$1505,"*"&amp;C165&amp;"*",'[1]REP PRODUCCIÓN'!$E$6:$E$1505))))</f>
        <v/>
      </c>
      <c r="K165" s="53">
        <f t="shared" si="7"/>
        <v>0</v>
      </c>
      <c r="M165" s="54" t="str">
        <f>IFERROR(INDEX('[1]REP DISEÑO'!$BA$9:$BA$1008,MATCH('INDIC-DIS2'!C165,'[1]REP DISEÑO'!$D$9:$D$1008,0)),"")</f>
        <v/>
      </c>
      <c r="N165" s="55"/>
      <c r="O165" s="55"/>
      <c r="P165" s="55"/>
      <c r="R165" s="57" t="str">
        <f t="shared" si="8"/>
        <v/>
      </c>
    </row>
    <row r="166" spans="2:18" ht="26.25" customHeight="1" x14ac:dyDescent="0.25">
      <c r="B166" s="49">
        <f t="shared" si="6"/>
        <v>0</v>
      </c>
      <c r="C166" s="50" t="str">
        <f t="array" ref="C166">IFERROR(INDEX('[1]REP DISEÑO'!$D$9:$D$1008,SMALL(IF('[1]REP DISEÑO'!$AW$9:$AW$1008=$J$1,ROW('[1]REP DISEÑO'!$N$9:$N$1008)-ROW('[1]REP DISEÑO'!$N$9),""),ROWS(C$14:C166))+1),"")</f>
        <v/>
      </c>
      <c r="D166" s="51" t="str">
        <f>IFERROR(INDEX('[1]REP DISEÑO'!$N$9:$N$1508,MATCH(C166,'[1]REP DISEÑO'!$D$9:$D$1508,0)),"")</f>
        <v/>
      </c>
      <c r="E166" s="51" t="str">
        <f>IFERROR(INDEX('[1]REP DISEÑO'!$G$9:$G$1508,MATCH(C166,'[1]REP DISEÑO'!$D$9:$D$1508,0)),"")</f>
        <v/>
      </c>
      <c r="F166" s="51" t="str">
        <f>IFERROR(INDEX('[1]REP DISEÑO'!$I$9:$I$1508,MATCH(C166,'[1]REP DISEÑO'!$D$9:$D$1508,0)),"")</f>
        <v/>
      </c>
      <c r="G166" s="51" t="str">
        <f>IFERROR(INDEX('[1]REP DISEÑO'!$M$9:$M$1508,MATCH(C166,'[1]REP DISEÑO'!$D$9:$D$1508,0)),"")</f>
        <v/>
      </c>
      <c r="H166" s="51" t="str">
        <f>IFERROR(INDEX('[1]REP DISEÑO'!$J$9:$J$1508,MATCH(C166,'[1]REP DISEÑO'!$D$9:$D$1508,0)),"")</f>
        <v/>
      </c>
      <c r="I166" s="52" t="str">
        <f>IFERROR(INDEX('[1]REP DISEÑO'!$C$9:$C$1508,MATCH(C166,'[1]REP DISEÑO'!$D$9:$D$1508,0)),"")</f>
        <v/>
      </c>
      <c r="J166" s="53" t="str">
        <f>IF(C166="","",IF(ISNUMBER(FIND("AMU",$C$14:$C$548)),1,(SUMIF('[1]REP PRODUCCIÓN'!$H$6:$H$1505,"*"&amp;C166&amp;"*",'[1]REP PRODUCCIÓN'!$E$6:$E$1505))))</f>
        <v/>
      </c>
      <c r="K166" s="53">
        <f t="shared" si="7"/>
        <v>0</v>
      </c>
      <c r="M166" s="54" t="str">
        <f>IFERROR(INDEX('[1]REP DISEÑO'!$BA$9:$BA$1008,MATCH('INDIC-DIS2'!C166,'[1]REP DISEÑO'!$D$9:$D$1008,0)),"")</f>
        <v/>
      </c>
      <c r="N166" s="55"/>
      <c r="O166" s="55"/>
      <c r="P166" s="55"/>
      <c r="R166" s="57" t="str">
        <f t="shared" si="8"/>
        <v/>
      </c>
    </row>
    <row r="167" spans="2:18" ht="26.25" customHeight="1" x14ac:dyDescent="0.25">
      <c r="B167" s="49">
        <f t="shared" si="6"/>
        <v>0</v>
      </c>
      <c r="C167" s="50" t="str">
        <f t="array" ref="C167">IFERROR(INDEX('[1]REP DISEÑO'!$D$9:$D$1008,SMALL(IF('[1]REP DISEÑO'!$AW$9:$AW$1008=$J$1,ROW('[1]REP DISEÑO'!$N$9:$N$1008)-ROW('[1]REP DISEÑO'!$N$9),""),ROWS(C$14:C167))+1),"")</f>
        <v/>
      </c>
      <c r="D167" s="51" t="str">
        <f>IFERROR(INDEX('[1]REP DISEÑO'!$N$9:$N$1508,MATCH(C167,'[1]REP DISEÑO'!$D$9:$D$1508,0)),"")</f>
        <v/>
      </c>
      <c r="E167" s="51" t="str">
        <f>IFERROR(INDEX('[1]REP DISEÑO'!$G$9:$G$1508,MATCH(C167,'[1]REP DISEÑO'!$D$9:$D$1508,0)),"")</f>
        <v/>
      </c>
      <c r="F167" s="51" t="str">
        <f>IFERROR(INDEX('[1]REP DISEÑO'!$I$9:$I$1508,MATCH(C167,'[1]REP DISEÑO'!$D$9:$D$1508,0)),"")</f>
        <v/>
      </c>
      <c r="G167" s="51" t="str">
        <f>IFERROR(INDEX('[1]REP DISEÑO'!$M$9:$M$1508,MATCH(C167,'[1]REP DISEÑO'!$D$9:$D$1508,0)),"")</f>
        <v/>
      </c>
      <c r="H167" s="51" t="str">
        <f>IFERROR(INDEX('[1]REP DISEÑO'!$J$9:$J$1508,MATCH(C167,'[1]REP DISEÑO'!$D$9:$D$1508,0)),"")</f>
        <v/>
      </c>
      <c r="I167" s="52" t="str">
        <f>IFERROR(INDEX('[1]REP DISEÑO'!$C$9:$C$1508,MATCH(C167,'[1]REP DISEÑO'!$D$9:$D$1508,0)),"")</f>
        <v/>
      </c>
      <c r="J167" s="53" t="str">
        <f>IF(C167="","",IF(ISNUMBER(FIND("AMU",$C$14:$C$548)),1,(SUMIF('[1]REP PRODUCCIÓN'!$H$6:$H$1505,"*"&amp;C167&amp;"*",'[1]REP PRODUCCIÓN'!$E$6:$E$1505))))</f>
        <v/>
      </c>
      <c r="K167" s="53">
        <f t="shared" si="7"/>
        <v>0</v>
      </c>
      <c r="M167" s="54" t="str">
        <f>IFERROR(INDEX('[1]REP DISEÑO'!$BA$9:$BA$1008,MATCH('INDIC-DIS2'!C167,'[1]REP DISEÑO'!$D$9:$D$1008,0)),"")</f>
        <v/>
      </c>
      <c r="N167" s="55"/>
      <c r="O167" s="55"/>
      <c r="P167" s="55"/>
      <c r="R167" s="57" t="str">
        <f t="shared" si="8"/>
        <v/>
      </c>
    </row>
    <row r="168" spans="2:18" ht="26.25" customHeight="1" x14ac:dyDescent="0.25">
      <c r="B168" s="49">
        <f t="shared" si="6"/>
        <v>0</v>
      </c>
      <c r="C168" s="50" t="str">
        <f t="array" ref="C168">IFERROR(INDEX('[1]REP DISEÑO'!$D$9:$D$1008,SMALL(IF('[1]REP DISEÑO'!$AW$9:$AW$1008=$J$1,ROW('[1]REP DISEÑO'!$N$9:$N$1008)-ROW('[1]REP DISEÑO'!$N$9),""),ROWS(C$14:C168))+1),"")</f>
        <v/>
      </c>
      <c r="D168" s="51" t="str">
        <f>IFERROR(INDEX('[1]REP DISEÑO'!$N$9:$N$1508,MATCH(C168,'[1]REP DISEÑO'!$D$9:$D$1508,0)),"")</f>
        <v/>
      </c>
      <c r="E168" s="51" t="str">
        <f>IFERROR(INDEX('[1]REP DISEÑO'!$G$9:$G$1508,MATCH(C168,'[1]REP DISEÑO'!$D$9:$D$1508,0)),"")</f>
        <v/>
      </c>
      <c r="F168" s="51" t="str">
        <f>IFERROR(INDEX('[1]REP DISEÑO'!$I$9:$I$1508,MATCH(C168,'[1]REP DISEÑO'!$D$9:$D$1508,0)),"")</f>
        <v/>
      </c>
      <c r="G168" s="51" t="str">
        <f>IFERROR(INDEX('[1]REP DISEÑO'!$M$9:$M$1508,MATCH(C168,'[1]REP DISEÑO'!$D$9:$D$1508,0)),"")</f>
        <v/>
      </c>
      <c r="H168" s="51" t="str">
        <f>IFERROR(INDEX('[1]REP DISEÑO'!$J$9:$J$1508,MATCH(C168,'[1]REP DISEÑO'!$D$9:$D$1508,0)),"")</f>
        <v/>
      </c>
      <c r="I168" s="52" t="str">
        <f>IFERROR(INDEX('[1]REP DISEÑO'!$C$9:$C$1508,MATCH(C168,'[1]REP DISEÑO'!$D$9:$D$1508,0)),"")</f>
        <v/>
      </c>
      <c r="J168" s="53" t="str">
        <f>IF(C168="","",IF(ISNUMBER(FIND("AMU",$C$14:$C$548)),1,(SUMIF('[1]REP PRODUCCIÓN'!$H$6:$H$1505,"*"&amp;C168&amp;"*",'[1]REP PRODUCCIÓN'!$E$6:$E$1505))))</f>
        <v/>
      </c>
      <c r="K168" s="53">
        <f t="shared" si="7"/>
        <v>0</v>
      </c>
      <c r="M168" s="54" t="str">
        <f>IFERROR(INDEX('[1]REP DISEÑO'!$BA$9:$BA$1008,MATCH('INDIC-DIS2'!C168,'[1]REP DISEÑO'!$D$9:$D$1008,0)),"")</f>
        <v/>
      </c>
      <c r="N168" s="55"/>
      <c r="O168" s="55"/>
      <c r="P168" s="55"/>
      <c r="R168" s="57" t="str">
        <f t="shared" si="8"/>
        <v/>
      </c>
    </row>
    <row r="169" spans="2:18" ht="26.25" customHeight="1" x14ac:dyDescent="0.25">
      <c r="B169" s="49">
        <f t="shared" si="6"/>
        <v>0</v>
      </c>
      <c r="C169" s="50" t="str">
        <f t="array" ref="C169">IFERROR(INDEX('[1]REP DISEÑO'!$D$9:$D$1008,SMALL(IF('[1]REP DISEÑO'!$AW$9:$AW$1008=$J$1,ROW('[1]REP DISEÑO'!$N$9:$N$1008)-ROW('[1]REP DISEÑO'!$N$9),""),ROWS(C$14:C169))+1),"")</f>
        <v/>
      </c>
      <c r="D169" s="51" t="str">
        <f>IFERROR(INDEX('[1]REP DISEÑO'!$N$9:$N$1508,MATCH(C169,'[1]REP DISEÑO'!$D$9:$D$1508,0)),"")</f>
        <v/>
      </c>
      <c r="E169" s="51" t="str">
        <f>IFERROR(INDEX('[1]REP DISEÑO'!$G$9:$G$1508,MATCH(C169,'[1]REP DISEÑO'!$D$9:$D$1508,0)),"")</f>
        <v/>
      </c>
      <c r="F169" s="51" t="str">
        <f>IFERROR(INDEX('[1]REP DISEÑO'!$I$9:$I$1508,MATCH(C169,'[1]REP DISEÑO'!$D$9:$D$1508,0)),"")</f>
        <v/>
      </c>
      <c r="G169" s="51" t="str">
        <f>IFERROR(INDEX('[1]REP DISEÑO'!$M$9:$M$1508,MATCH(C169,'[1]REP DISEÑO'!$D$9:$D$1508,0)),"")</f>
        <v/>
      </c>
      <c r="H169" s="51" t="str">
        <f>IFERROR(INDEX('[1]REP DISEÑO'!$J$9:$J$1508,MATCH(C169,'[1]REP DISEÑO'!$D$9:$D$1508,0)),"")</f>
        <v/>
      </c>
      <c r="I169" s="52" t="str">
        <f>IFERROR(INDEX('[1]REP DISEÑO'!$C$9:$C$1508,MATCH(C169,'[1]REP DISEÑO'!$D$9:$D$1508,0)),"")</f>
        <v/>
      </c>
      <c r="J169" s="53" t="str">
        <f>IF(C169="","",IF(ISNUMBER(FIND("AMU",$C$14:$C$548)),1,(SUMIF('[1]REP PRODUCCIÓN'!$H$6:$H$1505,"*"&amp;C169&amp;"*",'[1]REP PRODUCCIÓN'!$E$6:$E$1505))))</f>
        <v/>
      </c>
      <c r="K169" s="53">
        <f t="shared" si="7"/>
        <v>0</v>
      </c>
      <c r="M169" s="54" t="str">
        <f>IFERROR(INDEX('[1]REP DISEÑO'!$BA$9:$BA$1008,MATCH('INDIC-DIS2'!C169,'[1]REP DISEÑO'!$D$9:$D$1008,0)),"")</f>
        <v/>
      </c>
      <c r="N169" s="55"/>
      <c r="O169" s="55"/>
      <c r="P169" s="55"/>
      <c r="R169" s="57" t="str">
        <f t="shared" si="8"/>
        <v/>
      </c>
    </row>
    <row r="170" spans="2:18" ht="26.25" customHeight="1" x14ac:dyDescent="0.25">
      <c r="B170" s="49">
        <f t="shared" si="6"/>
        <v>0</v>
      </c>
      <c r="C170" s="50" t="str">
        <f t="array" ref="C170">IFERROR(INDEX('[1]REP DISEÑO'!$D$9:$D$1008,SMALL(IF('[1]REP DISEÑO'!$AW$9:$AW$1008=$J$1,ROW('[1]REP DISEÑO'!$N$9:$N$1008)-ROW('[1]REP DISEÑO'!$N$9),""),ROWS(C$14:C170))+1),"")</f>
        <v/>
      </c>
      <c r="D170" s="51" t="str">
        <f>IFERROR(INDEX('[1]REP DISEÑO'!$N$9:$N$1508,MATCH(C170,'[1]REP DISEÑO'!$D$9:$D$1508,0)),"")</f>
        <v/>
      </c>
      <c r="E170" s="51" t="str">
        <f>IFERROR(INDEX('[1]REP DISEÑO'!$G$9:$G$1508,MATCH(C170,'[1]REP DISEÑO'!$D$9:$D$1508,0)),"")</f>
        <v/>
      </c>
      <c r="F170" s="51" t="str">
        <f>IFERROR(INDEX('[1]REP DISEÑO'!$I$9:$I$1508,MATCH(C170,'[1]REP DISEÑO'!$D$9:$D$1508,0)),"")</f>
        <v/>
      </c>
      <c r="G170" s="51" t="str">
        <f>IFERROR(INDEX('[1]REP DISEÑO'!$M$9:$M$1508,MATCH(C170,'[1]REP DISEÑO'!$D$9:$D$1508,0)),"")</f>
        <v/>
      </c>
      <c r="H170" s="51" t="str">
        <f>IFERROR(INDEX('[1]REP DISEÑO'!$J$9:$J$1508,MATCH(C170,'[1]REP DISEÑO'!$D$9:$D$1508,0)),"")</f>
        <v/>
      </c>
      <c r="I170" s="52" t="str">
        <f>IFERROR(INDEX('[1]REP DISEÑO'!$C$9:$C$1508,MATCH(C170,'[1]REP DISEÑO'!$D$9:$D$1508,0)),"")</f>
        <v/>
      </c>
      <c r="J170" s="53" t="str">
        <f>IF(C170="","",IF(ISNUMBER(FIND("AMU",$C$14:$C$548)),1,(SUMIF('[1]REP PRODUCCIÓN'!$H$6:$H$1505,"*"&amp;C170&amp;"*",'[1]REP PRODUCCIÓN'!$E$6:$E$1505))))</f>
        <v/>
      </c>
      <c r="K170" s="53">
        <f t="shared" si="7"/>
        <v>0</v>
      </c>
      <c r="M170" s="54" t="str">
        <f>IFERROR(INDEX('[1]REP DISEÑO'!$BA$9:$BA$1008,MATCH('INDIC-DIS2'!C170,'[1]REP DISEÑO'!$D$9:$D$1008,0)),"")</f>
        <v/>
      </c>
      <c r="N170" s="55"/>
      <c r="O170" s="55"/>
      <c r="P170" s="55"/>
      <c r="R170" s="57" t="str">
        <f t="shared" si="8"/>
        <v/>
      </c>
    </row>
    <row r="171" spans="2:18" ht="26.25" customHeight="1" x14ac:dyDescent="0.25">
      <c r="B171" s="49">
        <f t="shared" si="6"/>
        <v>0</v>
      </c>
      <c r="C171" s="50" t="str">
        <f t="array" ref="C171">IFERROR(INDEX('[1]REP DISEÑO'!$D$9:$D$1008,SMALL(IF('[1]REP DISEÑO'!$AW$9:$AW$1008=$J$1,ROW('[1]REP DISEÑO'!$N$9:$N$1008)-ROW('[1]REP DISEÑO'!$N$9),""),ROWS(C$14:C171))+1),"")</f>
        <v/>
      </c>
      <c r="D171" s="51" t="str">
        <f>IFERROR(INDEX('[1]REP DISEÑO'!$N$9:$N$1508,MATCH(C171,'[1]REP DISEÑO'!$D$9:$D$1508,0)),"")</f>
        <v/>
      </c>
      <c r="E171" s="51" t="str">
        <f>IFERROR(INDEX('[1]REP DISEÑO'!$G$9:$G$1508,MATCH(C171,'[1]REP DISEÑO'!$D$9:$D$1508,0)),"")</f>
        <v/>
      </c>
      <c r="F171" s="51" t="str">
        <f>IFERROR(INDEX('[1]REP DISEÑO'!$I$9:$I$1508,MATCH(C171,'[1]REP DISEÑO'!$D$9:$D$1508,0)),"")</f>
        <v/>
      </c>
      <c r="G171" s="51" t="str">
        <f>IFERROR(INDEX('[1]REP DISEÑO'!$M$9:$M$1508,MATCH(C171,'[1]REP DISEÑO'!$D$9:$D$1508,0)),"")</f>
        <v/>
      </c>
      <c r="H171" s="51" t="str">
        <f>IFERROR(INDEX('[1]REP DISEÑO'!$J$9:$J$1508,MATCH(C171,'[1]REP DISEÑO'!$D$9:$D$1508,0)),"")</f>
        <v/>
      </c>
      <c r="I171" s="52" t="str">
        <f>IFERROR(INDEX('[1]REP DISEÑO'!$C$9:$C$1508,MATCH(C171,'[1]REP DISEÑO'!$D$9:$D$1508,0)),"")</f>
        <v/>
      </c>
      <c r="J171" s="53" t="str">
        <f>IF(C171="","",IF(ISNUMBER(FIND("AMU",$C$14:$C$548)),1,(SUMIF('[1]REP PRODUCCIÓN'!$H$6:$H$1505,"*"&amp;C171&amp;"*",'[1]REP PRODUCCIÓN'!$E$6:$E$1505))))</f>
        <v/>
      </c>
      <c r="K171" s="53">
        <f t="shared" si="7"/>
        <v>0</v>
      </c>
      <c r="M171" s="54" t="str">
        <f>IFERROR(INDEX('[1]REP DISEÑO'!$BA$9:$BA$1008,MATCH('INDIC-DIS2'!C171,'[1]REP DISEÑO'!$D$9:$D$1008,0)),"")</f>
        <v/>
      </c>
      <c r="N171" s="55"/>
      <c r="O171" s="55"/>
      <c r="P171" s="55"/>
      <c r="R171" s="57" t="str">
        <f t="shared" si="8"/>
        <v/>
      </c>
    </row>
    <row r="172" spans="2:18" ht="26.25" customHeight="1" x14ac:dyDescent="0.25">
      <c r="B172" s="49">
        <f t="shared" si="6"/>
        <v>0</v>
      </c>
      <c r="C172" s="50" t="str">
        <f t="array" ref="C172">IFERROR(INDEX('[1]REP DISEÑO'!$D$9:$D$1008,SMALL(IF('[1]REP DISEÑO'!$AW$9:$AW$1008=$J$1,ROW('[1]REP DISEÑO'!$N$9:$N$1008)-ROW('[1]REP DISEÑO'!$N$9),""),ROWS(C$14:C172))+1),"")</f>
        <v/>
      </c>
      <c r="D172" s="51" t="str">
        <f>IFERROR(INDEX('[1]REP DISEÑO'!$N$9:$N$1508,MATCH(C172,'[1]REP DISEÑO'!$D$9:$D$1508,0)),"")</f>
        <v/>
      </c>
      <c r="E172" s="51" t="str">
        <f>IFERROR(INDEX('[1]REP DISEÑO'!$G$9:$G$1508,MATCH(C172,'[1]REP DISEÑO'!$D$9:$D$1508,0)),"")</f>
        <v/>
      </c>
      <c r="F172" s="51" t="str">
        <f>IFERROR(INDEX('[1]REP DISEÑO'!$I$9:$I$1508,MATCH(C172,'[1]REP DISEÑO'!$D$9:$D$1508,0)),"")</f>
        <v/>
      </c>
      <c r="G172" s="51" t="str">
        <f>IFERROR(INDEX('[1]REP DISEÑO'!$M$9:$M$1508,MATCH(C172,'[1]REP DISEÑO'!$D$9:$D$1508,0)),"")</f>
        <v/>
      </c>
      <c r="H172" s="51" t="str">
        <f>IFERROR(INDEX('[1]REP DISEÑO'!$J$9:$J$1508,MATCH(C172,'[1]REP DISEÑO'!$D$9:$D$1508,0)),"")</f>
        <v/>
      </c>
      <c r="I172" s="52" t="str">
        <f>IFERROR(INDEX('[1]REP DISEÑO'!$C$9:$C$1508,MATCH(C172,'[1]REP DISEÑO'!$D$9:$D$1508,0)),"")</f>
        <v/>
      </c>
      <c r="J172" s="53" t="str">
        <f>IF(C172="","",IF(ISNUMBER(FIND("AMU",$C$14:$C$548)),1,(SUMIF('[1]REP PRODUCCIÓN'!$H$6:$H$1505,"*"&amp;C172&amp;"*",'[1]REP PRODUCCIÓN'!$E$6:$E$1505))))</f>
        <v/>
      </c>
      <c r="K172" s="53">
        <f t="shared" si="7"/>
        <v>0</v>
      </c>
      <c r="M172" s="54" t="str">
        <f>IFERROR(INDEX('[1]REP DISEÑO'!$BA$9:$BA$1008,MATCH('INDIC-DIS2'!C172,'[1]REP DISEÑO'!$D$9:$D$1008,0)),"")</f>
        <v/>
      </c>
      <c r="N172" s="55"/>
      <c r="O172" s="55"/>
      <c r="P172" s="55"/>
      <c r="R172" s="57" t="str">
        <f t="shared" si="8"/>
        <v/>
      </c>
    </row>
    <row r="173" spans="2:18" ht="26.25" customHeight="1" x14ac:dyDescent="0.25">
      <c r="B173" s="49">
        <f t="shared" si="6"/>
        <v>0</v>
      </c>
      <c r="C173" s="50" t="str">
        <f t="array" ref="C173">IFERROR(INDEX('[1]REP DISEÑO'!$D$9:$D$1008,SMALL(IF('[1]REP DISEÑO'!$AW$9:$AW$1008=$J$1,ROW('[1]REP DISEÑO'!$N$9:$N$1008)-ROW('[1]REP DISEÑO'!$N$9),""),ROWS(C$14:C173))+1),"")</f>
        <v/>
      </c>
      <c r="D173" s="51" t="str">
        <f>IFERROR(INDEX('[1]REP DISEÑO'!$N$9:$N$1508,MATCH(C173,'[1]REP DISEÑO'!$D$9:$D$1508,0)),"")</f>
        <v/>
      </c>
      <c r="E173" s="51" t="str">
        <f>IFERROR(INDEX('[1]REP DISEÑO'!$G$9:$G$1508,MATCH(C173,'[1]REP DISEÑO'!$D$9:$D$1508,0)),"")</f>
        <v/>
      </c>
      <c r="F173" s="51" t="str">
        <f>IFERROR(INDEX('[1]REP DISEÑO'!$I$9:$I$1508,MATCH(C173,'[1]REP DISEÑO'!$D$9:$D$1508,0)),"")</f>
        <v/>
      </c>
      <c r="G173" s="51" t="str">
        <f>IFERROR(INDEX('[1]REP DISEÑO'!$M$9:$M$1508,MATCH(C173,'[1]REP DISEÑO'!$D$9:$D$1508,0)),"")</f>
        <v/>
      </c>
      <c r="H173" s="51" t="str">
        <f>IFERROR(INDEX('[1]REP DISEÑO'!$J$9:$J$1508,MATCH(C173,'[1]REP DISEÑO'!$D$9:$D$1508,0)),"")</f>
        <v/>
      </c>
      <c r="I173" s="52" t="str">
        <f>IFERROR(INDEX('[1]REP DISEÑO'!$C$9:$C$1508,MATCH(C173,'[1]REP DISEÑO'!$D$9:$D$1508,0)),"")</f>
        <v/>
      </c>
      <c r="J173" s="53" t="str">
        <f>IF(C173="","",IF(ISNUMBER(FIND("AMU",$C$14:$C$548)),1,(SUMIF('[1]REP PRODUCCIÓN'!$H$6:$H$1505,"*"&amp;C173&amp;"*",'[1]REP PRODUCCIÓN'!$E$6:$E$1505))))</f>
        <v/>
      </c>
      <c r="K173" s="53">
        <f t="shared" si="7"/>
        <v>0</v>
      </c>
      <c r="M173" s="54" t="str">
        <f>IFERROR(INDEX('[1]REP DISEÑO'!$BA$9:$BA$1008,MATCH('INDIC-DIS2'!C173,'[1]REP DISEÑO'!$D$9:$D$1008,0)),"")</f>
        <v/>
      </c>
      <c r="N173" s="55"/>
      <c r="O173" s="55"/>
      <c r="P173" s="55"/>
      <c r="R173" s="57" t="str">
        <f t="shared" si="8"/>
        <v/>
      </c>
    </row>
    <row r="174" spans="2:18" ht="26.25" customHeight="1" x14ac:dyDescent="0.25">
      <c r="B174" s="49">
        <f t="shared" si="6"/>
        <v>0</v>
      </c>
      <c r="C174" s="50" t="str">
        <f t="array" ref="C174">IFERROR(INDEX('[1]REP DISEÑO'!$D$9:$D$1008,SMALL(IF('[1]REP DISEÑO'!$AW$9:$AW$1008=$J$1,ROW('[1]REP DISEÑO'!$N$9:$N$1008)-ROW('[1]REP DISEÑO'!$N$9),""),ROWS(C$14:C174))+1),"")</f>
        <v/>
      </c>
      <c r="D174" s="51" t="str">
        <f>IFERROR(INDEX('[1]REP DISEÑO'!$N$9:$N$1508,MATCH(C174,'[1]REP DISEÑO'!$D$9:$D$1508,0)),"")</f>
        <v/>
      </c>
      <c r="E174" s="51" t="str">
        <f>IFERROR(INDEX('[1]REP DISEÑO'!$G$9:$G$1508,MATCH(C174,'[1]REP DISEÑO'!$D$9:$D$1508,0)),"")</f>
        <v/>
      </c>
      <c r="F174" s="51" t="str">
        <f>IFERROR(INDEX('[1]REP DISEÑO'!$I$9:$I$1508,MATCH(C174,'[1]REP DISEÑO'!$D$9:$D$1508,0)),"")</f>
        <v/>
      </c>
      <c r="G174" s="51" t="str">
        <f>IFERROR(INDEX('[1]REP DISEÑO'!$M$9:$M$1508,MATCH(C174,'[1]REP DISEÑO'!$D$9:$D$1508,0)),"")</f>
        <v/>
      </c>
      <c r="H174" s="51" t="str">
        <f>IFERROR(INDEX('[1]REP DISEÑO'!$J$9:$J$1508,MATCH(C174,'[1]REP DISEÑO'!$D$9:$D$1508,0)),"")</f>
        <v/>
      </c>
      <c r="I174" s="52" t="str">
        <f>IFERROR(INDEX('[1]REP DISEÑO'!$C$9:$C$1508,MATCH(C174,'[1]REP DISEÑO'!$D$9:$D$1508,0)),"")</f>
        <v/>
      </c>
      <c r="J174" s="53" t="str">
        <f>IF(C174="","",IF(ISNUMBER(FIND("AMU",$C$14:$C$548)),1,(SUMIF('[1]REP PRODUCCIÓN'!$H$6:$H$1505,"*"&amp;C174&amp;"*",'[1]REP PRODUCCIÓN'!$E$6:$E$1505))))</f>
        <v/>
      </c>
      <c r="K174" s="53">
        <f t="shared" si="7"/>
        <v>0</v>
      </c>
      <c r="M174" s="54" t="str">
        <f>IFERROR(INDEX('[1]REP DISEÑO'!$BA$9:$BA$1008,MATCH('INDIC-DIS2'!C174,'[1]REP DISEÑO'!$D$9:$D$1008,0)),"")</f>
        <v/>
      </c>
      <c r="N174" s="55"/>
      <c r="O174" s="55"/>
      <c r="P174" s="55"/>
      <c r="R174" s="57" t="str">
        <f t="shared" si="8"/>
        <v/>
      </c>
    </row>
    <row r="175" spans="2:18" ht="26.25" customHeight="1" x14ac:dyDescent="0.25">
      <c r="B175" s="49">
        <f t="shared" si="6"/>
        <v>0</v>
      </c>
      <c r="C175" s="50" t="str">
        <f t="array" ref="C175">IFERROR(INDEX('[1]REP DISEÑO'!$D$9:$D$1008,SMALL(IF('[1]REP DISEÑO'!$AW$9:$AW$1008=$J$1,ROW('[1]REP DISEÑO'!$N$9:$N$1008)-ROW('[1]REP DISEÑO'!$N$9),""),ROWS(C$14:C175))+1),"")</f>
        <v/>
      </c>
      <c r="D175" s="51" t="str">
        <f>IFERROR(INDEX('[1]REP DISEÑO'!$N$9:$N$1508,MATCH(C175,'[1]REP DISEÑO'!$D$9:$D$1508,0)),"")</f>
        <v/>
      </c>
      <c r="E175" s="51" t="str">
        <f>IFERROR(INDEX('[1]REP DISEÑO'!$G$9:$G$1508,MATCH(C175,'[1]REP DISEÑO'!$D$9:$D$1508,0)),"")</f>
        <v/>
      </c>
      <c r="F175" s="51" t="str">
        <f>IFERROR(INDEX('[1]REP DISEÑO'!$I$9:$I$1508,MATCH(C175,'[1]REP DISEÑO'!$D$9:$D$1508,0)),"")</f>
        <v/>
      </c>
      <c r="G175" s="51" t="str">
        <f>IFERROR(INDEX('[1]REP DISEÑO'!$M$9:$M$1508,MATCH(C175,'[1]REP DISEÑO'!$D$9:$D$1508,0)),"")</f>
        <v/>
      </c>
      <c r="H175" s="51" t="str">
        <f>IFERROR(INDEX('[1]REP DISEÑO'!$J$9:$J$1508,MATCH(C175,'[1]REP DISEÑO'!$D$9:$D$1508,0)),"")</f>
        <v/>
      </c>
      <c r="I175" s="52" t="str">
        <f>IFERROR(INDEX('[1]REP DISEÑO'!$C$9:$C$1508,MATCH(C175,'[1]REP DISEÑO'!$D$9:$D$1508,0)),"")</f>
        <v/>
      </c>
      <c r="J175" s="53" t="str">
        <f>IF(C175="","",IF(ISNUMBER(FIND("AMU",$C$14:$C$548)),1,(SUMIF('[1]REP PRODUCCIÓN'!$H$6:$H$1505,"*"&amp;C175&amp;"*",'[1]REP PRODUCCIÓN'!$E$6:$E$1505))))</f>
        <v/>
      </c>
      <c r="K175" s="53">
        <f t="shared" si="7"/>
        <v>0</v>
      </c>
      <c r="M175" s="54" t="str">
        <f>IFERROR(INDEX('[1]REP DISEÑO'!$BA$9:$BA$1008,MATCH('INDIC-DIS2'!C175,'[1]REP DISEÑO'!$D$9:$D$1008,0)),"")</f>
        <v/>
      </c>
      <c r="N175" s="55"/>
      <c r="O175" s="55"/>
      <c r="P175" s="55"/>
      <c r="R175" s="57" t="str">
        <f t="shared" si="8"/>
        <v/>
      </c>
    </row>
    <row r="176" spans="2:18" ht="26.25" customHeight="1" x14ac:dyDescent="0.25">
      <c r="B176" s="49">
        <f t="shared" si="6"/>
        <v>0</v>
      </c>
      <c r="C176" s="50" t="str">
        <f t="array" ref="C176">IFERROR(INDEX('[1]REP DISEÑO'!$D$9:$D$1008,SMALL(IF('[1]REP DISEÑO'!$AW$9:$AW$1008=$J$1,ROW('[1]REP DISEÑO'!$N$9:$N$1008)-ROW('[1]REP DISEÑO'!$N$9),""),ROWS(C$14:C176))+1),"")</f>
        <v/>
      </c>
      <c r="D176" s="51" t="str">
        <f>IFERROR(INDEX('[1]REP DISEÑO'!$N$9:$N$1508,MATCH(C176,'[1]REP DISEÑO'!$D$9:$D$1508,0)),"")</f>
        <v/>
      </c>
      <c r="E176" s="51" t="str">
        <f>IFERROR(INDEX('[1]REP DISEÑO'!$G$9:$G$1508,MATCH(C176,'[1]REP DISEÑO'!$D$9:$D$1508,0)),"")</f>
        <v/>
      </c>
      <c r="F176" s="51" t="str">
        <f>IFERROR(INDEX('[1]REP DISEÑO'!$I$9:$I$1508,MATCH(C176,'[1]REP DISEÑO'!$D$9:$D$1508,0)),"")</f>
        <v/>
      </c>
      <c r="G176" s="51" t="str">
        <f>IFERROR(INDEX('[1]REP DISEÑO'!$M$9:$M$1508,MATCH(C176,'[1]REP DISEÑO'!$D$9:$D$1508,0)),"")</f>
        <v/>
      </c>
      <c r="H176" s="51" t="str">
        <f>IFERROR(INDEX('[1]REP DISEÑO'!$J$9:$J$1508,MATCH(C176,'[1]REP DISEÑO'!$D$9:$D$1508,0)),"")</f>
        <v/>
      </c>
      <c r="I176" s="52" t="str">
        <f>IFERROR(INDEX('[1]REP DISEÑO'!$C$9:$C$1508,MATCH(C176,'[1]REP DISEÑO'!$D$9:$D$1508,0)),"")</f>
        <v/>
      </c>
      <c r="J176" s="53" t="str">
        <f>IF(C176="","",IF(ISNUMBER(FIND("AMU",$C$14:$C$548)),1,(SUMIF('[1]REP PRODUCCIÓN'!$H$6:$H$1505,"*"&amp;C176&amp;"*",'[1]REP PRODUCCIÓN'!$E$6:$E$1505))))</f>
        <v/>
      </c>
      <c r="K176" s="53">
        <f t="shared" si="7"/>
        <v>0</v>
      </c>
      <c r="M176" s="54" t="str">
        <f>IFERROR(INDEX('[1]REP DISEÑO'!$BA$9:$BA$1008,MATCH('INDIC-DIS2'!C176,'[1]REP DISEÑO'!$D$9:$D$1008,0)),"")</f>
        <v/>
      </c>
      <c r="N176" s="55"/>
      <c r="O176" s="55"/>
      <c r="P176" s="55"/>
      <c r="R176" s="57" t="str">
        <f t="shared" si="8"/>
        <v/>
      </c>
    </row>
    <row r="177" spans="2:18" ht="26.25" customHeight="1" x14ac:dyDescent="0.25">
      <c r="B177" s="49">
        <f t="shared" si="6"/>
        <v>0</v>
      </c>
      <c r="C177" s="50" t="str">
        <f t="array" ref="C177">IFERROR(INDEX('[1]REP DISEÑO'!$D$9:$D$1008,SMALL(IF('[1]REP DISEÑO'!$AW$9:$AW$1008=$J$1,ROW('[1]REP DISEÑO'!$N$9:$N$1008)-ROW('[1]REP DISEÑO'!$N$9),""),ROWS(C$14:C177))+1),"")</f>
        <v/>
      </c>
      <c r="D177" s="51" t="str">
        <f>IFERROR(INDEX('[1]REP DISEÑO'!$N$9:$N$1508,MATCH(C177,'[1]REP DISEÑO'!$D$9:$D$1508,0)),"")</f>
        <v/>
      </c>
      <c r="E177" s="51" t="str">
        <f>IFERROR(INDEX('[1]REP DISEÑO'!$G$9:$G$1508,MATCH(C177,'[1]REP DISEÑO'!$D$9:$D$1508,0)),"")</f>
        <v/>
      </c>
      <c r="F177" s="51" t="str">
        <f>IFERROR(INDEX('[1]REP DISEÑO'!$I$9:$I$1508,MATCH(C177,'[1]REP DISEÑO'!$D$9:$D$1508,0)),"")</f>
        <v/>
      </c>
      <c r="G177" s="51" t="str">
        <f>IFERROR(INDEX('[1]REP DISEÑO'!$M$9:$M$1508,MATCH(C177,'[1]REP DISEÑO'!$D$9:$D$1508,0)),"")</f>
        <v/>
      </c>
      <c r="H177" s="51" t="str">
        <f>IFERROR(INDEX('[1]REP DISEÑO'!$J$9:$J$1508,MATCH(C177,'[1]REP DISEÑO'!$D$9:$D$1508,0)),"")</f>
        <v/>
      </c>
      <c r="I177" s="52" t="str">
        <f>IFERROR(INDEX('[1]REP DISEÑO'!$C$9:$C$1508,MATCH(C177,'[1]REP DISEÑO'!$D$9:$D$1508,0)),"")</f>
        <v/>
      </c>
      <c r="J177" s="53" t="str">
        <f>IF(C177="","",IF(ISNUMBER(FIND("AMU",$C$14:$C$548)),1,(SUMIF('[1]REP PRODUCCIÓN'!$H$6:$H$1505,"*"&amp;C177&amp;"*",'[1]REP PRODUCCIÓN'!$E$6:$E$1505))))</f>
        <v/>
      </c>
      <c r="K177" s="53">
        <f t="shared" si="7"/>
        <v>0</v>
      </c>
      <c r="M177" s="54" t="str">
        <f>IFERROR(INDEX('[1]REP DISEÑO'!$BA$9:$BA$1008,MATCH('INDIC-DIS2'!C177,'[1]REP DISEÑO'!$D$9:$D$1008,0)),"")</f>
        <v/>
      </c>
      <c r="N177" s="55"/>
      <c r="O177" s="55"/>
      <c r="P177" s="55"/>
      <c r="R177" s="57" t="str">
        <f t="shared" si="8"/>
        <v/>
      </c>
    </row>
    <row r="178" spans="2:18" ht="26.25" customHeight="1" x14ac:dyDescent="0.25">
      <c r="B178" s="49">
        <f t="shared" si="6"/>
        <v>0</v>
      </c>
      <c r="C178" s="50" t="str">
        <f t="array" ref="C178">IFERROR(INDEX('[1]REP DISEÑO'!$D$9:$D$1008,SMALL(IF('[1]REP DISEÑO'!$AW$9:$AW$1008=$J$1,ROW('[1]REP DISEÑO'!$N$9:$N$1008)-ROW('[1]REP DISEÑO'!$N$9),""),ROWS(C$14:C178))+1),"")</f>
        <v/>
      </c>
      <c r="D178" s="51" t="str">
        <f>IFERROR(INDEX('[1]REP DISEÑO'!$N$9:$N$1508,MATCH(C178,'[1]REP DISEÑO'!$D$9:$D$1508,0)),"")</f>
        <v/>
      </c>
      <c r="E178" s="51" t="str">
        <f>IFERROR(INDEX('[1]REP DISEÑO'!$G$9:$G$1508,MATCH(C178,'[1]REP DISEÑO'!$D$9:$D$1508,0)),"")</f>
        <v/>
      </c>
      <c r="F178" s="51" t="str">
        <f>IFERROR(INDEX('[1]REP DISEÑO'!$I$9:$I$1508,MATCH(C178,'[1]REP DISEÑO'!$D$9:$D$1508,0)),"")</f>
        <v/>
      </c>
      <c r="G178" s="51" t="str">
        <f>IFERROR(INDEX('[1]REP DISEÑO'!$M$9:$M$1508,MATCH(C178,'[1]REP DISEÑO'!$D$9:$D$1508,0)),"")</f>
        <v/>
      </c>
      <c r="H178" s="51" t="str">
        <f>IFERROR(INDEX('[1]REP DISEÑO'!$J$9:$J$1508,MATCH(C178,'[1]REP DISEÑO'!$D$9:$D$1508,0)),"")</f>
        <v/>
      </c>
      <c r="I178" s="52" t="str">
        <f>IFERROR(INDEX('[1]REP DISEÑO'!$C$9:$C$1508,MATCH(C178,'[1]REP DISEÑO'!$D$9:$D$1508,0)),"")</f>
        <v/>
      </c>
      <c r="J178" s="53" t="str">
        <f>IF(C178="","",IF(ISNUMBER(FIND("AMU",$C$14:$C$548)),1,(SUMIF('[1]REP PRODUCCIÓN'!$H$6:$H$1505,"*"&amp;C178&amp;"*",'[1]REP PRODUCCIÓN'!$E$6:$E$1505))))</f>
        <v/>
      </c>
      <c r="K178" s="53">
        <f t="shared" si="7"/>
        <v>0</v>
      </c>
      <c r="M178" s="54" t="str">
        <f>IFERROR(INDEX('[1]REP DISEÑO'!$BA$9:$BA$1008,MATCH('INDIC-DIS2'!C178,'[1]REP DISEÑO'!$D$9:$D$1008,0)),"")</f>
        <v/>
      </c>
      <c r="N178" s="55"/>
      <c r="O178" s="55"/>
      <c r="P178" s="55"/>
      <c r="R178" s="57" t="str">
        <f t="shared" si="8"/>
        <v/>
      </c>
    </row>
    <row r="179" spans="2:18" ht="26.25" customHeight="1" x14ac:dyDescent="0.25">
      <c r="B179" s="49">
        <f t="shared" si="6"/>
        <v>0</v>
      </c>
      <c r="C179" s="50" t="str">
        <f t="array" ref="C179">IFERROR(INDEX('[1]REP DISEÑO'!$D$9:$D$1008,SMALL(IF('[1]REP DISEÑO'!$AW$9:$AW$1008=$J$1,ROW('[1]REP DISEÑO'!$N$9:$N$1008)-ROW('[1]REP DISEÑO'!$N$9),""),ROWS(C$14:C179))+1),"")</f>
        <v/>
      </c>
      <c r="D179" s="51" t="str">
        <f>IFERROR(INDEX('[1]REP DISEÑO'!$N$9:$N$1508,MATCH(C179,'[1]REP DISEÑO'!$D$9:$D$1508,0)),"")</f>
        <v/>
      </c>
      <c r="E179" s="51" t="str">
        <f>IFERROR(INDEX('[1]REP DISEÑO'!$G$9:$G$1508,MATCH(C179,'[1]REP DISEÑO'!$D$9:$D$1508,0)),"")</f>
        <v/>
      </c>
      <c r="F179" s="51" t="str">
        <f>IFERROR(INDEX('[1]REP DISEÑO'!$I$9:$I$1508,MATCH(C179,'[1]REP DISEÑO'!$D$9:$D$1508,0)),"")</f>
        <v/>
      </c>
      <c r="G179" s="51" t="str">
        <f>IFERROR(INDEX('[1]REP DISEÑO'!$M$9:$M$1508,MATCH(C179,'[1]REP DISEÑO'!$D$9:$D$1508,0)),"")</f>
        <v/>
      </c>
      <c r="H179" s="51" t="str">
        <f>IFERROR(INDEX('[1]REP DISEÑO'!$J$9:$J$1508,MATCH(C179,'[1]REP DISEÑO'!$D$9:$D$1508,0)),"")</f>
        <v/>
      </c>
      <c r="I179" s="52" t="str">
        <f>IFERROR(INDEX('[1]REP DISEÑO'!$C$9:$C$1508,MATCH(C179,'[1]REP DISEÑO'!$D$9:$D$1508,0)),"")</f>
        <v/>
      </c>
      <c r="J179" s="53" t="str">
        <f>IF(C179="","",IF(ISNUMBER(FIND("AMU",$C$14:$C$548)),1,(SUMIF('[1]REP PRODUCCIÓN'!$H$6:$H$1505,"*"&amp;C179&amp;"*",'[1]REP PRODUCCIÓN'!$E$6:$E$1505))))</f>
        <v/>
      </c>
      <c r="K179" s="53">
        <f t="shared" si="7"/>
        <v>0</v>
      </c>
      <c r="M179" s="54" t="str">
        <f>IFERROR(INDEX('[1]REP DISEÑO'!$BA$9:$BA$1008,MATCH('INDIC-DIS2'!C179,'[1]REP DISEÑO'!$D$9:$D$1008,0)),"")</f>
        <v/>
      </c>
      <c r="N179" s="55"/>
      <c r="O179" s="55"/>
      <c r="P179" s="55"/>
      <c r="R179" s="57" t="str">
        <f t="shared" si="8"/>
        <v/>
      </c>
    </row>
    <row r="180" spans="2:18" ht="26.25" customHeight="1" x14ac:dyDescent="0.25">
      <c r="B180" s="49">
        <f t="shared" si="6"/>
        <v>0</v>
      </c>
      <c r="C180" s="50" t="str">
        <f t="array" ref="C180">IFERROR(INDEX('[1]REP DISEÑO'!$D$9:$D$1008,SMALL(IF('[1]REP DISEÑO'!$AW$9:$AW$1008=$J$1,ROW('[1]REP DISEÑO'!$N$9:$N$1008)-ROW('[1]REP DISEÑO'!$N$9),""),ROWS(C$14:C180))+1),"")</f>
        <v/>
      </c>
      <c r="D180" s="51" t="str">
        <f>IFERROR(INDEX('[1]REP DISEÑO'!$N$9:$N$1508,MATCH(C180,'[1]REP DISEÑO'!$D$9:$D$1508,0)),"")</f>
        <v/>
      </c>
      <c r="E180" s="51" t="str">
        <f>IFERROR(INDEX('[1]REP DISEÑO'!$G$9:$G$1508,MATCH(C180,'[1]REP DISEÑO'!$D$9:$D$1508,0)),"")</f>
        <v/>
      </c>
      <c r="F180" s="51" t="str">
        <f>IFERROR(INDEX('[1]REP DISEÑO'!$I$9:$I$1508,MATCH(C180,'[1]REP DISEÑO'!$D$9:$D$1508,0)),"")</f>
        <v/>
      </c>
      <c r="G180" s="51" t="str">
        <f>IFERROR(INDEX('[1]REP DISEÑO'!$M$9:$M$1508,MATCH(C180,'[1]REP DISEÑO'!$D$9:$D$1508,0)),"")</f>
        <v/>
      </c>
      <c r="H180" s="51" t="str">
        <f>IFERROR(INDEX('[1]REP DISEÑO'!$J$9:$J$1508,MATCH(C180,'[1]REP DISEÑO'!$D$9:$D$1508,0)),"")</f>
        <v/>
      </c>
      <c r="I180" s="52" t="str">
        <f>IFERROR(INDEX('[1]REP DISEÑO'!$C$9:$C$1508,MATCH(C180,'[1]REP DISEÑO'!$D$9:$D$1508,0)),"")</f>
        <v/>
      </c>
      <c r="J180" s="53" t="str">
        <f>IF(C180="","",IF(ISNUMBER(FIND("AMU",$C$14:$C$548)),1,(SUMIF('[1]REP PRODUCCIÓN'!$H$6:$H$1505,"*"&amp;C180&amp;"*",'[1]REP PRODUCCIÓN'!$E$6:$E$1505))))</f>
        <v/>
      </c>
      <c r="K180" s="53">
        <f t="shared" si="7"/>
        <v>0</v>
      </c>
      <c r="M180" s="54" t="str">
        <f>IFERROR(INDEX('[1]REP DISEÑO'!$BA$9:$BA$1008,MATCH('INDIC-DIS2'!C180,'[1]REP DISEÑO'!$D$9:$D$1008,0)),"")</f>
        <v/>
      </c>
      <c r="N180" s="55"/>
      <c r="O180" s="55"/>
      <c r="P180" s="55"/>
      <c r="R180" s="57" t="str">
        <f t="shared" si="8"/>
        <v/>
      </c>
    </row>
    <row r="181" spans="2:18" ht="26.25" customHeight="1" x14ac:dyDescent="0.25">
      <c r="B181" s="49">
        <f t="shared" si="6"/>
        <v>0</v>
      </c>
      <c r="C181" s="50" t="str">
        <f t="array" ref="C181">IFERROR(INDEX('[1]REP DISEÑO'!$D$9:$D$1008,SMALL(IF('[1]REP DISEÑO'!$AW$9:$AW$1008=$J$1,ROW('[1]REP DISEÑO'!$N$9:$N$1008)-ROW('[1]REP DISEÑO'!$N$9),""),ROWS(C$14:C181))+1),"")</f>
        <v/>
      </c>
      <c r="D181" s="51" t="str">
        <f>IFERROR(INDEX('[1]REP DISEÑO'!$N$9:$N$1508,MATCH(C181,'[1]REP DISEÑO'!$D$9:$D$1508,0)),"")</f>
        <v/>
      </c>
      <c r="E181" s="51" t="str">
        <f>IFERROR(INDEX('[1]REP DISEÑO'!$G$9:$G$1508,MATCH(C181,'[1]REP DISEÑO'!$D$9:$D$1508,0)),"")</f>
        <v/>
      </c>
      <c r="F181" s="51" t="str">
        <f>IFERROR(INDEX('[1]REP DISEÑO'!$I$9:$I$1508,MATCH(C181,'[1]REP DISEÑO'!$D$9:$D$1508,0)),"")</f>
        <v/>
      </c>
      <c r="G181" s="51" t="str">
        <f>IFERROR(INDEX('[1]REP DISEÑO'!$M$9:$M$1508,MATCH(C181,'[1]REP DISEÑO'!$D$9:$D$1508,0)),"")</f>
        <v/>
      </c>
      <c r="H181" s="51" t="str">
        <f>IFERROR(INDEX('[1]REP DISEÑO'!$J$9:$J$1508,MATCH(C181,'[1]REP DISEÑO'!$D$9:$D$1508,0)),"")</f>
        <v/>
      </c>
      <c r="I181" s="52" t="str">
        <f>IFERROR(INDEX('[1]REP DISEÑO'!$C$9:$C$1508,MATCH(C181,'[1]REP DISEÑO'!$D$9:$D$1508,0)),"")</f>
        <v/>
      </c>
      <c r="J181" s="53" t="str">
        <f>IF(C181="","",IF(ISNUMBER(FIND("AMU",$C$14:$C$548)),1,(SUMIF('[1]REP PRODUCCIÓN'!$H$6:$H$1505,"*"&amp;C181&amp;"*",'[1]REP PRODUCCIÓN'!$E$6:$E$1505))))</f>
        <v/>
      </c>
      <c r="K181" s="53">
        <f t="shared" si="7"/>
        <v>0</v>
      </c>
      <c r="M181" s="54" t="str">
        <f>IFERROR(INDEX('[1]REP DISEÑO'!$BA$9:$BA$1008,MATCH('INDIC-DIS2'!C181,'[1]REP DISEÑO'!$D$9:$D$1008,0)),"")</f>
        <v/>
      </c>
      <c r="N181" s="55"/>
      <c r="O181" s="55"/>
      <c r="P181" s="55"/>
      <c r="R181" s="57" t="str">
        <f t="shared" si="8"/>
        <v/>
      </c>
    </row>
    <row r="182" spans="2:18" ht="26.25" customHeight="1" x14ac:dyDescent="0.25">
      <c r="B182" s="49">
        <f t="shared" si="6"/>
        <v>0</v>
      </c>
      <c r="C182" s="50" t="str">
        <f t="array" ref="C182">IFERROR(INDEX('[1]REP DISEÑO'!$D$9:$D$1008,SMALL(IF('[1]REP DISEÑO'!$AW$9:$AW$1008=$J$1,ROW('[1]REP DISEÑO'!$N$9:$N$1008)-ROW('[1]REP DISEÑO'!$N$9),""),ROWS(C$14:C182))+1),"")</f>
        <v/>
      </c>
      <c r="D182" s="51" t="str">
        <f>IFERROR(INDEX('[1]REP DISEÑO'!$N$9:$N$1508,MATCH(C182,'[1]REP DISEÑO'!$D$9:$D$1508,0)),"")</f>
        <v/>
      </c>
      <c r="E182" s="51" t="str">
        <f>IFERROR(INDEX('[1]REP DISEÑO'!$G$9:$G$1508,MATCH(C182,'[1]REP DISEÑO'!$D$9:$D$1508,0)),"")</f>
        <v/>
      </c>
      <c r="F182" s="51" t="str">
        <f>IFERROR(INDEX('[1]REP DISEÑO'!$I$9:$I$1508,MATCH(C182,'[1]REP DISEÑO'!$D$9:$D$1508,0)),"")</f>
        <v/>
      </c>
      <c r="G182" s="51" t="str">
        <f>IFERROR(INDEX('[1]REP DISEÑO'!$M$9:$M$1508,MATCH(C182,'[1]REP DISEÑO'!$D$9:$D$1508,0)),"")</f>
        <v/>
      </c>
      <c r="H182" s="51" t="str">
        <f>IFERROR(INDEX('[1]REP DISEÑO'!$J$9:$J$1508,MATCH(C182,'[1]REP DISEÑO'!$D$9:$D$1508,0)),"")</f>
        <v/>
      </c>
      <c r="I182" s="52" t="str">
        <f>IFERROR(INDEX('[1]REP DISEÑO'!$C$9:$C$1508,MATCH(C182,'[1]REP DISEÑO'!$D$9:$D$1508,0)),"")</f>
        <v/>
      </c>
      <c r="J182" s="53" t="str">
        <f>IF(C182="","",IF(ISNUMBER(FIND("AMU",$C$14:$C$548)),1,(SUMIF('[1]REP PRODUCCIÓN'!$H$6:$H$1505,"*"&amp;C182&amp;"*",'[1]REP PRODUCCIÓN'!$E$6:$E$1505))))</f>
        <v/>
      </c>
      <c r="K182" s="53">
        <f t="shared" si="7"/>
        <v>0</v>
      </c>
      <c r="M182" s="54" t="str">
        <f>IFERROR(INDEX('[1]REP DISEÑO'!$BA$9:$BA$1008,MATCH('INDIC-DIS2'!C182,'[1]REP DISEÑO'!$D$9:$D$1008,0)),"")</f>
        <v/>
      </c>
      <c r="N182" s="55"/>
      <c r="O182" s="55"/>
      <c r="P182" s="55"/>
      <c r="R182" s="57" t="str">
        <f t="shared" si="8"/>
        <v/>
      </c>
    </row>
    <row r="183" spans="2:18" ht="26.25" customHeight="1" x14ac:dyDescent="0.25">
      <c r="B183" s="49">
        <f t="shared" si="6"/>
        <v>0</v>
      </c>
      <c r="C183" s="50" t="str">
        <f t="array" ref="C183">IFERROR(INDEX('[1]REP DISEÑO'!$D$9:$D$1008,SMALL(IF('[1]REP DISEÑO'!$AW$9:$AW$1008=$J$1,ROW('[1]REP DISEÑO'!$N$9:$N$1008)-ROW('[1]REP DISEÑO'!$N$9),""),ROWS(C$14:C183))+1),"")</f>
        <v/>
      </c>
      <c r="D183" s="51" t="str">
        <f>IFERROR(INDEX('[1]REP DISEÑO'!$N$9:$N$1508,MATCH(C183,'[1]REP DISEÑO'!$D$9:$D$1508,0)),"")</f>
        <v/>
      </c>
      <c r="E183" s="51" t="str">
        <f>IFERROR(INDEX('[1]REP DISEÑO'!$G$9:$G$1508,MATCH(C183,'[1]REP DISEÑO'!$D$9:$D$1508,0)),"")</f>
        <v/>
      </c>
      <c r="F183" s="51" t="str">
        <f>IFERROR(INDEX('[1]REP DISEÑO'!$I$9:$I$1508,MATCH(C183,'[1]REP DISEÑO'!$D$9:$D$1508,0)),"")</f>
        <v/>
      </c>
      <c r="G183" s="51" t="str">
        <f>IFERROR(INDEX('[1]REP DISEÑO'!$M$9:$M$1508,MATCH(C183,'[1]REP DISEÑO'!$D$9:$D$1508,0)),"")</f>
        <v/>
      </c>
      <c r="H183" s="51" t="str">
        <f>IFERROR(INDEX('[1]REP DISEÑO'!$J$9:$J$1508,MATCH(C183,'[1]REP DISEÑO'!$D$9:$D$1508,0)),"")</f>
        <v/>
      </c>
      <c r="I183" s="52" t="str">
        <f>IFERROR(INDEX('[1]REP DISEÑO'!$C$9:$C$1508,MATCH(C183,'[1]REP DISEÑO'!$D$9:$D$1508,0)),"")</f>
        <v/>
      </c>
      <c r="J183" s="53" t="str">
        <f>IF(C183="","",IF(ISNUMBER(FIND("AMU",$C$14:$C$548)),1,(SUMIF('[1]REP PRODUCCIÓN'!$H$6:$H$1505,"*"&amp;C183&amp;"*",'[1]REP PRODUCCIÓN'!$E$6:$E$1505))))</f>
        <v/>
      </c>
      <c r="K183" s="53">
        <f t="shared" si="7"/>
        <v>0</v>
      </c>
      <c r="M183" s="54" t="str">
        <f>IFERROR(INDEX('[1]REP DISEÑO'!$BA$9:$BA$1008,MATCH('INDIC-DIS2'!C183,'[1]REP DISEÑO'!$D$9:$D$1008,0)),"")</f>
        <v/>
      </c>
      <c r="N183" s="55"/>
      <c r="O183" s="55"/>
      <c r="P183" s="55"/>
      <c r="R183" s="57" t="str">
        <f t="shared" si="8"/>
        <v/>
      </c>
    </row>
    <row r="184" spans="2:18" ht="26.25" customHeight="1" x14ac:dyDescent="0.25">
      <c r="B184" s="49">
        <f t="shared" si="6"/>
        <v>0</v>
      </c>
      <c r="C184" s="50" t="str">
        <f t="array" ref="C184">IFERROR(INDEX('[1]REP DISEÑO'!$D$9:$D$1008,SMALL(IF('[1]REP DISEÑO'!$AW$9:$AW$1008=$J$1,ROW('[1]REP DISEÑO'!$N$9:$N$1008)-ROW('[1]REP DISEÑO'!$N$9),""),ROWS(C$14:C184))+1),"")</f>
        <v/>
      </c>
      <c r="D184" s="51" t="str">
        <f>IFERROR(INDEX('[1]REP DISEÑO'!$N$9:$N$1508,MATCH(C184,'[1]REP DISEÑO'!$D$9:$D$1508,0)),"")</f>
        <v/>
      </c>
      <c r="E184" s="51" t="str">
        <f>IFERROR(INDEX('[1]REP DISEÑO'!$G$9:$G$1508,MATCH(C184,'[1]REP DISEÑO'!$D$9:$D$1508,0)),"")</f>
        <v/>
      </c>
      <c r="F184" s="51" t="str">
        <f>IFERROR(INDEX('[1]REP DISEÑO'!$I$9:$I$1508,MATCH(C184,'[1]REP DISEÑO'!$D$9:$D$1508,0)),"")</f>
        <v/>
      </c>
      <c r="G184" s="51" t="str">
        <f>IFERROR(INDEX('[1]REP DISEÑO'!$M$9:$M$1508,MATCH(C184,'[1]REP DISEÑO'!$D$9:$D$1508,0)),"")</f>
        <v/>
      </c>
      <c r="H184" s="51" t="str">
        <f>IFERROR(INDEX('[1]REP DISEÑO'!$J$9:$J$1508,MATCH(C184,'[1]REP DISEÑO'!$D$9:$D$1508,0)),"")</f>
        <v/>
      </c>
      <c r="I184" s="52" t="str">
        <f>IFERROR(INDEX('[1]REP DISEÑO'!$C$9:$C$1508,MATCH(C184,'[1]REP DISEÑO'!$D$9:$D$1508,0)),"")</f>
        <v/>
      </c>
      <c r="J184" s="53" t="str">
        <f>IF(C184="","",IF(ISNUMBER(FIND("AMU",$C$14:$C$548)),1,(SUMIF('[1]REP PRODUCCIÓN'!$H$6:$H$1505,"*"&amp;C184&amp;"*",'[1]REP PRODUCCIÓN'!$E$6:$E$1505))))</f>
        <v/>
      </c>
      <c r="K184" s="53">
        <f t="shared" si="7"/>
        <v>0</v>
      </c>
      <c r="M184" s="54" t="str">
        <f>IFERROR(INDEX('[1]REP DISEÑO'!$BA$9:$BA$1008,MATCH('INDIC-DIS2'!C184,'[1]REP DISEÑO'!$D$9:$D$1008,0)),"")</f>
        <v/>
      </c>
      <c r="N184" s="55"/>
      <c r="O184" s="55"/>
      <c r="P184" s="55"/>
      <c r="R184" s="57" t="str">
        <f t="shared" si="8"/>
        <v/>
      </c>
    </row>
    <row r="185" spans="2:18" ht="26.25" customHeight="1" x14ac:dyDescent="0.25">
      <c r="B185" s="49">
        <f t="shared" si="6"/>
        <v>0</v>
      </c>
      <c r="C185" s="50" t="str">
        <f t="array" ref="C185">IFERROR(INDEX('[1]REP DISEÑO'!$D$9:$D$1008,SMALL(IF('[1]REP DISEÑO'!$AW$9:$AW$1008=$J$1,ROW('[1]REP DISEÑO'!$N$9:$N$1008)-ROW('[1]REP DISEÑO'!$N$9),""),ROWS(C$14:C185))+1),"")</f>
        <v/>
      </c>
      <c r="D185" s="51" t="str">
        <f>IFERROR(INDEX('[1]REP DISEÑO'!$N$9:$N$1508,MATCH(C185,'[1]REP DISEÑO'!$D$9:$D$1508,0)),"")</f>
        <v/>
      </c>
      <c r="E185" s="51" t="str">
        <f>IFERROR(INDEX('[1]REP DISEÑO'!$G$9:$G$1508,MATCH(C185,'[1]REP DISEÑO'!$D$9:$D$1508,0)),"")</f>
        <v/>
      </c>
      <c r="F185" s="51" t="str">
        <f>IFERROR(INDEX('[1]REP DISEÑO'!$I$9:$I$1508,MATCH(C185,'[1]REP DISEÑO'!$D$9:$D$1508,0)),"")</f>
        <v/>
      </c>
      <c r="G185" s="51" t="str">
        <f>IFERROR(INDEX('[1]REP DISEÑO'!$M$9:$M$1508,MATCH(C185,'[1]REP DISEÑO'!$D$9:$D$1508,0)),"")</f>
        <v/>
      </c>
      <c r="H185" s="51" t="str">
        <f>IFERROR(INDEX('[1]REP DISEÑO'!$J$9:$J$1508,MATCH(C185,'[1]REP DISEÑO'!$D$9:$D$1508,0)),"")</f>
        <v/>
      </c>
      <c r="I185" s="52" t="str">
        <f>IFERROR(INDEX('[1]REP DISEÑO'!$C$9:$C$1508,MATCH(C185,'[1]REP DISEÑO'!$D$9:$D$1508,0)),"")</f>
        <v/>
      </c>
      <c r="J185" s="53" t="str">
        <f>IF(C185="","",IF(ISNUMBER(FIND("AMU",$C$14:$C$548)),1,(SUMIF('[1]REP PRODUCCIÓN'!$H$6:$H$1505,"*"&amp;C185&amp;"*",'[1]REP PRODUCCIÓN'!$E$6:$E$1505))))</f>
        <v/>
      </c>
      <c r="K185" s="53">
        <f t="shared" si="7"/>
        <v>0</v>
      </c>
      <c r="M185" s="54" t="str">
        <f>IFERROR(INDEX('[1]REP DISEÑO'!$BA$9:$BA$1008,MATCH('INDIC-DIS2'!C185,'[1]REP DISEÑO'!$D$9:$D$1008,0)),"")</f>
        <v/>
      </c>
      <c r="N185" s="55"/>
      <c r="O185" s="55"/>
      <c r="P185" s="55"/>
      <c r="R185" s="57" t="str">
        <f t="shared" si="8"/>
        <v/>
      </c>
    </row>
    <row r="186" spans="2:18" ht="26.25" customHeight="1" x14ac:dyDescent="0.25">
      <c r="B186" s="49">
        <f t="shared" si="6"/>
        <v>0</v>
      </c>
      <c r="C186" s="50" t="str">
        <f t="array" ref="C186">IFERROR(INDEX('[1]REP DISEÑO'!$D$9:$D$1008,SMALL(IF('[1]REP DISEÑO'!$AW$9:$AW$1008=$J$1,ROW('[1]REP DISEÑO'!$N$9:$N$1008)-ROW('[1]REP DISEÑO'!$N$9),""),ROWS(C$14:C186))+1),"")</f>
        <v/>
      </c>
      <c r="D186" s="51" t="str">
        <f>IFERROR(INDEX('[1]REP DISEÑO'!$N$9:$N$1508,MATCH(C186,'[1]REP DISEÑO'!$D$9:$D$1508,0)),"")</f>
        <v/>
      </c>
      <c r="E186" s="51" t="str">
        <f>IFERROR(INDEX('[1]REP DISEÑO'!$G$9:$G$1508,MATCH(C186,'[1]REP DISEÑO'!$D$9:$D$1508,0)),"")</f>
        <v/>
      </c>
      <c r="F186" s="51" t="str">
        <f>IFERROR(INDEX('[1]REP DISEÑO'!$I$9:$I$1508,MATCH(C186,'[1]REP DISEÑO'!$D$9:$D$1508,0)),"")</f>
        <v/>
      </c>
      <c r="G186" s="51" t="str">
        <f>IFERROR(INDEX('[1]REP DISEÑO'!$M$9:$M$1508,MATCH(C186,'[1]REP DISEÑO'!$D$9:$D$1508,0)),"")</f>
        <v/>
      </c>
      <c r="H186" s="51" t="str">
        <f>IFERROR(INDEX('[1]REP DISEÑO'!$J$9:$J$1508,MATCH(C186,'[1]REP DISEÑO'!$D$9:$D$1508,0)),"")</f>
        <v/>
      </c>
      <c r="I186" s="52" t="str">
        <f>IFERROR(INDEX('[1]REP DISEÑO'!$C$9:$C$1508,MATCH(C186,'[1]REP DISEÑO'!$D$9:$D$1508,0)),"")</f>
        <v/>
      </c>
      <c r="J186" s="53" t="str">
        <f>IF(C186="","",IF(ISNUMBER(FIND("AMU",$C$14:$C$548)),1,(SUMIF('[1]REP PRODUCCIÓN'!$H$6:$H$1505,"*"&amp;C186&amp;"*",'[1]REP PRODUCCIÓN'!$E$6:$E$1505))))</f>
        <v/>
      </c>
      <c r="K186" s="53">
        <f t="shared" si="7"/>
        <v>0</v>
      </c>
      <c r="M186" s="54" t="str">
        <f>IFERROR(INDEX('[1]REP DISEÑO'!$BA$9:$BA$1008,MATCH('INDIC-DIS2'!C186,'[1]REP DISEÑO'!$D$9:$D$1008,0)),"")</f>
        <v/>
      </c>
      <c r="N186" s="55"/>
      <c r="O186" s="55"/>
      <c r="P186" s="55"/>
      <c r="R186" s="57" t="str">
        <f t="shared" si="8"/>
        <v/>
      </c>
    </row>
    <row r="187" spans="2:18" ht="26.25" customHeight="1" x14ac:dyDescent="0.25">
      <c r="B187" s="49">
        <f t="shared" si="6"/>
        <v>0</v>
      </c>
      <c r="C187" s="50" t="str">
        <f t="array" ref="C187">IFERROR(INDEX('[1]REP DISEÑO'!$D$9:$D$1008,SMALL(IF('[1]REP DISEÑO'!$AW$9:$AW$1008=$J$1,ROW('[1]REP DISEÑO'!$N$9:$N$1008)-ROW('[1]REP DISEÑO'!$N$9),""),ROWS(C$14:C187))+1),"")</f>
        <v/>
      </c>
      <c r="D187" s="51" t="str">
        <f>IFERROR(INDEX('[1]REP DISEÑO'!$N$9:$N$1508,MATCH(C187,'[1]REP DISEÑO'!$D$9:$D$1508,0)),"")</f>
        <v/>
      </c>
      <c r="E187" s="51" t="str">
        <f>IFERROR(INDEX('[1]REP DISEÑO'!$G$9:$G$1508,MATCH(C187,'[1]REP DISEÑO'!$D$9:$D$1508,0)),"")</f>
        <v/>
      </c>
      <c r="F187" s="51" t="str">
        <f>IFERROR(INDEX('[1]REP DISEÑO'!$I$9:$I$1508,MATCH(C187,'[1]REP DISEÑO'!$D$9:$D$1508,0)),"")</f>
        <v/>
      </c>
      <c r="G187" s="51" t="str">
        <f>IFERROR(INDEX('[1]REP DISEÑO'!$M$9:$M$1508,MATCH(C187,'[1]REP DISEÑO'!$D$9:$D$1508,0)),"")</f>
        <v/>
      </c>
      <c r="H187" s="51" t="str">
        <f>IFERROR(INDEX('[1]REP DISEÑO'!$J$9:$J$1508,MATCH(C187,'[1]REP DISEÑO'!$D$9:$D$1508,0)),"")</f>
        <v/>
      </c>
      <c r="I187" s="52" t="str">
        <f>IFERROR(INDEX('[1]REP DISEÑO'!$C$9:$C$1508,MATCH(C187,'[1]REP DISEÑO'!$D$9:$D$1508,0)),"")</f>
        <v/>
      </c>
      <c r="J187" s="53" t="str">
        <f>IF(C187="","",IF(ISNUMBER(FIND("AMU",$C$14:$C$548)),1,(SUMIF('[1]REP PRODUCCIÓN'!$H$6:$H$1505,"*"&amp;C187&amp;"*",'[1]REP PRODUCCIÓN'!$E$6:$E$1505))))</f>
        <v/>
      </c>
      <c r="K187" s="53">
        <f t="shared" si="7"/>
        <v>0</v>
      </c>
      <c r="M187" s="54" t="str">
        <f>IFERROR(INDEX('[1]REP DISEÑO'!$BA$9:$BA$1008,MATCH('INDIC-DIS2'!C187,'[1]REP DISEÑO'!$D$9:$D$1008,0)),"")</f>
        <v/>
      </c>
      <c r="N187" s="55"/>
      <c r="O187" s="55"/>
      <c r="P187" s="55"/>
      <c r="R187" s="57" t="str">
        <f t="shared" si="8"/>
        <v/>
      </c>
    </row>
    <row r="188" spans="2:18" ht="26.25" customHeight="1" x14ac:dyDescent="0.25">
      <c r="B188" s="49">
        <f t="shared" si="6"/>
        <v>0</v>
      </c>
      <c r="C188" s="50" t="str">
        <f t="array" ref="C188">IFERROR(INDEX('[1]REP DISEÑO'!$D$9:$D$1008,SMALL(IF('[1]REP DISEÑO'!$AW$9:$AW$1008=$J$1,ROW('[1]REP DISEÑO'!$N$9:$N$1008)-ROW('[1]REP DISEÑO'!$N$9),""),ROWS(C$14:C188))+1),"")</f>
        <v/>
      </c>
      <c r="D188" s="51" t="str">
        <f>IFERROR(INDEX('[1]REP DISEÑO'!$N$9:$N$1508,MATCH(C188,'[1]REP DISEÑO'!$D$9:$D$1508,0)),"")</f>
        <v/>
      </c>
      <c r="E188" s="51" t="str">
        <f>IFERROR(INDEX('[1]REP DISEÑO'!$G$9:$G$1508,MATCH(C188,'[1]REP DISEÑO'!$D$9:$D$1508,0)),"")</f>
        <v/>
      </c>
      <c r="F188" s="51" t="str">
        <f>IFERROR(INDEX('[1]REP DISEÑO'!$I$9:$I$1508,MATCH(C188,'[1]REP DISEÑO'!$D$9:$D$1508,0)),"")</f>
        <v/>
      </c>
      <c r="G188" s="51" t="str">
        <f>IFERROR(INDEX('[1]REP DISEÑO'!$M$9:$M$1508,MATCH(C188,'[1]REP DISEÑO'!$D$9:$D$1508,0)),"")</f>
        <v/>
      </c>
      <c r="H188" s="51" t="str">
        <f>IFERROR(INDEX('[1]REP DISEÑO'!$J$9:$J$1508,MATCH(C188,'[1]REP DISEÑO'!$D$9:$D$1508,0)),"")</f>
        <v/>
      </c>
      <c r="I188" s="52" t="str">
        <f>IFERROR(INDEX('[1]REP DISEÑO'!$C$9:$C$1508,MATCH(C188,'[1]REP DISEÑO'!$D$9:$D$1508,0)),"")</f>
        <v/>
      </c>
      <c r="J188" s="53" t="str">
        <f>IF(C188="","",IF(ISNUMBER(FIND("AMU",$C$14:$C$548)),1,(SUMIF('[1]REP PRODUCCIÓN'!$H$6:$H$1505,"*"&amp;C188&amp;"*",'[1]REP PRODUCCIÓN'!$E$6:$E$1505))))</f>
        <v/>
      </c>
      <c r="K188" s="53">
        <f t="shared" si="7"/>
        <v>0</v>
      </c>
      <c r="M188" s="54" t="str">
        <f>IFERROR(INDEX('[1]REP DISEÑO'!$BA$9:$BA$1008,MATCH('INDIC-DIS2'!C188,'[1]REP DISEÑO'!$D$9:$D$1008,0)),"")</f>
        <v/>
      </c>
      <c r="N188" s="55"/>
      <c r="O188" s="55"/>
      <c r="P188" s="55"/>
      <c r="R188" s="57" t="str">
        <f t="shared" si="8"/>
        <v/>
      </c>
    </row>
    <row r="189" spans="2:18" ht="26.25" customHeight="1" x14ac:dyDescent="0.25">
      <c r="B189" s="49">
        <f t="shared" si="6"/>
        <v>0</v>
      </c>
      <c r="C189" s="50" t="str">
        <f t="array" ref="C189">IFERROR(INDEX('[1]REP DISEÑO'!$D$9:$D$1008,SMALL(IF('[1]REP DISEÑO'!$AW$9:$AW$1008=$J$1,ROW('[1]REP DISEÑO'!$N$9:$N$1008)-ROW('[1]REP DISEÑO'!$N$9),""),ROWS(C$14:C189))+1),"")</f>
        <v/>
      </c>
      <c r="D189" s="51" t="str">
        <f>IFERROR(INDEX('[1]REP DISEÑO'!$N$9:$N$1508,MATCH(C189,'[1]REP DISEÑO'!$D$9:$D$1508,0)),"")</f>
        <v/>
      </c>
      <c r="E189" s="51" t="str">
        <f>IFERROR(INDEX('[1]REP DISEÑO'!$G$9:$G$1508,MATCH(C189,'[1]REP DISEÑO'!$D$9:$D$1508,0)),"")</f>
        <v/>
      </c>
      <c r="F189" s="51" t="str">
        <f>IFERROR(INDEX('[1]REP DISEÑO'!$I$9:$I$1508,MATCH(C189,'[1]REP DISEÑO'!$D$9:$D$1508,0)),"")</f>
        <v/>
      </c>
      <c r="G189" s="51" t="str">
        <f>IFERROR(INDEX('[1]REP DISEÑO'!$M$9:$M$1508,MATCH(C189,'[1]REP DISEÑO'!$D$9:$D$1508,0)),"")</f>
        <v/>
      </c>
      <c r="H189" s="51" t="str">
        <f>IFERROR(INDEX('[1]REP DISEÑO'!$J$9:$J$1508,MATCH(C189,'[1]REP DISEÑO'!$D$9:$D$1508,0)),"")</f>
        <v/>
      </c>
      <c r="I189" s="52" t="str">
        <f>IFERROR(INDEX('[1]REP DISEÑO'!$C$9:$C$1508,MATCH(C189,'[1]REP DISEÑO'!$D$9:$D$1508,0)),"")</f>
        <v/>
      </c>
      <c r="J189" s="53" t="str">
        <f>IF(C189="","",IF(ISNUMBER(FIND("AMU",$C$14:$C$548)),1,(SUMIF('[1]REP PRODUCCIÓN'!$H$6:$H$1505,"*"&amp;C189&amp;"*",'[1]REP PRODUCCIÓN'!$E$6:$E$1505))))</f>
        <v/>
      </c>
      <c r="K189" s="53">
        <f t="shared" si="7"/>
        <v>0</v>
      </c>
      <c r="M189" s="54" t="str">
        <f>IFERROR(INDEX('[1]REP DISEÑO'!$BA$9:$BA$1008,MATCH('INDIC-DIS2'!C189,'[1]REP DISEÑO'!$D$9:$D$1008,0)),"")</f>
        <v/>
      </c>
      <c r="N189" s="55"/>
      <c r="O189" s="55"/>
      <c r="P189" s="55"/>
      <c r="R189" s="57" t="str">
        <f t="shared" si="8"/>
        <v/>
      </c>
    </row>
    <row r="190" spans="2:18" ht="26.25" customHeight="1" x14ac:dyDescent="0.25">
      <c r="B190" s="49">
        <f t="shared" si="6"/>
        <v>0</v>
      </c>
      <c r="C190" s="50" t="str">
        <f t="array" ref="C190">IFERROR(INDEX('[1]REP DISEÑO'!$D$9:$D$1008,SMALL(IF('[1]REP DISEÑO'!$AW$9:$AW$1008=$J$1,ROW('[1]REP DISEÑO'!$N$9:$N$1008)-ROW('[1]REP DISEÑO'!$N$9),""),ROWS(C$14:C190))+1),"")</f>
        <v/>
      </c>
      <c r="D190" s="51" t="str">
        <f>IFERROR(INDEX('[1]REP DISEÑO'!$N$9:$N$1508,MATCH(C190,'[1]REP DISEÑO'!$D$9:$D$1508,0)),"")</f>
        <v/>
      </c>
      <c r="E190" s="51" t="str">
        <f>IFERROR(INDEX('[1]REP DISEÑO'!$G$9:$G$1508,MATCH(C190,'[1]REP DISEÑO'!$D$9:$D$1508,0)),"")</f>
        <v/>
      </c>
      <c r="F190" s="51" t="str">
        <f>IFERROR(INDEX('[1]REP DISEÑO'!$I$9:$I$1508,MATCH(C190,'[1]REP DISEÑO'!$D$9:$D$1508,0)),"")</f>
        <v/>
      </c>
      <c r="G190" s="51" t="str">
        <f>IFERROR(INDEX('[1]REP DISEÑO'!$M$9:$M$1508,MATCH(C190,'[1]REP DISEÑO'!$D$9:$D$1508,0)),"")</f>
        <v/>
      </c>
      <c r="H190" s="51" t="str">
        <f>IFERROR(INDEX('[1]REP DISEÑO'!$J$9:$J$1508,MATCH(C190,'[1]REP DISEÑO'!$D$9:$D$1508,0)),"")</f>
        <v/>
      </c>
      <c r="I190" s="52" t="str">
        <f>IFERROR(INDEX('[1]REP DISEÑO'!$C$9:$C$1508,MATCH(C190,'[1]REP DISEÑO'!$D$9:$D$1508,0)),"")</f>
        <v/>
      </c>
      <c r="J190" s="53" t="str">
        <f>IF(C190="","",IF(ISNUMBER(FIND("AMU",$C$14:$C$548)),1,(SUMIF('[1]REP PRODUCCIÓN'!$H$6:$H$1505,"*"&amp;C190&amp;"*",'[1]REP PRODUCCIÓN'!$E$6:$E$1505))))</f>
        <v/>
      </c>
      <c r="K190" s="53">
        <f t="shared" si="7"/>
        <v>0</v>
      </c>
      <c r="M190" s="54" t="str">
        <f>IFERROR(INDEX('[1]REP DISEÑO'!$BA$9:$BA$1008,MATCH('INDIC-DIS2'!C190,'[1]REP DISEÑO'!$D$9:$D$1008,0)),"")</f>
        <v/>
      </c>
      <c r="N190" s="55"/>
      <c r="O190" s="55"/>
      <c r="P190" s="55"/>
      <c r="R190" s="57" t="str">
        <f t="shared" si="8"/>
        <v/>
      </c>
    </row>
    <row r="191" spans="2:18" ht="26.25" customHeight="1" x14ac:dyDescent="0.25">
      <c r="B191" s="49">
        <f t="shared" si="6"/>
        <v>0</v>
      </c>
      <c r="C191" s="50" t="str">
        <f t="array" ref="C191">IFERROR(INDEX('[1]REP DISEÑO'!$D$9:$D$1008,SMALL(IF('[1]REP DISEÑO'!$AW$9:$AW$1008=$J$1,ROW('[1]REP DISEÑO'!$N$9:$N$1008)-ROW('[1]REP DISEÑO'!$N$9),""),ROWS(C$14:C191))+1),"")</f>
        <v/>
      </c>
      <c r="D191" s="51" t="str">
        <f>IFERROR(INDEX('[1]REP DISEÑO'!$N$9:$N$1508,MATCH(C191,'[1]REP DISEÑO'!$D$9:$D$1508,0)),"")</f>
        <v/>
      </c>
      <c r="E191" s="51" t="str">
        <f>IFERROR(INDEX('[1]REP DISEÑO'!$G$9:$G$1508,MATCH(C191,'[1]REP DISEÑO'!$D$9:$D$1508,0)),"")</f>
        <v/>
      </c>
      <c r="F191" s="51" t="str">
        <f>IFERROR(INDEX('[1]REP DISEÑO'!$I$9:$I$1508,MATCH(C191,'[1]REP DISEÑO'!$D$9:$D$1508,0)),"")</f>
        <v/>
      </c>
      <c r="G191" s="51" t="str">
        <f>IFERROR(INDEX('[1]REP DISEÑO'!$M$9:$M$1508,MATCH(C191,'[1]REP DISEÑO'!$D$9:$D$1508,0)),"")</f>
        <v/>
      </c>
      <c r="H191" s="51" t="str">
        <f>IFERROR(INDEX('[1]REP DISEÑO'!$J$9:$J$1508,MATCH(C191,'[1]REP DISEÑO'!$D$9:$D$1508,0)),"")</f>
        <v/>
      </c>
      <c r="I191" s="52" t="str">
        <f>IFERROR(INDEX('[1]REP DISEÑO'!$C$9:$C$1508,MATCH(C191,'[1]REP DISEÑO'!$D$9:$D$1508,0)),"")</f>
        <v/>
      </c>
      <c r="J191" s="53" t="str">
        <f>IF(C191="","",IF(ISNUMBER(FIND("AMU",$C$14:$C$548)),1,(SUMIF('[1]REP PRODUCCIÓN'!$H$6:$H$1505,"*"&amp;C191&amp;"*",'[1]REP PRODUCCIÓN'!$E$6:$E$1505))))</f>
        <v/>
      </c>
      <c r="K191" s="53">
        <f t="shared" si="7"/>
        <v>0</v>
      </c>
      <c r="M191" s="54" t="str">
        <f>IFERROR(INDEX('[1]REP DISEÑO'!$BA$9:$BA$1008,MATCH('INDIC-DIS2'!C191,'[1]REP DISEÑO'!$D$9:$D$1008,0)),"")</f>
        <v/>
      </c>
      <c r="N191" s="55"/>
      <c r="O191" s="55"/>
      <c r="P191" s="55"/>
      <c r="R191" s="57" t="str">
        <f t="shared" si="8"/>
        <v/>
      </c>
    </row>
    <row r="192" spans="2:18" ht="26.25" customHeight="1" x14ac:dyDescent="0.25">
      <c r="B192" s="49">
        <f t="shared" si="6"/>
        <v>0</v>
      </c>
      <c r="C192" s="50" t="str">
        <f t="array" ref="C192">IFERROR(INDEX('[1]REP DISEÑO'!$D$9:$D$1008,SMALL(IF('[1]REP DISEÑO'!$AW$9:$AW$1008=$J$1,ROW('[1]REP DISEÑO'!$N$9:$N$1008)-ROW('[1]REP DISEÑO'!$N$9),""),ROWS(C$14:C192))+1),"")</f>
        <v/>
      </c>
      <c r="D192" s="51" t="str">
        <f>IFERROR(INDEX('[1]REP DISEÑO'!$N$9:$N$1508,MATCH(C192,'[1]REP DISEÑO'!$D$9:$D$1508,0)),"")</f>
        <v/>
      </c>
      <c r="E192" s="51" t="str">
        <f>IFERROR(INDEX('[1]REP DISEÑO'!$G$9:$G$1508,MATCH(C192,'[1]REP DISEÑO'!$D$9:$D$1508,0)),"")</f>
        <v/>
      </c>
      <c r="F192" s="51" t="str">
        <f>IFERROR(INDEX('[1]REP DISEÑO'!$I$9:$I$1508,MATCH(C192,'[1]REP DISEÑO'!$D$9:$D$1508,0)),"")</f>
        <v/>
      </c>
      <c r="G192" s="51" t="str">
        <f>IFERROR(INDEX('[1]REP DISEÑO'!$M$9:$M$1508,MATCH(C192,'[1]REP DISEÑO'!$D$9:$D$1508,0)),"")</f>
        <v/>
      </c>
      <c r="H192" s="51" t="str">
        <f>IFERROR(INDEX('[1]REP DISEÑO'!$J$9:$J$1508,MATCH(C192,'[1]REP DISEÑO'!$D$9:$D$1508,0)),"")</f>
        <v/>
      </c>
      <c r="I192" s="52" t="str">
        <f>IFERROR(INDEX('[1]REP DISEÑO'!$C$9:$C$1508,MATCH(C192,'[1]REP DISEÑO'!$D$9:$D$1508,0)),"")</f>
        <v/>
      </c>
      <c r="J192" s="53" t="str">
        <f>IF(C192="","",IF(ISNUMBER(FIND("AMU",$C$14:$C$548)),1,(SUMIF('[1]REP PRODUCCIÓN'!$H$6:$H$1505,"*"&amp;C192&amp;"*",'[1]REP PRODUCCIÓN'!$E$6:$E$1505))))</f>
        <v/>
      </c>
      <c r="K192" s="53">
        <f t="shared" si="7"/>
        <v>0</v>
      </c>
      <c r="M192" s="54" t="str">
        <f>IFERROR(INDEX('[1]REP DISEÑO'!$BA$9:$BA$1008,MATCH('INDIC-DIS2'!C192,'[1]REP DISEÑO'!$D$9:$D$1008,0)),"")</f>
        <v/>
      </c>
      <c r="N192" s="55"/>
      <c r="O192" s="55"/>
      <c r="P192" s="55"/>
      <c r="R192" s="57" t="str">
        <f t="shared" si="8"/>
        <v/>
      </c>
    </row>
    <row r="193" spans="2:18" ht="26.25" customHeight="1" x14ac:dyDescent="0.25">
      <c r="B193" s="49">
        <f t="shared" si="6"/>
        <v>0</v>
      </c>
      <c r="C193" s="50" t="str">
        <f t="array" ref="C193">IFERROR(INDEX('[1]REP DISEÑO'!$D$9:$D$1008,SMALL(IF('[1]REP DISEÑO'!$AW$9:$AW$1008=$J$1,ROW('[1]REP DISEÑO'!$N$9:$N$1008)-ROW('[1]REP DISEÑO'!$N$9),""),ROWS(C$14:C193))+1),"")</f>
        <v/>
      </c>
      <c r="D193" s="51" t="str">
        <f>IFERROR(INDEX('[1]REP DISEÑO'!$N$9:$N$1508,MATCH(C193,'[1]REP DISEÑO'!$D$9:$D$1508,0)),"")</f>
        <v/>
      </c>
      <c r="E193" s="51" t="str">
        <f>IFERROR(INDEX('[1]REP DISEÑO'!$G$9:$G$1508,MATCH(C193,'[1]REP DISEÑO'!$D$9:$D$1508,0)),"")</f>
        <v/>
      </c>
      <c r="F193" s="51" t="str">
        <f>IFERROR(INDEX('[1]REP DISEÑO'!$I$9:$I$1508,MATCH(C193,'[1]REP DISEÑO'!$D$9:$D$1508,0)),"")</f>
        <v/>
      </c>
      <c r="G193" s="51" t="str">
        <f>IFERROR(INDEX('[1]REP DISEÑO'!$M$9:$M$1508,MATCH(C193,'[1]REP DISEÑO'!$D$9:$D$1508,0)),"")</f>
        <v/>
      </c>
      <c r="H193" s="51" t="str">
        <f>IFERROR(INDEX('[1]REP DISEÑO'!$J$9:$J$1508,MATCH(C193,'[1]REP DISEÑO'!$D$9:$D$1508,0)),"")</f>
        <v/>
      </c>
      <c r="I193" s="52" t="str">
        <f>IFERROR(INDEX('[1]REP DISEÑO'!$C$9:$C$1508,MATCH(C193,'[1]REP DISEÑO'!$D$9:$D$1508,0)),"")</f>
        <v/>
      </c>
      <c r="J193" s="53" t="str">
        <f>IF(C193="","",IF(ISNUMBER(FIND("AMU",$C$14:$C$548)),1,(SUMIF('[1]REP PRODUCCIÓN'!$H$6:$H$1505,"*"&amp;C193&amp;"*",'[1]REP PRODUCCIÓN'!$E$6:$E$1505))))</f>
        <v/>
      </c>
      <c r="K193" s="53">
        <f t="shared" si="7"/>
        <v>0</v>
      </c>
      <c r="M193" s="54" t="str">
        <f>IFERROR(INDEX('[1]REP DISEÑO'!$BA$9:$BA$1008,MATCH('INDIC-DIS2'!C193,'[1]REP DISEÑO'!$D$9:$D$1008,0)),"")</f>
        <v/>
      </c>
      <c r="N193" s="55"/>
      <c r="O193" s="55"/>
      <c r="P193" s="55"/>
      <c r="R193" s="57" t="str">
        <f t="shared" si="8"/>
        <v/>
      </c>
    </row>
    <row r="194" spans="2:18" ht="26.25" customHeight="1" x14ac:dyDescent="0.25">
      <c r="B194" s="49">
        <f t="shared" si="6"/>
        <v>0</v>
      </c>
      <c r="C194" s="50" t="str">
        <f t="array" ref="C194">IFERROR(INDEX('[1]REP DISEÑO'!$D$9:$D$1008,SMALL(IF('[1]REP DISEÑO'!$AW$9:$AW$1008=$J$1,ROW('[1]REP DISEÑO'!$N$9:$N$1008)-ROW('[1]REP DISEÑO'!$N$9),""),ROWS(C$14:C194))+1),"")</f>
        <v/>
      </c>
      <c r="D194" s="51" t="str">
        <f>IFERROR(INDEX('[1]REP DISEÑO'!$N$9:$N$1508,MATCH(C194,'[1]REP DISEÑO'!$D$9:$D$1508,0)),"")</f>
        <v/>
      </c>
      <c r="E194" s="51" t="str">
        <f>IFERROR(INDEX('[1]REP DISEÑO'!$G$9:$G$1508,MATCH(C194,'[1]REP DISEÑO'!$D$9:$D$1508,0)),"")</f>
        <v/>
      </c>
      <c r="F194" s="51" t="str">
        <f>IFERROR(INDEX('[1]REP DISEÑO'!$I$9:$I$1508,MATCH(C194,'[1]REP DISEÑO'!$D$9:$D$1508,0)),"")</f>
        <v/>
      </c>
      <c r="G194" s="51" t="str">
        <f>IFERROR(INDEX('[1]REP DISEÑO'!$M$9:$M$1508,MATCH(C194,'[1]REP DISEÑO'!$D$9:$D$1508,0)),"")</f>
        <v/>
      </c>
      <c r="H194" s="51" t="str">
        <f>IFERROR(INDEX('[1]REP DISEÑO'!$J$9:$J$1508,MATCH(C194,'[1]REP DISEÑO'!$D$9:$D$1508,0)),"")</f>
        <v/>
      </c>
      <c r="I194" s="52" t="str">
        <f>IFERROR(INDEX('[1]REP DISEÑO'!$C$9:$C$1508,MATCH(C194,'[1]REP DISEÑO'!$D$9:$D$1508,0)),"")</f>
        <v/>
      </c>
      <c r="J194" s="53" t="str">
        <f>IF(C194="","",IF(ISNUMBER(FIND("AMU",$C$14:$C$548)),1,(SUMIF('[1]REP PRODUCCIÓN'!$H$6:$H$1505,"*"&amp;C194&amp;"*",'[1]REP PRODUCCIÓN'!$E$6:$E$1505))))</f>
        <v/>
      </c>
      <c r="K194" s="53">
        <f t="shared" si="7"/>
        <v>0</v>
      </c>
      <c r="M194" s="54" t="str">
        <f>IFERROR(INDEX('[1]REP DISEÑO'!$BA$9:$BA$1008,MATCH('INDIC-DIS2'!C194,'[1]REP DISEÑO'!$D$9:$D$1008,0)),"")</f>
        <v/>
      </c>
      <c r="N194" s="55"/>
      <c r="O194" s="55"/>
      <c r="P194" s="55"/>
      <c r="R194" s="57" t="str">
        <f t="shared" si="8"/>
        <v/>
      </c>
    </row>
    <row r="195" spans="2:18" ht="26.25" customHeight="1" x14ac:dyDescent="0.25">
      <c r="B195" s="49">
        <f t="shared" si="6"/>
        <v>0</v>
      </c>
      <c r="C195" s="50" t="str">
        <f t="array" ref="C195">IFERROR(INDEX('[1]REP DISEÑO'!$D$9:$D$1008,SMALL(IF('[1]REP DISEÑO'!$AW$9:$AW$1008=$J$1,ROW('[1]REP DISEÑO'!$N$9:$N$1008)-ROW('[1]REP DISEÑO'!$N$9),""),ROWS(C$14:C195))+1),"")</f>
        <v/>
      </c>
      <c r="D195" s="51" t="str">
        <f>IFERROR(INDEX('[1]REP DISEÑO'!$N$9:$N$1508,MATCH(C195,'[1]REP DISEÑO'!$D$9:$D$1508,0)),"")</f>
        <v/>
      </c>
      <c r="E195" s="51" t="str">
        <f>IFERROR(INDEX('[1]REP DISEÑO'!$G$9:$G$1508,MATCH(C195,'[1]REP DISEÑO'!$D$9:$D$1508,0)),"")</f>
        <v/>
      </c>
      <c r="F195" s="51" t="str">
        <f>IFERROR(INDEX('[1]REP DISEÑO'!$I$9:$I$1508,MATCH(C195,'[1]REP DISEÑO'!$D$9:$D$1508,0)),"")</f>
        <v/>
      </c>
      <c r="G195" s="51" t="str">
        <f>IFERROR(INDEX('[1]REP DISEÑO'!$M$9:$M$1508,MATCH(C195,'[1]REP DISEÑO'!$D$9:$D$1508,0)),"")</f>
        <v/>
      </c>
      <c r="H195" s="51" t="str">
        <f>IFERROR(INDEX('[1]REP DISEÑO'!$J$9:$J$1508,MATCH(C195,'[1]REP DISEÑO'!$D$9:$D$1508,0)),"")</f>
        <v/>
      </c>
      <c r="I195" s="52" t="str">
        <f>IFERROR(INDEX('[1]REP DISEÑO'!$C$9:$C$1508,MATCH(C195,'[1]REP DISEÑO'!$D$9:$D$1508,0)),"")</f>
        <v/>
      </c>
      <c r="J195" s="53" t="str">
        <f>IF(C195="","",IF(ISNUMBER(FIND("AMU",$C$14:$C$548)),1,(SUMIF('[1]REP PRODUCCIÓN'!$H$6:$H$1505,"*"&amp;C195&amp;"*",'[1]REP PRODUCCIÓN'!$E$6:$E$1505))))</f>
        <v/>
      </c>
      <c r="K195" s="53">
        <f t="shared" si="7"/>
        <v>0</v>
      </c>
      <c r="M195" s="54" t="str">
        <f>IFERROR(INDEX('[1]REP DISEÑO'!$BA$9:$BA$1008,MATCH('INDIC-DIS2'!C195,'[1]REP DISEÑO'!$D$9:$D$1008,0)),"")</f>
        <v/>
      </c>
      <c r="N195" s="55"/>
      <c r="O195" s="55"/>
      <c r="P195" s="55"/>
      <c r="R195" s="57" t="str">
        <f t="shared" si="8"/>
        <v/>
      </c>
    </row>
    <row r="196" spans="2:18" ht="26.25" customHeight="1" x14ac:dyDescent="0.25">
      <c r="B196" s="49">
        <f t="shared" si="6"/>
        <v>0</v>
      </c>
      <c r="C196" s="50" t="str">
        <f t="array" ref="C196">IFERROR(INDEX('[1]REP DISEÑO'!$D$9:$D$1008,SMALL(IF('[1]REP DISEÑO'!$AW$9:$AW$1008=$J$1,ROW('[1]REP DISEÑO'!$N$9:$N$1008)-ROW('[1]REP DISEÑO'!$N$9),""),ROWS(C$14:C196))+1),"")</f>
        <v/>
      </c>
      <c r="D196" s="51" t="str">
        <f>IFERROR(INDEX('[1]REP DISEÑO'!$N$9:$N$1508,MATCH(C196,'[1]REP DISEÑO'!$D$9:$D$1508,0)),"")</f>
        <v/>
      </c>
      <c r="E196" s="51" t="str">
        <f>IFERROR(INDEX('[1]REP DISEÑO'!$G$9:$G$1508,MATCH(C196,'[1]REP DISEÑO'!$D$9:$D$1508,0)),"")</f>
        <v/>
      </c>
      <c r="F196" s="51" t="str">
        <f>IFERROR(INDEX('[1]REP DISEÑO'!$I$9:$I$1508,MATCH(C196,'[1]REP DISEÑO'!$D$9:$D$1508,0)),"")</f>
        <v/>
      </c>
      <c r="G196" s="51" t="str">
        <f>IFERROR(INDEX('[1]REP DISEÑO'!$M$9:$M$1508,MATCH(C196,'[1]REP DISEÑO'!$D$9:$D$1508,0)),"")</f>
        <v/>
      </c>
      <c r="H196" s="51" t="str">
        <f>IFERROR(INDEX('[1]REP DISEÑO'!$J$9:$J$1508,MATCH(C196,'[1]REP DISEÑO'!$D$9:$D$1508,0)),"")</f>
        <v/>
      </c>
      <c r="I196" s="52" t="str">
        <f>IFERROR(INDEX('[1]REP DISEÑO'!$C$9:$C$1508,MATCH(C196,'[1]REP DISEÑO'!$D$9:$D$1508,0)),"")</f>
        <v/>
      </c>
      <c r="J196" s="53" t="str">
        <f>IF(C196="","",IF(ISNUMBER(FIND("AMU",$C$14:$C$548)),1,(SUMIF('[1]REP PRODUCCIÓN'!$H$6:$H$1505,"*"&amp;C196&amp;"*",'[1]REP PRODUCCIÓN'!$E$6:$E$1505))))</f>
        <v/>
      </c>
      <c r="K196" s="53">
        <f t="shared" si="7"/>
        <v>0</v>
      </c>
      <c r="M196" s="54" t="str">
        <f>IFERROR(INDEX('[1]REP DISEÑO'!$BA$9:$BA$1008,MATCH('INDIC-DIS2'!C196,'[1]REP DISEÑO'!$D$9:$D$1008,0)),"")</f>
        <v/>
      </c>
      <c r="N196" s="55"/>
      <c r="O196" s="55"/>
      <c r="P196" s="55"/>
      <c r="R196" s="57" t="str">
        <f t="shared" si="8"/>
        <v/>
      </c>
    </row>
    <row r="197" spans="2:18" ht="26.25" customHeight="1" x14ac:dyDescent="0.25">
      <c r="B197" s="49">
        <f t="shared" si="6"/>
        <v>0</v>
      </c>
      <c r="C197" s="50" t="str">
        <f t="array" ref="C197">IFERROR(INDEX('[1]REP DISEÑO'!$D$9:$D$1008,SMALL(IF('[1]REP DISEÑO'!$AW$9:$AW$1008=$J$1,ROW('[1]REP DISEÑO'!$N$9:$N$1008)-ROW('[1]REP DISEÑO'!$N$9),""),ROWS(C$14:C197))+1),"")</f>
        <v/>
      </c>
      <c r="D197" s="51" t="str">
        <f>IFERROR(INDEX('[1]REP DISEÑO'!$N$9:$N$1508,MATCH(C197,'[1]REP DISEÑO'!$D$9:$D$1508,0)),"")</f>
        <v/>
      </c>
      <c r="E197" s="51" t="str">
        <f>IFERROR(INDEX('[1]REP DISEÑO'!$G$9:$G$1508,MATCH(C197,'[1]REP DISEÑO'!$D$9:$D$1508,0)),"")</f>
        <v/>
      </c>
      <c r="F197" s="51" t="str">
        <f>IFERROR(INDEX('[1]REP DISEÑO'!$I$9:$I$1508,MATCH(C197,'[1]REP DISEÑO'!$D$9:$D$1508,0)),"")</f>
        <v/>
      </c>
      <c r="G197" s="51" t="str">
        <f>IFERROR(INDEX('[1]REP DISEÑO'!$M$9:$M$1508,MATCH(C197,'[1]REP DISEÑO'!$D$9:$D$1508,0)),"")</f>
        <v/>
      </c>
      <c r="H197" s="51" t="str">
        <f>IFERROR(INDEX('[1]REP DISEÑO'!$J$9:$J$1508,MATCH(C197,'[1]REP DISEÑO'!$D$9:$D$1508,0)),"")</f>
        <v/>
      </c>
      <c r="I197" s="52" t="str">
        <f>IFERROR(INDEX('[1]REP DISEÑO'!$C$9:$C$1508,MATCH(C197,'[1]REP DISEÑO'!$D$9:$D$1508,0)),"")</f>
        <v/>
      </c>
      <c r="J197" s="53" t="str">
        <f>IF(C197="","",IF(ISNUMBER(FIND("AMU",$C$14:$C$548)),1,(SUMIF('[1]REP PRODUCCIÓN'!$H$6:$H$1505,"*"&amp;C197&amp;"*",'[1]REP PRODUCCIÓN'!$E$6:$E$1505))))</f>
        <v/>
      </c>
      <c r="K197" s="53">
        <f t="shared" si="7"/>
        <v>0</v>
      </c>
      <c r="M197" s="54" t="str">
        <f>IFERROR(INDEX('[1]REP DISEÑO'!$BA$9:$BA$1008,MATCH('INDIC-DIS2'!C197,'[1]REP DISEÑO'!$D$9:$D$1008,0)),"")</f>
        <v/>
      </c>
      <c r="N197" s="55"/>
      <c r="O197" s="55"/>
      <c r="P197" s="55"/>
      <c r="R197" s="57" t="str">
        <f t="shared" si="8"/>
        <v/>
      </c>
    </row>
    <row r="198" spans="2:18" ht="26.25" customHeight="1" x14ac:dyDescent="0.25">
      <c r="B198" s="49">
        <f t="shared" si="6"/>
        <v>0</v>
      </c>
      <c r="C198" s="50" t="str">
        <f t="array" ref="C198">IFERROR(INDEX('[1]REP DISEÑO'!$D$9:$D$1008,SMALL(IF('[1]REP DISEÑO'!$AW$9:$AW$1008=$J$1,ROW('[1]REP DISEÑO'!$N$9:$N$1008)-ROW('[1]REP DISEÑO'!$N$9),""),ROWS(C$14:C198))+1),"")</f>
        <v/>
      </c>
      <c r="D198" s="51" t="str">
        <f>IFERROR(INDEX('[1]REP DISEÑO'!$N$9:$N$1508,MATCH(C198,'[1]REP DISEÑO'!$D$9:$D$1508,0)),"")</f>
        <v/>
      </c>
      <c r="E198" s="51" t="str">
        <f>IFERROR(INDEX('[1]REP DISEÑO'!$G$9:$G$1508,MATCH(C198,'[1]REP DISEÑO'!$D$9:$D$1508,0)),"")</f>
        <v/>
      </c>
      <c r="F198" s="51" t="str">
        <f>IFERROR(INDEX('[1]REP DISEÑO'!$I$9:$I$1508,MATCH(C198,'[1]REP DISEÑO'!$D$9:$D$1508,0)),"")</f>
        <v/>
      </c>
      <c r="G198" s="51" t="str">
        <f>IFERROR(INDEX('[1]REP DISEÑO'!$M$9:$M$1508,MATCH(C198,'[1]REP DISEÑO'!$D$9:$D$1508,0)),"")</f>
        <v/>
      </c>
      <c r="H198" s="51" t="str">
        <f>IFERROR(INDEX('[1]REP DISEÑO'!$J$9:$J$1508,MATCH(C198,'[1]REP DISEÑO'!$D$9:$D$1508,0)),"")</f>
        <v/>
      </c>
      <c r="I198" s="52" t="str">
        <f>IFERROR(INDEX('[1]REP DISEÑO'!$C$9:$C$1508,MATCH(C198,'[1]REP DISEÑO'!$D$9:$D$1508,0)),"")</f>
        <v/>
      </c>
      <c r="J198" s="53" t="str">
        <f>IF(C198="","",IF(ISNUMBER(FIND("AMU",$C$14:$C$548)),1,(SUMIF('[1]REP PRODUCCIÓN'!$H$6:$H$1505,"*"&amp;C198&amp;"*",'[1]REP PRODUCCIÓN'!$E$6:$E$1505))))</f>
        <v/>
      </c>
      <c r="K198" s="53">
        <f t="shared" si="7"/>
        <v>0</v>
      </c>
      <c r="M198" s="54" t="str">
        <f>IFERROR(INDEX('[1]REP DISEÑO'!$BA$9:$BA$1008,MATCH('INDIC-DIS2'!C198,'[1]REP DISEÑO'!$D$9:$D$1008,0)),"")</f>
        <v/>
      </c>
      <c r="N198" s="55"/>
      <c r="O198" s="55"/>
      <c r="P198" s="55"/>
      <c r="R198" s="57" t="str">
        <f t="shared" si="8"/>
        <v/>
      </c>
    </row>
    <row r="199" spans="2:18" ht="26.25" customHeight="1" x14ac:dyDescent="0.25">
      <c r="B199" s="49">
        <f t="shared" si="6"/>
        <v>0</v>
      </c>
      <c r="C199" s="50" t="str">
        <f t="array" ref="C199">IFERROR(INDEX('[1]REP DISEÑO'!$D$9:$D$1008,SMALL(IF('[1]REP DISEÑO'!$AW$9:$AW$1008=$J$1,ROW('[1]REP DISEÑO'!$N$9:$N$1008)-ROW('[1]REP DISEÑO'!$N$9),""),ROWS(C$14:C199))+1),"")</f>
        <v/>
      </c>
      <c r="D199" s="51" t="str">
        <f>IFERROR(INDEX('[1]REP DISEÑO'!$N$9:$N$1508,MATCH(C199,'[1]REP DISEÑO'!$D$9:$D$1508,0)),"")</f>
        <v/>
      </c>
      <c r="E199" s="51" t="str">
        <f>IFERROR(INDEX('[1]REP DISEÑO'!$G$9:$G$1508,MATCH(C199,'[1]REP DISEÑO'!$D$9:$D$1508,0)),"")</f>
        <v/>
      </c>
      <c r="F199" s="51" t="str">
        <f>IFERROR(INDEX('[1]REP DISEÑO'!$I$9:$I$1508,MATCH(C199,'[1]REP DISEÑO'!$D$9:$D$1508,0)),"")</f>
        <v/>
      </c>
      <c r="G199" s="51" t="str">
        <f>IFERROR(INDEX('[1]REP DISEÑO'!$M$9:$M$1508,MATCH(C199,'[1]REP DISEÑO'!$D$9:$D$1508,0)),"")</f>
        <v/>
      </c>
      <c r="H199" s="51" t="str">
        <f>IFERROR(INDEX('[1]REP DISEÑO'!$J$9:$J$1508,MATCH(C199,'[1]REP DISEÑO'!$D$9:$D$1508,0)),"")</f>
        <v/>
      </c>
      <c r="I199" s="52" t="str">
        <f>IFERROR(INDEX('[1]REP DISEÑO'!$C$9:$C$1508,MATCH(C199,'[1]REP DISEÑO'!$D$9:$D$1508,0)),"")</f>
        <v/>
      </c>
      <c r="J199" s="53" t="str">
        <f>IF(C199="","",IF(ISNUMBER(FIND("AMU",$C$14:$C$548)),1,(SUMIF('[1]REP PRODUCCIÓN'!$H$6:$H$1505,"*"&amp;C199&amp;"*",'[1]REP PRODUCCIÓN'!$E$6:$E$1505))))</f>
        <v/>
      </c>
      <c r="K199" s="53">
        <f t="shared" si="7"/>
        <v>0</v>
      </c>
      <c r="M199" s="54" t="str">
        <f>IFERROR(INDEX('[1]REP DISEÑO'!$BA$9:$BA$1008,MATCH('INDIC-DIS2'!C199,'[1]REP DISEÑO'!$D$9:$D$1008,0)),"")</f>
        <v/>
      </c>
      <c r="N199" s="55"/>
      <c r="O199" s="55"/>
      <c r="P199" s="55"/>
      <c r="R199" s="57" t="str">
        <f t="shared" si="8"/>
        <v/>
      </c>
    </row>
    <row r="200" spans="2:18" ht="26.25" customHeight="1" x14ac:dyDescent="0.25">
      <c r="B200" s="49">
        <f t="shared" si="6"/>
        <v>0</v>
      </c>
      <c r="C200" s="50" t="str">
        <f t="array" ref="C200">IFERROR(INDEX('[1]REP DISEÑO'!$D$9:$D$1008,SMALL(IF('[1]REP DISEÑO'!$AW$9:$AW$1008=$J$1,ROW('[1]REP DISEÑO'!$N$9:$N$1008)-ROW('[1]REP DISEÑO'!$N$9),""),ROWS(C$14:C200))+1),"")</f>
        <v/>
      </c>
      <c r="D200" s="51" t="str">
        <f>IFERROR(INDEX('[1]REP DISEÑO'!$N$9:$N$1508,MATCH(C200,'[1]REP DISEÑO'!$D$9:$D$1508,0)),"")</f>
        <v/>
      </c>
      <c r="E200" s="51" t="str">
        <f>IFERROR(INDEX('[1]REP DISEÑO'!$G$9:$G$1508,MATCH(C200,'[1]REP DISEÑO'!$D$9:$D$1508,0)),"")</f>
        <v/>
      </c>
      <c r="F200" s="51" t="str">
        <f>IFERROR(INDEX('[1]REP DISEÑO'!$I$9:$I$1508,MATCH(C200,'[1]REP DISEÑO'!$D$9:$D$1508,0)),"")</f>
        <v/>
      </c>
      <c r="G200" s="51" t="str">
        <f>IFERROR(INDEX('[1]REP DISEÑO'!$M$9:$M$1508,MATCH(C200,'[1]REP DISEÑO'!$D$9:$D$1508,0)),"")</f>
        <v/>
      </c>
      <c r="H200" s="51" t="str">
        <f>IFERROR(INDEX('[1]REP DISEÑO'!$J$9:$J$1508,MATCH(C200,'[1]REP DISEÑO'!$D$9:$D$1508,0)),"")</f>
        <v/>
      </c>
      <c r="I200" s="52" t="str">
        <f>IFERROR(INDEX('[1]REP DISEÑO'!$C$9:$C$1508,MATCH(C200,'[1]REP DISEÑO'!$D$9:$D$1508,0)),"")</f>
        <v/>
      </c>
      <c r="J200" s="53" t="str">
        <f>IF(C200="","",IF(ISNUMBER(FIND("AMU",$C$14:$C$548)),1,(SUMIF('[1]REP PRODUCCIÓN'!$H$6:$H$1505,"*"&amp;C200&amp;"*",'[1]REP PRODUCCIÓN'!$E$6:$E$1505))))</f>
        <v/>
      </c>
      <c r="K200" s="53">
        <f t="shared" si="7"/>
        <v>0</v>
      </c>
      <c r="M200" s="54" t="str">
        <f>IFERROR(INDEX('[1]REP DISEÑO'!$BA$9:$BA$1008,MATCH('INDIC-DIS2'!C200,'[1]REP DISEÑO'!$D$9:$D$1008,0)),"")</f>
        <v/>
      </c>
      <c r="N200" s="55"/>
      <c r="O200" s="55"/>
      <c r="P200" s="55"/>
      <c r="R200" s="57" t="str">
        <f t="shared" si="8"/>
        <v/>
      </c>
    </row>
    <row r="201" spans="2:18" ht="26.25" customHeight="1" x14ac:dyDescent="0.25">
      <c r="B201" s="49">
        <f t="shared" si="6"/>
        <v>0</v>
      </c>
      <c r="C201" s="50" t="str">
        <f t="array" ref="C201">IFERROR(INDEX('[1]REP DISEÑO'!$D$9:$D$1008,SMALL(IF('[1]REP DISEÑO'!$AW$9:$AW$1008=$J$1,ROW('[1]REP DISEÑO'!$N$9:$N$1008)-ROW('[1]REP DISEÑO'!$N$9),""),ROWS(C$14:C201))+1),"")</f>
        <v/>
      </c>
      <c r="D201" s="51" t="str">
        <f>IFERROR(INDEX('[1]REP DISEÑO'!$N$9:$N$1508,MATCH(C201,'[1]REP DISEÑO'!$D$9:$D$1508,0)),"")</f>
        <v/>
      </c>
      <c r="E201" s="51" t="str">
        <f>IFERROR(INDEX('[1]REP DISEÑO'!$G$9:$G$1508,MATCH(C201,'[1]REP DISEÑO'!$D$9:$D$1508,0)),"")</f>
        <v/>
      </c>
      <c r="F201" s="51" t="str">
        <f>IFERROR(INDEX('[1]REP DISEÑO'!$I$9:$I$1508,MATCH(C201,'[1]REP DISEÑO'!$D$9:$D$1508,0)),"")</f>
        <v/>
      </c>
      <c r="G201" s="51" t="str">
        <f>IFERROR(INDEX('[1]REP DISEÑO'!$M$9:$M$1508,MATCH(C201,'[1]REP DISEÑO'!$D$9:$D$1508,0)),"")</f>
        <v/>
      </c>
      <c r="H201" s="51" t="str">
        <f>IFERROR(INDEX('[1]REP DISEÑO'!$J$9:$J$1508,MATCH(C201,'[1]REP DISEÑO'!$D$9:$D$1508,0)),"")</f>
        <v/>
      </c>
      <c r="I201" s="52" t="str">
        <f>IFERROR(INDEX('[1]REP DISEÑO'!$C$9:$C$1508,MATCH(C201,'[1]REP DISEÑO'!$D$9:$D$1508,0)),"")</f>
        <v/>
      </c>
      <c r="J201" s="53" t="str">
        <f>IF(C201="","",IF(ISNUMBER(FIND("AMU",$C$14:$C$548)),1,(SUMIF('[1]REP PRODUCCIÓN'!$H$6:$H$1505,"*"&amp;C201&amp;"*",'[1]REP PRODUCCIÓN'!$E$6:$E$1505))))</f>
        <v/>
      </c>
      <c r="K201" s="53">
        <f t="shared" si="7"/>
        <v>0</v>
      </c>
      <c r="M201" s="54" t="str">
        <f>IFERROR(INDEX('[1]REP DISEÑO'!$BA$9:$BA$1008,MATCH('INDIC-DIS2'!C201,'[1]REP DISEÑO'!$D$9:$D$1008,0)),"")</f>
        <v/>
      </c>
      <c r="N201" s="55"/>
      <c r="O201" s="55"/>
      <c r="P201" s="55"/>
      <c r="R201" s="57" t="str">
        <f t="shared" si="8"/>
        <v/>
      </c>
    </row>
    <row r="202" spans="2:18" ht="26.25" customHeight="1" x14ac:dyDescent="0.25">
      <c r="B202" s="49">
        <f t="shared" si="6"/>
        <v>0</v>
      </c>
      <c r="C202" s="50" t="str">
        <f t="array" ref="C202">IFERROR(INDEX('[1]REP DISEÑO'!$D$9:$D$1008,SMALL(IF('[1]REP DISEÑO'!$AW$9:$AW$1008=$J$1,ROW('[1]REP DISEÑO'!$N$9:$N$1008)-ROW('[1]REP DISEÑO'!$N$9),""),ROWS(C$14:C202))+1),"")</f>
        <v/>
      </c>
      <c r="D202" s="51" t="str">
        <f>IFERROR(INDEX('[1]REP DISEÑO'!$N$9:$N$1508,MATCH(C202,'[1]REP DISEÑO'!$D$9:$D$1508,0)),"")</f>
        <v/>
      </c>
      <c r="E202" s="51" t="str">
        <f>IFERROR(INDEX('[1]REP DISEÑO'!$G$9:$G$1508,MATCH(C202,'[1]REP DISEÑO'!$D$9:$D$1508,0)),"")</f>
        <v/>
      </c>
      <c r="F202" s="51" t="str">
        <f>IFERROR(INDEX('[1]REP DISEÑO'!$I$9:$I$1508,MATCH(C202,'[1]REP DISEÑO'!$D$9:$D$1508,0)),"")</f>
        <v/>
      </c>
      <c r="G202" s="51" t="str">
        <f>IFERROR(INDEX('[1]REP DISEÑO'!$M$9:$M$1508,MATCH(C202,'[1]REP DISEÑO'!$D$9:$D$1508,0)),"")</f>
        <v/>
      </c>
      <c r="H202" s="51" t="str">
        <f>IFERROR(INDEX('[1]REP DISEÑO'!$J$9:$J$1508,MATCH(C202,'[1]REP DISEÑO'!$D$9:$D$1508,0)),"")</f>
        <v/>
      </c>
      <c r="I202" s="52" t="str">
        <f>IFERROR(INDEX('[1]REP DISEÑO'!$C$9:$C$1508,MATCH(C202,'[1]REP DISEÑO'!$D$9:$D$1508,0)),"")</f>
        <v/>
      </c>
      <c r="J202" s="53" t="str">
        <f>IF(C202="","",IF(ISNUMBER(FIND("AMU",$C$14:$C$548)),1,(SUMIF('[1]REP PRODUCCIÓN'!$H$6:$H$1505,"*"&amp;C202&amp;"*",'[1]REP PRODUCCIÓN'!$E$6:$E$1505))))</f>
        <v/>
      </c>
      <c r="K202" s="53">
        <f t="shared" si="7"/>
        <v>0</v>
      </c>
      <c r="M202" s="54" t="str">
        <f>IFERROR(INDEX('[1]REP DISEÑO'!$BA$9:$BA$1008,MATCH('INDIC-DIS2'!C202,'[1]REP DISEÑO'!$D$9:$D$1008,0)),"")</f>
        <v/>
      </c>
      <c r="N202" s="55"/>
      <c r="O202" s="55"/>
      <c r="P202" s="55"/>
      <c r="R202" s="57" t="str">
        <f t="shared" si="8"/>
        <v/>
      </c>
    </row>
    <row r="203" spans="2:18" ht="26.25" customHeight="1" x14ac:dyDescent="0.25">
      <c r="B203" s="49">
        <f t="shared" si="6"/>
        <v>0</v>
      </c>
      <c r="C203" s="50" t="str">
        <f t="array" ref="C203">IFERROR(INDEX('[1]REP DISEÑO'!$D$9:$D$1008,SMALL(IF('[1]REP DISEÑO'!$AW$9:$AW$1008=$J$1,ROW('[1]REP DISEÑO'!$N$9:$N$1008)-ROW('[1]REP DISEÑO'!$N$9),""),ROWS(C$14:C203))+1),"")</f>
        <v/>
      </c>
      <c r="D203" s="51" t="str">
        <f>IFERROR(INDEX('[1]REP DISEÑO'!$N$9:$N$1508,MATCH(C203,'[1]REP DISEÑO'!$D$9:$D$1508,0)),"")</f>
        <v/>
      </c>
      <c r="E203" s="51" t="str">
        <f>IFERROR(INDEX('[1]REP DISEÑO'!$G$9:$G$1508,MATCH(C203,'[1]REP DISEÑO'!$D$9:$D$1508,0)),"")</f>
        <v/>
      </c>
      <c r="F203" s="51" t="str">
        <f>IFERROR(INDEX('[1]REP DISEÑO'!$I$9:$I$1508,MATCH(C203,'[1]REP DISEÑO'!$D$9:$D$1508,0)),"")</f>
        <v/>
      </c>
      <c r="G203" s="51" t="str">
        <f>IFERROR(INDEX('[1]REP DISEÑO'!$M$9:$M$1508,MATCH(C203,'[1]REP DISEÑO'!$D$9:$D$1508,0)),"")</f>
        <v/>
      </c>
      <c r="H203" s="51" t="str">
        <f>IFERROR(INDEX('[1]REP DISEÑO'!$J$9:$J$1508,MATCH(C203,'[1]REP DISEÑO'!$D$9:$D$1508,0)),"")</f>
        <v/>
      </c>
      <c r="I203" s="52" t="str">
        <f>IFERROR(INDEX('[1]REP DISEÑO'!$C$9:$C$1508,MATCH(C203,'[1]REP DISEÑO'!$D$9:$D$1508,0)),"")</f>
        <v/>
      </c>
      <c r="J203" s="53" t="str">
        <f>IF(C203="","",IF(ISNUMBER(FIND("AMU",$C$14:$C$548)),1,(SUMIF('[1]REP PRODUCCIÓN'!$H$6:$H$1505,"*"&amp;C203&amp;"*",'[1]REP PRODUCCIÓN'!$E$6:$E$1505))))</f>
        <v/>
      </c>
      <c r="K203" s="53">
        <f t="shared" si="7"/>
        <v>0</v>
      </c>
      <c r="M203" s="54" t="str">
        <f>IFERROR(INDEX('[1]REP DISEÑO'!$BA$9:$BA$1008,MATCH('INDIC-DIS2'!C203,'[1]REP DISEÑO'!$D$9:$D$1008,0)),"")</f>
        <v/>
      </c>
      <c r="N203" s="55"/>
      <c r="O203" s="55"/>
      <c r="P203" s="55"/>
      <c r="R203" s="57" t="str">
        <f t="shared" si="8"/>
        <v/>
      </c>
    </row>
    <row r="204" spans="2:18" ht="26.25" customHeight="1" x14ac:dyDescent="0.25">
      <c r="B204" s="49">
        <f t="shared" si="6"/>
        <v>0</v>
      </c>
      <c r="C204" s="50" t="str">
        <f t="array" ref="C204">IFERROR(INDEX('[1]REP DISEÑO'!$D$9:$D$1008,SMALL(IF('[1]REP DISEÑO'!$AW$9:$AW$1008=$J$1,ROW('[1]REP DISEÑO'!$N$9:$N$1008)-ROW('[1]REP DISEÑO'!$N$9),""),ROWS(C$14:C204))+1),"")</f>
        <v/>
      </c>
      <c r="D204" s="51" t="str">
        <f>IFERROR(INDEX('[1]REP DISEÑO'!$N$9:$N$1508,MATCH(C204,'[1]REP DISEÑO'!$D$9:$D$1508,0)),"")</f>
        <v/>
      </c>
      <c r="E204" s="51" t="str">
        <f>IFERROR(INDEX('[1]REP DISEÑO'!$G$9:$G$1508,MATCH(C204,'[1]REP DISEÑO'!$D$9:$D$1508,0)),"")</f>
        <v/>
      </c>
      <c r="F204" s="51" t="str">
        <f>IFERROR(INDEX('[1]REP DISEÑO'!$I$9:$I$1508,MATCH(C204,'[1]REP DISEÑO'!$D$9:$D$1508,0)),"")</f>
        <v/>
      </c>
      <c r="G204" s="51" t="str">
        <f>IFERROR(INDEX('[1]REP DISEÑO'!$M$9:$M$1508,MATCH(C204,'[1]REP DISEÑO'!$D$9:$D$1508,0)),"")</f>
        <v/>
      </c>
      <c r="H204" s="51" t="str">
        <f>IFERROR(INDEX('[1]REP DISEÑO'!$J$9:$J$1508,MATCH(C204,'[1]REP DISEÑO'!$D$9:$D$1508,0)),"")</f>
        <v/>
      </c>
      <c r="I204" s="52" t="str">
        <f>IFERROR(INDEX('[1]REP DISEÑO'!$C$9:$C$1508,MATCH(C204,'[1]REP DISEÑO'!$D$9:$D$1508,0)),"")</f>
        <v/>
      </c>
      <c r="J204" s="53" t="str">
        <f>IF(C204="","",IF(ISNUMBER(FIND("AMU",$C$14:$C$548)),1,(SUMIF('[1]REP PRODUCCIÓN'!$H$6:$H$1505,"*"&amp;C204&amp;"*",'[1]REP PRODUCCIÓN'!$E$6:$E$1505))))</f>
        <v/>
      </c>
      <c r="K204" s="53">
        <f t="shared" si="7"/>
        <v>0</v>
      </c>
      <c r="M204" s="54" t="str">
        <f>IFERROR(INDEX('[1]REP DISEÑO'!$BA$9:$BA$1008,MATCH('INDIC-DIS2'!C204,'[1]REP DISEÑO'!$D$9:$D$1008,0)),"")</f>
        <v/>
      </c>
      <c r="N204" s="55"/>
      <c r="O204" s="55"/>
      <c r="P204" s="55"/>
      <c r="R204" s="57" t="str">
        <f t="shared" si="8"/>
        <v/>
      </c>
    </row>
    <row r="205" spans="2:18" ht="26.25" customHeight="1" x14ac:dyDescent="0.25">
      <c r="B205" s="49">
        <f t="shared" si="6"/>
        <v>0</v>
      </c>
      <c r="C205" s="50" t="str">
        <f t="array" ref="C205">IFERROR(INDEX('[1]REP DISEÑO'!$D$9:$D$1008,SMALL(IF('[1]REP DISEÑO'!$AW$9:$AW$1008=$J$1,ROW('[1]REP DISEÑO'!$N$9:$N$1008)-ROW('[1]REP DISEÑO'!$N$9),""),ROWS(C$14:C205))+1),"")</f>
        <v/>
      </c>
      <c r="D205" s="51" t="str">
        <f>IFERROR(INDEX('[1]REP DISEÑO'!$N$9:$N$1508,MATCH(C205,'[1]REP DISEÑO'!$D$9:$D$1508,0)),"")</f>
        <v/>
      </c>
      <c r="E205" s="51" t="str">
        <f>IFERROR(INDEX('[1]REP DISEÑO'!$G$9:$G$1508,MATCH(C205,'[1]REP DISEÑO'!$D$9:$D$1508,0)),"")</f>
        <v/>
      </c>
      <c r="F205" s="51" t="str">
        <f>IFERROR(INDEX('[1]REP DISEÑO'!$I$9:$I$1508,MATCH(C205,'[1]REP DISEÑO'!$D$9:$D$1508,0)),"")</f>
        <v/>
      </c>
      <c r="G205" s="51" t="str">
        <f>IFERROR(INDEX('[1]REP DISEÑO'!$M$9:$M$1508,MATCH(C205,'[1]REP DISEÑO'!$D$9:$D$1508,0)),"")</f>
        <v/>
      </c>
      <c r="H205" s="51" t="str">
        <f>IFERROR(INDEX('[1]REP DISEÑO'!$J$9:$J$1508,MATCH(C205,'[1]REP DISEÑO'!$D$9:$D$1508,0)),"")</f>
        <v/>
      </c>
      <c r="I205" s="52" t="str">
        <f>IFERROR(INDEX('[1]REP DISEÑO'!$C$9:$C$1508,MATCH(C205,'[1]REP DISEÑO'!$D$9:$D$1508,0)),"")</f>
        <v/>
      </c>
      <c r="J205" s="53" t="str">
        <f>IF(C205="","",IF(ISNUMBER(FIND("AMU",$C$14:$C$548)),1,(SUMIF('[1]REP PRODUCCIÓN'!$H$6:$H$1505,"*"&amp;C205&amp;"*",'[1]REP PRODUCCIÓN'!$E$6:$E$1505))))</f>
        <v/>
      </c>
      <c r="K205" s="53">
        <f t="shared" si="7"/>
        <v>0</v>
      </c>
      <c r="M205" s="54" t="str">
        <f>IFERROR(INDEX('[1]REP DISEÑO'!$BA$9:$BA$1008,MATCH('INDIC-DIS2'!C205,'[1]REP DISEÑO'!$D$9:$D$1008,0)),"")</f>
        <v/>
      </c>
      <c r="N205" s="55"/>
      <c r="O205" s="55"/>
      <c r="P205" s="55"/>
      <c r="R205" s="57" t="str">
        <f t="shared" si="8"/>
        <v/>
      </c>
    </row>
    <row r="206" spans="2:18" ht="26.25" customHeight="1" x14ac:dyDescent="0.25">
      <c r="B206" s="49">
        <f t="shared" si="6"/>
        <v>0</v>
      </c>
      <c r="C206" s="50" t="str">
        <f t="array" ref="C206">IFERROR(INDEX('[1]REP DISEÑO'!$D$9:$D$1008,SMALL(IF('[1]REP DISEÑO'!$AW$9:$AW$1008=$J$1,ROW('[1]REP DISEÑO'!$N$9:$N$1008)-ROW('[1]REP DISEÑO'!$N$9),""),ROWS(C$14:C206))+1),"")</f>
        <v/>
      </c>
      <c r="D206" s="51" t="str">
        <f>IFERROR(INDEX('[1]REP DISEÑO'!$N$9:$N$1508,MATCH(C206,'[1]REP DISEÑO'!$D$9:$D$1508,0)),"")</f>
        <v/>
      </c>
      <c r="E206" s="51" t="str">
        <f>IFERROR(INDEX('[1]REP DISEÑO'!$G$9:$G$1508,MATCH(C206,'[1]REP DISEÑO'!$D$9:$D$1508,0)),"")</f>
        <v/>
      </c>
      <c r="F206" s="51" t="str">
        <f>IFERROR(INDEX('[1]REP DISEÑO'!$I$9:$I$1508,MATCH(C206,'[1]REP DISEÑO'!$D$9:$D$1508,0)),"")</f>
        <v/>
      </c>
      <c r="G206" s="51" t="str">
        <f>IFERROR(INDEX('[1]REP DISEÑO'!$M$9:$M$1508,MATCH(C206,'[1]REP DISEÑO'!$D$9:$D$1508,0)),"")</f>
        <v/>
      </c>
      <c r="H206" s="51" t="str">
        <f>IFERROR(INDEX('[1]REP DISEÑO'!$J$9:$J$1508,MATCH(C206,'[1]REP DISEÑO'!$D$9:$D$1508,0)),"")</f>
        <v/>
      </c>
      <c r="I206" s="52" t="str">
        <f>IFERROR(INDEX('[1]REP DISEÑO'!$C$9:$C$1508,MATCH(C206,'[1]REP DISEÑO'!$D$9:$D$1508,0)),"")</f>
        <v/>
      </c>
      <c r="J206" s="53" t="str">
        <f>IF(C206="","",IF(ISNUMBER(FIND("AMU",$C$14:$C$548)),1,(SUMIF('[1]REP PRODUCCIÓN'!$H$6:$H$1505,"*"&amp;C206&amp;"*",'[1]REP PRODUCCIÓN'!$E$6:$E$1505))))</f>
        <v/>
      </c>
      <c r="K206" s="53">
        <f t="shared" si="7"/>
        <v>0</v>
      </c>
      <c r="M206" s="54" t="str">
        <f>IFERROR(INDEX('[1]REP DISEÑO'!$BA$9:$BA$1008,MATCH('INDIC-DIS2'!C206,'[1]REP DISEÑO'!$D$9:$D$1008,0)),"")</f>
        <v/>
      </c>
      <c r="N206" s="55"/>
      <c r="O206" s="55"/>
      <c r="P206" s="55"/>
      <c r="R206" s="57" t="str">
        <f t="shared" si="8"/>
        <v/>
      </c>
    </row>
    <row r="207" spans="2:18" ht="26.25" customHeight="1" x14ac:dyDescent="0.25">
      <c r="B207" s="49">
        <f t="shared" ref="B207:B270" si="9">IF(J207="",0,IF(OR(J207&gt;0,ISNUMBER(FIND("AMU",$C$14:$C$548))),1,0))</f>
        <v>0</v>
      </c>
      <c r="C207" s="50" t="str">
        <f t="array" ref="C207">IFERROR(INDEX('[1]REP DISEÑO'!$D$9:$D$1008,SMALL(IF('[1]REP DISEÑO'!$AW$9:$AW$1008=$J$1,ROW('[1]REP DISEÑO'!$N$9:$N$1008)-ROW('[1]REP DISEÑO'!$N$9),""),ROWS(C$14:C207))+1),"")</f>
        <v/>
      </c>
      <c r="D207" s="51" t="str">
        <f>IFERROR(INDEX('[1]REP DISEÑO'!$N$9:$N$1508,MATCH(C207,'[1]REP DISEÑO'!$D$9:$D$1508,0)),"")</f>
        <v/>
      </c>
      <c r="E207" s="51" t="str">
        <f>IFERROR(INDEX('[1]REP DISEÑO'!$G$9:$G$1508,MATCH(C207,'[1]REP DISEÑO'!$D$9:$D$1508,0)),"")</f>
        <v/>
      </c>
      <c r="F207" s="51" t="str">
        <f>IFERROR(INDEX('[1]REP DISEÑO'!$I$9:$I$1508,MATCH(C207,'[1]REP DISEÑO'!$D$9:$D$1508,0)),"")</f>
        <v/>
      </c>
      <c r="G207" s="51" t="str">
        <f>IFERROR(INDEX('[1]REP DISEÑO'!$M$9:$M$1508,MATCH(C207,'[1]REP DISEÑO'!$D$9:$D$1508,0)),"")</f>
        <v/>
      </c>
      <c r="H207" s="51" t="str">
        <f>IFERROR(INDEX('[1]REP DISEÑO'!$J$9:$J$1508,MATCH(C207,'[1]REP DISEÑO'!$D$9:$D$1508,0)),"")</f>
        <v/>
      </c>
      <c r="I207" s="52" t="str">
        <f>IFERROR(INDEX('[1]REP DISEÑO'!$C$9:$C$1508,MATCH(C207,'[1]REP DISEÑO'!$D$9:$D$1508,0)),"")</f>
        <v/>
      </c>
      <c r="J207" s="53" t="str">
        <f>IF(C207="","",IF(ISNUMBER(FIND("AMU",$C$14:$C$548)),1,(SUMIF('[1]REP PRODUCCIÓN'!$H$6:$H$1505,"*"&amp;C207&amp;"*",'[1]REP PRODUCCIÓN'!$E$6:$E$1505))))</f>
        <v/>
      </c>
      <c r="K207" s="53">
        <f t="shared" ref="K207:K270" si="10">IF(B207=1,"OK",0)</f>
        <v>0</v>
      </c>
      <c r="M207" s="54" t="str">
        <f>IFERROR(INDEX('[1]REP DISEÑO'!$BA$9:$BA$1008,MATCH('INDIC-DIS2'!C207,'[1]REP DISEÑO'!$D$9:$D$1008,0)),"")</f>
        <v/>
      </c>
      <c r="N207" s="55"/>
      <c r="O207" s="55"/>
      <c r="P207" s="55"/>
      <c r="R207" s="57" t="str">
        <f t="shared" ref="R207:R270" si="11">IF(M207="","",1)</f>
        <v/>
      </c>
    </row>
    <row r="208" spans="2:18" ht="26.25" customHeight="1" x14ac:dyDescent="0.25">
      <c r="B208" s="49">
        <f t="shared" si="9"/>
        <v>0</v>
      </c>
      <c r="C208" s="50" t="str">
        <f t="array" ref="C208">IFERROR(INDEX('[1]REP DISEÑO'!$D$9:$D$1008,SMALL(IF('[1]REP DISEÑO'!$AW$9:$AW$1008=$J$1,ROW('[1]REP DISEÑO'!$N$9:$N$1008)-ROW('[1]REP DISEÑO'!$N$9),""),ROWS(C$14:C208))+1),"")</f>
        <v/>
      </c>
      <c r="D208" s="51" t="str">
        <f>IFERROR(INDEX('[1]REP DISEÑO'!$N$9:$N$1508,MATCH(C208,'[1]REP DISEÑO'!$D$9:$D$1508,0)),"")</f>
        <v/>
      </c>
      <c r="E208" s="51" t="str">
        <f>IFERROR(INDEX('[1]REP DISEÑO'!$G$9:$G$1508,MATCH(C208,'[1]REP DISEÑO'!$D$9:$D$1508,0)),"")</f>
        <v/>
      </c>
      <c r="F208" s="51" t="str">
        <f>IFERROR(INDEX('[1]REP DISEÑO'!$I$9:$I$1508,MATCH(C208,'[1]REP DISEÑO'!$D$9:$D$1508,0)),"")</f>
        <v/>
      </c>
      <c r="G208" s="51" t="str">
        <f>IFERROR(INDEX('[1]REP DISEÑO'!$M$9:$M$1508,MATCH(C208,'[1]REP DISEÑO'!$D$9:$D$1508,0)),"")</f>
        <v/>
      </c>
      <c r="H208" s="51" t="str">
        <f>IFERROR(INDEX('[1]REP DISEÑO'!$J$9:$J$1508,MATCH(C208,'[1]REP DISEÑO'!$D$9:$D$1508,0)),"")</f>
        <v/>
      </c>
      <c r="I208" s="52" t="str">
        <f>IFERROR(INDEX('[1]REP DISEÑO'!$C$9:$C$1508,MATCH(C208,'[1]REP DISEÑO'!$D$9:$D$1508,0)),"")</f>
        <v/>
      </c>
      <c r="J208" s="53" t="str">
        <f>IF(C208="","",IF(ISNUMBER(FIND("AMU",$C$14:$C$548)),1,(SUMIF('[1]REP PRODUCCIÓN'!$H$6:$H$1505,"*"&amp;C208&amp;"*",'[1]REP PRODUCCIÓN'!$E$6:$E$1505))))</f>
        <v/>
      </c>
      <c r="K208" s="53">
        <f t="shared" si="10"/>
        <v>0</v>
      </c>
      <c r="M208" s="54" t="str">
        <f>IFERROR(INDEX('[1]REP DISEÑO'!$BA$9:$BA$1008,MATCH('INDIC-DIS2'!C208,'[1]REP DISEÑO'!$D$9:$D$1008,0)),"")</f>
        <v/>
      </c>
      <c r="N208" s="55"/>
      <c r="O208" s="55"/>
      <c r="P208" s="55"/>
      <c r="R208" s="57" t="str">
        <f t="shared" si="11"/>
        <v/>
      </c>
    </row>
    <row r="209" spans="2:18" ht="26.25" customHeight="1" x14ac:dyDescent="0.25">
      <c r="B209" s="49">
        <f t="shared" si="9"/>
        <v>0</v>
      </c>
      <c r="C209" s="50" t="str">
        <f t="array" ref="C209">IFERROR(INDEX('[1]REP DISEÑO'!$D$9:$D$1008,SMALL(IF('[1]REP DISEÑO'!$AW$9:$AW$1008=$J$1,ROW('[1]REP DISEÑO'!$N$9:$N$1008)-ROW('[1]REP DISEÑO'!$N$9),""),ROWS(C$14:C209))+1),"")</f>
        <v/>
      </c>
      <c r="D209" s="51" t="str">
        <f>IFERROR(INDEX('[1]REP DISEÑO'!$N$9:$N$1508,MATCH(C209,'[1]REP DISEÑO'!$D$9:$D$1508,0)),"")</f>
        <v/>
      </c>
      <c r="E209" s="51" t="str">
        <f>IFERROR(INDEX('[1]REP DISEÑO'!$G$9:$G$1508,MATCH(C209,'[1]REP DISEÑO'!$D$9:$D$1508,0)),"")</f>
        <v/>
      </c>
      <c r="F209" s="51" t="str">
        <f>IFERROR(INDEX('[1]REP DISEÑO'!$I$9:$I$1508,MATCH(C209,'[1]REP DISEÑO'!$D$9:$D$1508,0)),"")</f>
        <v/>
      </c>
      <c r="G209" s="51" t="str">
        <f>IFERROR(INDEX('[1]REP DISEÑO'!$M$9:$M$1508,MATCH(C209,'[1]REP DISEÑO'!$D$9:$D$1508,0)),"")</f>
        <v/>
      </c>
      <c r="H209" s="51" t="str">
        <f>IFERROR(INDEX('[1]REP DISEÑO'!$J$9:$J$1508,MATCH(C209,'[1]REP DISEÑO'!$D$9:$D$1508,0)),"")</f>
        <v/>
      </c>
      <c r="I209" s="52" t="str">
        <f>IFERROR(INDEX('[1]REP DISEÑO'!$C$9:$C$1508,MATCH(C209,'[1]REP DISEÑO'!$D$9:$D$1508,0)),"")</f>
        <v/>
      </c>
      <c r="J209" s="53" t="str">
        <f>IF(C209="","",IF(ISNUMBER(FIND("AMU",$C$14:$C$548)),1,(SUMIF('[1]REP PRODUCCIÓN'!$H$6:$H$1505,"*"&amp;C209&amp;"*",'[1]REP PRODUCCIÓN'!$E$6:$E$1505))))</f>
        <v/>
      </c>
      <c r="K209" s="53">
        <f t="shared" si="10"/>
        <v>0</v>
      </c>
      <c r="M209" s="54" t="str">
        <f>IFERROR(INDEX('[1]REP DISEÑO'!$BA$9:$BA$1008,MATCH('INDIC-DIS2'!C209,'[1]REP DISEÑO'!$D$9:$D$1008,0)),"")</f>
        <v/>
      </c>
      <c r="N209" s="55"/>
      <c r="O209" s="55"/>
      <c r="P209" s="55"/>
      <c r="R209" s="57" t="str">
        <f t="shared" si="11"/>
        <v/>
      </c>
    </row>
    <row r="210" spans="2:18" ht="26.25" customHeight="1" x14ac:dyDescent="0.25">
      <c r="B210" s="49">
        <f t="shared" si="9"/>
        <v>0</v>
      </c>
      <c r="C210" s="50" t="str">
        <f t="array" ref="C210">IFERROR(INDEX('[1]REP DISEÑO'!$D$9:$D$1008,SMALL(IF('[1]REP DISEÑO'!$AW$9:$AW$1008=$J$1,ROW('[1]REP DISEÑO'!$N$9:$N$1008)-ROW('[1]REP DISEÑO'!$N$9),""),ROWS(C$14:C210))+1),"")</f>
        <v/>
      </c>
      <c r="D210" s="51" t="str">
        <f>IFERROR(INDEX('[1]REP DISEÑO'!$N$9:$N$1508,MATCH(C210,'[1]REP DISEÑO'!$D$9:$D$1508,0)),"")</f>
        <v/>
      </c>
      <c r="E210" s="51" t="str">
        <f>IFERROR(INDEX('[1]REP DISEÑO'!$G$9:$G$1508,MATCH(C210,'[1]REP DISEÑO'!$D$9:$D$1508,0)),"")</f>
        <v/>
      </c>
      <c r="F210" s="51" t="str">
        <f>IFERROR(INDEX('[1]REP DISEÑO'!$I$9:$I$1508,MATCH(C210,'[1]REP DISEÑO'!$D$9:$D$1508,0)),"")</f>
        <v/>
      </c>
      <c r="G210" s="51" t="str">
        <f>IFERROR(INDEX('[1]REP DISEÑO'!$M$9:$M$1508,MATCH(C210,'[1]REP DISEÑO'!$D$9:$D$1508,0)),"")</f>
        <v/>
      </c>
      <c r="H210" s="51" t="str">
        <f>IFERROR(INDEX('[1]REP DISEÑO'!$J$9:$J$1508,MATCH(C210,'[1]REP DISEÑO'!$D$9:$D$1508,0)),"")</f>
        <v/>
      </c>
      <c r="I210" s="52" t="str">
        <f>IFERROR(INDEX('[1]REP DISEÑO'!$C$9:$C$1508,MATCH(C210,'[1]REP DISEÑO'!$D$9:$D$1508,0)),"")</f>
        <v/>
      </c>
      <c r="J210" s="53" t="str">
        <f>IF(C210="","",IF(ISNUMBER(FIND("AMU",$C$14:$C$548)),1,(SUMIF('[1]REP PRODUCCIÓN'!$H$6:$H$1505,"*"&amp;C210&amp;"*",'[1]REP PRODUCCIÓN'!$E$6:$E$1505))))</f>
        <v/>
      </c>
      <c r="K210" s="53">
        <f t="shared" si="10"/>
        <v>0</v>
      </c>
      <c r="M210" s="54" t="str">
        <f>IFERROR(INDEX('[1]REP DISEÑO'!$BA$9:$BA$1008,MATCH('INDIC-DIS2'!C210,'[1]REP DISEÑO'!$D$9:$D$1008,0)),"")</f>
        <v/>
      </c>
      <c r="N210" s="55"/>
      <c r="O210" s="55"/>
      <c r="P210" s="55"/>
      <c r="R210" s="57" t="str">
        <f t="shared" si="11"/>
        <v/>
      </c>
    </row>
    <row r="211" spans="2:18" ht="26.25" customHeight="1" x14ac:dyDescent="0.25">
      <c r="B211" s="49">
        <f t="shared" si="9"/>
        <v>0</v>
      </c>
      <c r="C211" s="50" t="str">
        <f t="array" ref="C211">IFERROR(INDEX('[1]REP DISEÑO'!$D$9:$D$1008,SMALL(IF('[1]REP DISEÑO'!$AW$9:$AW$1008=$J$1,ROW('[1]REP DISEÑO'!$N$9:$N$1008)-ROW('[1]REP DISEÑO'!$N$9),""),ROWS(C$14:C211))+1),"")</f>
        <v/>
      </c>
      <c r="D211" s="51" t="str">
        <f>IFERROR(INDEX('[1]REP DISEÑO'!$N$9:$N$1508,MATCH(C211,'[1]REP DISEÑO'!$D$9:$D$1508,0)),"")</f>
        <v/>
      </c>
      <c r="E211" s="51" t="str">
        <f>IFERROR(INDEX('[1]REP DISEÑO'!$G$9:$G$1508,MATCH(C211,'[1]REP DISEÑO'!$D$9:$D$1508,0)),"")</f>
        <v/>
      </c>
      <c r="F211" s="51" t="str">
        <f>IFERROR(INDEX('[1]REP DISEÑO'!$I$9:$I$1508,MATCH(C211,'[1]REP DISEÑO'!$D$9:$D$1508,0)),"")</f>
        <v/>
      </c>
      <c r="G211" s="51" t="str">
        <f>IFERROR(INDEX('[1]REP DISEÑO'!$M$9:$M$1508,MATCH(C211,'[1]REP DISEÑO'!$D$9:$D$1508,0)),"")</f>
        <v/>
      </c>
      <c r="H211" s="51" t="str">
        <f>IFERROR(INDEX('[1]REP DISEÑO'!$J$9:$J$1508,MATCH(C211,'[1]REP DISEÑO'!$D$9:$D$1508,0)),"")</f>
        <v/>
      </c>
      <c r="I211" s="52" t="str">
        <f>IFERROR(INDEX('[1]REP DISEÑO'!$C$9:$C$1508,MATCH(C211,'[1]REP DISEÑO'!$D$9:$D$1508,0)),"")</f>
        <v/>
      </c>
      <c r="J211" s="53" t="str">
        <f>IF(C211="","",IF(ISNUMBER(FIND("AMU",$C$14:$C$548)),1,(SUMIF('[1]REP PRODUCCIÓN'!$H$6:$H$1505,"*"&amp;C211&amp;"*",'[1]REP PRODUCCIÓN'!$E$6:$E$1505))))</f>
        <v/>
      </c>
      <c r="K211" s="53">
        <f t="shared" si="10"/>
        <v>0</v>
      </c>
      <c r="M211" s="54" t="str">
        <f>IFERROR(INDEX('[1]REP DISEÑO'!$BA$9:$BA$1008,MATCH('INDIC-DIS2'!C211,'[1]REP DISEÑO'!$D$9:$D$1008,0)),"")</f>
        <v/>
      </c>
      <c r="N211" s="55"/>
      <c r="O211" s="55"/>
      <c r="P211" s="55"/>
      <c r="R211" s="57" t="str">
        <f t="shared" si="11"/>
        <v/>
      </c>
    </row>
    <row r="212" spans="2:18" ht="26.25" customHeight="1" x14ac:dyDescent="0.25">
      <c r="B212" s="49">
        <f t="shared" si="9"/>
        <v>0</v>
      </c>
      <c r="C212" s="50" t="str">
        <f t="array" ref="C212">IFERROR(INDEX('[1]REP DISEÑO'!$D$9:$D$1008,SMALL(IF('[1]REP DISEÑO'!$AW$9:$AW$1008=$J$1,ROW('[1]REP DISEÑO'!$N$9:$N$1008)-ROW('[1]REP DISEÑO'!$N$9),""),ROWS(C$14:C212))+1),"")</f>
        <v/>
      </c>
      <c r="D212" s="51" t="str">
        <f>IFERROR(INDEX('[1]REP DISEÑO'!$N$9:$N$1508,MATCH(C212,'[1]REP DISEÑO'!$D$9:$D$1508,0)),"")</f>
        <v/>
      </c>
      <c r="E212" s="51" t="str">
        <f>IFERROR(INDEX('[1]REP DISEÑO'!$G$9:$G$1508,MATCH(C212,'[1]REP DISEÑO'!$D$9:$D$1508,0)),"")</f>
        <v/>
      </c>
      <c r="F212" s="51" t="str">
        <f>IFERROR(INDEX('[1]REP DISEÑO'!$I$9:$I$1508,MATCH(C212,'[1]REP DISEÑO'!$D$9:$D$1508,0)),"")</f>
        <v/>
      </c>
      <c r="G212" s="51" t="str">
        <f>IFERROR(INDEX('[1]REP DISEÑO'!$M$9:$M$1508,MATCH(C212,'[1]REP DISEÑO'!$D$9:$D$1508,0)),"")</f>
        <v/>
      </c>
      <c r="H212" s="51" t="str">
        <f>IFERROR(INDEX('[1]REP DISEÑO'!$J$9:$J$1508,MATCH(C212,'[1]REP DISEÑO'!$D$9:$D$1508,0)),"")</f>
        <v/>
      </c>
      <c r="I212" s="52" t="str">
        <f>IFERROR(INDEX('[1]REP DISEÑO'!$C$9:$C$1508,MATCH(C212,'[1]REP DISEÑO'!$D$9:$D$1508,0)),"")</f>
        <v/>
      </c>
      <c r="J212" s="53" t="str">
        <f>IF(C212="","",IF(ISNUMBER(FIND("AMU",$C$14:$C$548)),1,(SUMIF('[1]REP PRODUCCIÓN'!$H$6:$H$1505,"*"&amp;C212&amp;"*",'[1]REP PRODUCCIÓN'!$E$6:$E$1505))))</f>
        <v/>
      </c>
      <c r="K212" s="53">
        <f t="shared" si="10"/>
        <v>0</v>
      </c>
      <c r="M212" s="54" t="str">
        <f>IFERROR(INDEX('[1]REP DISEÑO'!$BA$9:$BA$1008,MATCH('INDIC-DIS2'!C212,'[1]REP DISEÑO'!$D$9:$D$1008,0)),"")</f>
        <v/>
      </c>
      <c r="N212" s="55"/>
      <c r="O212" s="55"/>
      <c r="P212" s="55"/>
      <c r="R212" s="57" t="str">
        <f t="shared" si="11"/>
        <v/>
      </c>
    </row>
    <row r="213" spans="2:18" ht="26.25" customHeight="1" x14ac:dyDescent="0.25">
      <c r="B213" s="49">
        <f t="shared" si="9"/>
        <v>0</v>
      </c>
      <c r="C213" s="50" t="str">
        <f t="array" ref="C213">IFERROR(INDEX('[1]REP DISEÑO'!$D$9:$D$1008,SMALL(IF('[1]REP DISEÑO'!$AW$9:$AW$1008=$J$1,ROW('[1]REP DISEÑO'!$N$9:$N$1008)-ROW('[1]REP DISEÑO'!$N$9),""),ROWS(C$14:C213))+1),"")</f>
        <v/>
      </c>
      <c r="D213" s="51" t="str">
        <f>IFERROR(INDEX('[1]REP DISEÑO'!$N$9:$N$1508,MATCH(C213,'[1]REP DISEÑO'!$D$9:$D$1508,0)),"")</f>
        <v/>
      </c>
      <c r="E213" s="51" t="str">
        <f>IFERROR(INDEX('[1]REP DISEÑO'!$G$9:$G$1508,MATCH(C213,'[1]REP DISEÑO'!$D$9:$D$1508,0)),"")</f>
        <v/>
      </c>
      <c r="F213" s="51" t="str">
        <f>IFERROR(INDEX('[1]REP DISEÑO'!$I$9:$I$1508,MATCH(C213,'[1]REP DISEÑO'!$D$9:$D$1508,0)),"")</f>
        <v/>
      </c>
      <c r="G213" s="51" t="str">
        <f>IFERROR(INDEX('[1]REP DISEÑO'!$M$9:$M$1508,MATCH(C213,'[1]REP DISEÑO'!$D$9:$D$1508,0)),"")</f>
        <v/>
      </c>
      <c r="H213" s="51" t="str">
        <f>IFERROR(INDEX('[1]REP DISEÑO'!$J$9:$J$1508,MATCH(C213,'[1]REP DISEÑO'!$D$9:$D$1508,0)),"")</f>
        <v/>
      </c>
      <c r="I213" s="52" t="str">
        <f>IFERROR(INDEX('[1]REP DISEÑO'!$C$9:$C$1508,MATCH(C213,'[1]REP DISEÑO'!$D$9:$D$1508,0)),"")</f>
        <v/>
      </c>
      <c r="J213" s="53" t="str">
        <f>IF(C213="","",IF(ISNUMBER(FIND("AMU",$C$14:$C$548)),1,(SUMIF('[1]REP PRODUCCIÓN'!$H$6:$H$1505,"*"&amp;C213&amp;"*",'[1]REP PRODUCCIÓN'!$E$6:$E$1505))))</f>
        <v/>
      </c>
      <c r="K213" s="53">
        <f t="shared" si="10"/>
        <v>0</v>
      </c>
      <c r="M213" s="54" t="str">
        <f>IFERROR(INDEX('[1]REP DISEÑO'!$BA$9:$BA$1008,MATCH('INDIC-DIS2'!C213,'[1]REP DISEÑO'!$D$9:$D$1008,0)),"")</f>
        <v/>
      </c>
      <c r="N213" s="55"/>
      <c r="O213" s="55"/>
      <c r="P213" s="55"/>
      <c r="R213" s="57" t="str">
        <f t="shared" si="11"/>
        <v/>
      </c>
    </row>
    <row r="214" spans="2:18" ht="26.25" customHeight="1" x14ac:dyDescent="0.25">
      <c r="B214" s="49">
        <f t="shared" si="9"/>
        <v>0</v>
      </c>
      <c r="C214" s="50" t="str">
        <f t="array" ref="C214">IFERROR(INDEX('[1]REP DISEÑO'!$D$9:$D$1008,SMALL(IF('[1]REP DISEÑO'!$AW$9:$AW$1008=$J$1,ROW('[1]REP DISEÑO'!$N$9:$N$1008)-ROW('[1]REP DISEÑO'!$N$9),""),ROWS(C$14:C214))+1),"")</f>
        <v/>
      </c>
      <c r="D214" s="51" t="str">
        <f>IFERROR(INDEX('[1]REP DISEÑO'!$N$9:$N$1508,MATCH(C214,'[1]REP DISEÑO'!$D$9:$D$1508,0)),"")</f>
        <v/>
      </c>
      <c r="E214" s="51" t="str">
        <f>IFERROR(INDEX('[1]REP DISEÑO'!$G$9:$G$1508,MATCH(C214,'[1]REP DISEÑO'!$D$9:$D$1508,0)),"")</f>
        <v/>
      </c>
      <c r="F214" s="51" t="str">
        <f>IFERROR(INDEX('[1]REP DISEÑO'!$I$9:$I$1508,MATCH(C214,'[1]REP DISEÑO'!$D$9:$D$1508,0)),"")</f>
        <v/>
      </c>
      <c r="G214" s="51" t="str">
        <f>IFERROR(INDEX('[1]REP DISEÑO'!$M$9:$M$1508,MATCH(C214,'[1]REP DISEÑO'!$D$9:$D$1508,0)),"")</f>
        <v/>
      </c>
      <c r="H214" s="51" t="str">
        <f>IFERROR(INDEX('[1]REP DISEÑO'!$J$9:$J$1508,MATCH(C214,'[1]REP DISEÑO'!$D$9:$D$1508,0)),"")</f>
        <v/>
      </c>
      <c r="I214" s="52" t="str">
        <f>IFERROR(INDEX('[1]REP DISEÑO'!$C$9:$C$1508,MATCH(C214,'[1]REP DISEÑO'!$D$9:$D$1508,0)),"")</f>
        <v/>
      </c>
      <c r="J214" s="53" t="str">
        <f>IF(C214="","",IF(ISNUMBER(FIND("AMU",$C$14:$C$548)),1,(SUMIF('[1]REP PRODUCCIÓN'!$H$6:$H$1505,"*"&amp;C214&amp;"*",'[1]REP PRODUCCIÓN'!$E$6:$E$1505))))</f>
        <v/>
      </c>
      <c r="K214" s="53">
        <f t="shared" si="10"/>
        <v>0</v>
      </c>
      <c r="M214" s="54" t="str">
        <f>IFERROR(INDEX('[1]REP DISEÑO'!$BA$9:$BA$1008,MATCH('INDIC-DIS2'!C214,'[1]REP DISEÑO'!$D$9:$D$1008,0)),"")</f>
        <v/>
      </c>
      <c r="N214" s="55"/>
      <c r="O214" s="55"/>
      <c r="P214" s="55"/>
      <c r="R214" s="57" t="str">
        <f t="shared" si="11"/>
        <v/>
      </c>
    </row>
    <row r="215" spans="2:18" ht="26.25" customHeight="1" x14ac:dyDescent="0.25">
      <c r="B215" s="49">
        <f t="shared" si="9"/>
        <v>0</v>
      </c>
      <c r="C215" s="50" t="str">
        <f t="array" ref="C215">IFERROR(INDEX('[1]REP DISEÑO'!$D$9:$D$1008,SMALL(IF('[1]REP DISEÑO'!$AW$9:$AW$1008=$J$1,ROW('[1]REP DISEÑO'!$N$9:$N$1008)-ROW('[1]REP DISEÑO'!$N$9),""),ROWS(C$14:C215))+1),"")</f>
        <v/>
      </c>
      <c r="D215" s="51" t="str">
        <f>IFERROR(INDEX('[1]REP DISEÑO'!$N$9:$N$1508,MATCH(C215,'[1]REP DISEÑO'!$D$9:$D$1508,0)),"")</f>
        <v/>
      </c>
      <c r="E215" s="51" t="str">
        <f>IFERROR(INDEX('[1]REP DISEÑO'!$G$9:$G$1508,MATCH(C215,'[1]REP DISEÑO'!$D$9:$D$1508,0)),"")</f>
        <v/>
      </c>
      <c r="F215" s="51" t="str">
        <f>IFERROR(INDEX('[1]REP DISEÑO'!$I$9:$I$1508,MATCH(C215,'[1]REP DISEÑO'!$D$9:$D$1508,0)),"")</f>
        <v/>
      </c>
      <c r="G215" s="51" t="str">
        <f>IFERROR(INDEX('[1]REP DISEÑO'!$M$9:$M$1508,MATCH(C215,'[1]REP DISEÑO'!$D$9:$D$1508,0)),"")</f>
        <v/>
      </c>
      <c r="H215" s="51" t="str">
        <f>IFERROR(INDEX('[1]REP DISEÑO'!$J$9:$J$1508,MATCH(C215,'[1]REP DISEÑO'!$D$9:$D$1508,0)),"")</f>
        <v/>
      </c>
      <c r="I215" s="52" t="str">
        <f>IFERROR(INDEX('[1]REP DISEÑO'!$C$9:$C$1508,MATCH(C215,'[1]REP DISEÑO'!$D$9:$D$1508,0)),"")</f>
        <v/>
      </c>
      <c r="J215" s="53" t="str">
        <f>IF(C215="","",IF(ISNUMBER(FIND("AMU",$C$14:$C$548)),1,(SUMIF('[1]REP PRODUCCIÓN'!$H$6:$H$1505,"*"&amp;C215&amp;"*",'[1]REP PRODUCCIÓN'!$E$6:$E$1505))))</f>
        <v/>
      </c>
      <c r="K215" s="53">
        <f t="shared" si="10"/>
        <v>0</v>
      </c>
      <c r="M215" s="54" t="str">
        <f>IFERROR(INDEX('[1]REP DISEÑO'!$BA$9:$BA$1008,MATCH('INDIC-DIS2'!C215,'[1]REP DISEÑO'!$D$9:$D$1008,0)),"")</f>
        <v/>
      </c>
      <c r="N215" s="55"/>
      <c r="O215" s="55"/>
      <c r="P215" s="55"/>
      <c r="R215" s="57" t="str">
        <f t="shared" si="11"/>
        <v/>
      </c>
    </row>
    <row r="216" spans="2:18" ht="26.25" customHeight="1" x14ac:dyDescent="0.25">
      <c r="B216" s="49">
        <f t="shared" si="9"/>
        <v>0</v>
      </c>
      <c r="C216" s="50" t="str">
        <f t="array" ref="C216">IFERROR(INDEX('[1]REP DISEÑO'!$D$9:$D$1008,SMALL(IF('[1]REP DISEÑO'!$AW$9:$AW$1008=$J$1,ROW('[1]REP DISEÑO'!$N$9:$N$1008)-ROW('[1]REP DISEÑO'!$N$9),""),ROWS(C$14:C216))+1),"")</f>
        <v/>
      </c>
      <c r="D216" s="51" t="str">
        <f>IFERROR(INDEX('[1]REP DISEÑO'!$N$9:$N$1508,MATCH(C216,'[1]REP DISEÑO'!$D$9:$D$1508,0)),"")</f>
        <v/>
      </c>
      <c r="E216" s="51" t="str">
        <f>IFERROR(INDEX('[1]REP DISEÑO'!$G$9:$G$1508,MATCH(C216,'[1]REP DISEÑO'!$D$9:$D$1508,0)),"")</f>
        <v/>
      </c>
      <c r="F216" s="51" t="str">
        <f>IFERROR(INDEX('[1]REP DISEÑO'!$I$9:$I$1508,MATCH(C216,'[1]REP DISEÑO'!$D$9:$D$1508,0)),"")</f>
        <v/>
      </c>
      <c r="G216" s="51" t="str">
        <f>IFERROR(INDEX('[1]REP DISEÑO'!$M$9:$M$1508,MATCH(C216,'[1]REP DISEÑO'!$D$9:$D$1508,0)),"")</f>
        <v/>
      </c>
      <c r="H216" s="51" t="str">
        <f>IFERROR(INDEX('[1]REP DISEÑO'!$J$9:$J$1508,MATCH(C216,'[1]REP DISEÑO'!$D$9:$D$1508,0)),"")</f>
        <v/>
      </c>
      <c r="I216" s="52" t="str">
        <f>IFERROR(INDEX('[1]REP DISEÑO'!$C$9:$C$1508,MATCH(C216,'[1]REP DISEÑO'!$D$9:$D$1508,0)),"")</f>
        <v/>
      </c>
      <c r="J216" s="53" t="str">
        <f>IF(C216="","",IF(ISNUMBER(FIND("AMU",$C$14:$C$548)),1,(SUMIF('[1]REP PRODUCCIÓN'!$H$6:$H$1505,"*"&amp;C216&amp;"*",'[1]REP PRODUCCIÓN'!$E$6:$E$1505))))</f>
        <v/>
      </c>
      <c r="K216" s="53">
        <f t="shared" si="10"/>
        <v>0</v>
      </c>
      <c r="M216" s="54" t="str">
        <f>IFERROR(INDEX('[1]REP DISEÑO'!$BA$9:$BA$1008,MATCH('INDIC-DIS2'!C216,'[1]REP DISEÑO'!$D$9:$D$1008,0)),"")</f>
        <v/>
      </c>
      <c r="N216" s="55"/>
      <c r="O216" s="55"/>
      <c r="P216" s="55"/>
      <c r="R216" s="57" t="str">
        <f t="shared" si="11"/>
        <v/>
      </c>
    </row>
    <row r="217" spans="2:18" ht="26.25" customHeight="1" x14ac:dyDescent="0.25">
      <c r="B217" s="49">
        <f t="shared" si="9"/>
        <v>0</v>
      </c>
      <c r="C217" s="50" t="str">
        <f t="array" ref="C217">IFERROR(INDEX('[1]REP DISEÑO'!$D$9:$D$1008,SMALL(IF('[1]REP DISEÑO'!$AW$9:$AW$1008=$J$1,ROW('[1]REP DISEÑO'!$N$9:$N$1008)-ROW('[1]REP DISEÑO'!$N$9),""),ROWS(C$14:C217))+1),"")</f>
        <v/>
      </c>
      <c r="D217" s="51" t="str">
        <f>IFERROR(INDEX('[1]REP DISEÑO'!$N$9:$N$1508,MATCH(C217,'[1]REP DISEÑO'!$D$9:$D$1508,0)),"")</f>
        <v/>
      </c>
      <c r="E217" s="51" t="str">
        <f>IFERROR(INDEX('[1]REP DISEÑO'!$G$9:$G$1508,MATCH(C217,'[1]REP DISEÑO'!$D$9:$D$1508,0)),"")</f>
        <v/>
      </c>
      <c r="F217" s="51" t="str">
        <f>IFERROR(INDEX('[1]REP DISEÑO'!$I$9:$I$1508,MATCH(C217,'[1]REP DISEÑO'!$D$9:$D$1508,0)),"")</f>
        <v/>
      </c>
      <c r="G217" s="51" t="str">
        <f>IFERROR(INDEX('[1]REP DISEÑO'!$M$9:$M$1508,MATCH(C217,'[1]REP DISEÑO'!$D$9:$D$1508,0)),"")</f>
        <v/>
      </c>
      <c r="H217" s="51" t="str">
        <f>IFERROR(INDEX('[1]REP DISEÑO'!$J$9:$J$1508,MATCH(C217,'[1]REP DISEÑO'!$D$9:$D$1508,0)),"")</f>
        <v/>
      </c>
      <c r="I217" s="52" t="str">
        <f>IFERROR(INDEX('[1]REP DISEÑO'!$C$9:$C$1508,MATCH(C217,'[1]REP DISEÑO'!$D$9:$D$1508,0)),"")</f>
        <v/>
      </c>
      <c r="J217" s="53" t="str">
        <f>IF(C217="","",IF(ISNUMBER(FIND("AMU",$C$14:$C$548)),1,(SUMIF('[1]REP PRODUCCIÓN'!$H$6:$H$1505,"*"&amp;C217&amp;"*",'[1]REP PRODUCCIÓN'!$E$6:$E$1505))))</f>
        <v/>
      </c>
      <c r="K217" s="53">
        <f t="shared" si="10"/>
        <v>0</v>
      </c>
      <c r="M217" s="54" t="str">
        <f>IFERROR(INDEX('[1]REP DISEÑO'!$BA$9:$BA$1008,MATCH('INDIC-DIS2'!C217,'[1]REP DISEÑO'!$D$9:$D$1008,0)),"")</f>
        <v/>
      </c>
      <c r="N217" s="55"/>
      <c r="O217" s="55"/>
      <c r="P217" s="55"/>
      <c r="R217" s="57" t="str">
        <f t="shared" si="11"/>
        <v/>
      </c>
    </row>
    <row r="218" spans="2:18" ht="26.25" customHeight="1" x14ac:dyDescent="0.25">
      <c r="B218" s="49">
        <f t="shared" si="9"/>
        <v>0</v>
      </c>
      <c r="C218" s="50" t="str">
        <f t="array" ref="C218">IFERROR(INDEX('[1]REP DISEÑO'!$D$9:$D$1008,SMALL(IF('[1]REP DISEÑO'!$AW$9:$AW$1008=$J$1,ROW('[1]REP DISEÑO'!$N$9:$N$1008)-ROW('[1]REP DISEÑO'!$N$9),""),ROWS(C$14:C218))+1),"")</f>
        <v/>
      </c>
      <c r="D218" s="51" t="str">
        <f>IFERROR(INDEX('[1]REP DISEÑO'!$N$9:$N$1508,MATCH(C218,'[1]REP DISEÑO'!$D$9:$D$1508,0)),"")</f>
        <v/>
      </c>
      <c r="E218" s="51" t="str">
        <f>IFERROR(INDEX('[1]REP DISEÑO'!$G$9:$G$1508,MATCH(C218,'[1]REP DISEÑO'!$D$9:$D$1508,0)),"")</f>
        <v/>
      </c>
      <c r="F218" s="51" t="str">
        <f>IFERROR(INDEX('[1]REP DISEÑO'!$I$9:$I$1508,MATCH(C218,'[1]REP DISEÑO'!$D$9:$D$1508,0)),"")</f>
        <v/>
      </c>
      <c r="G218" s="51" t="str">
        <f>IFERROR(INDEX('[1]REP DISEÑO'!$M$9:$M$1508,MATCH(C218,'[1]REP DISEÑO'!$D$9:$D$1508,0)),"")</f>
        <v/>
      </c>
      <c r="H218" s="51" t="str">
        <f>IFERROR(INDEX('[1]REP DISEÑO'!$J$9:$J$1508,MATCH(C218,'[1]REP DISEÑO'!$D$9:$D$1508,0)),"")</f>
        <v/>
      </c>
      <c r="I218" s="52" t="str">
        <f>IFERROR(INDEX('[1]REP DISEÑO'!$C$9:$C$1508,MATCH(C218,'[1]REP DISEÑO'!$D$9:$D$1508,0)),"")</f>
        <v/>
      </c>
      <c r="J218" s="53" t="str">
        <f>IF(C218="","",IF(ISNUMBER(FIND("AMU",$C$14:$C$548)),1,(SUMIF('[1]REP PRODUCCIÓN'!$H$6:$H$1505,"*"&amp;C218&amp;"*",'[1]REP PRODUCCIÓN'!$E$6:$E$1505))))</f>
        <v/>
      </c>
      <c r="K218" s="53">
        <f t="shared" si="10"/>
        <v>0</v>
      </c>
      <c r="M218" s="54" t="str">
        <f>IFERROR(INDEX('[1]REP DISEÑO'!$BA$9:$BA$1008,MATCH('INDIC-DIS2'!C218,'[1]REP DISEÑO'!$D$9:$D$1008,0)),"")</f>
        <v/>
      </c>
      <c r="N218" s="55"/>
      <c r="O218" s="55"/>
      <c r="P218" s="55"/>
      <c r="R218" s="57" t="str">
        <f t="shared" si="11"/>
        <v/>
      </c>
    </row>
    <row r="219" spans="2:18" ht="26.25" customHeight="1" x14ac:dyDescent="0.25">
      <c r="B219" s="49">
        <f t="shared" si="9"/>
        <v>0</v>
      </c>
      <c r="C219" s="50" t="str">
        <f t="array" ref="C219">IFERROR(INDEX('[1]REP DISEÑO'!$D$9:$D$1008,SMALL(IF('[1]REP DISEÑO'!$AW$9:$AW$1008=$J$1,ROW('[1]REP DISEÑO'!$N$9:$N$1008)-ROW('[1]REP DISEÑO'!$N$9),""),ROWS(C$14:C219))+1),"")</f>
        <v/>
      </c>
      <c r="D219" s="51" t="str">
        <f>IFERROR(INDEX('[1]REP DISEÑO'!$N$9:$N$1508,MATCH(C219,'[1]REP DISEÑO'!$D$9:$D$1508,0)),"")</f>
        <v/>
      </c>
      <c r="E219" s="51" t="str">
        <f>IFERROR(INDEX('[1]REP DISEÑO'!$G$9:$G$1508,MATCH(C219,'[1]REP DISEÑO'!$D$9:$D$1508,0)),"")</f>
        <v/>
      </c>
      <c r="F219" s="51" t="str">
        <f>IFERROR(INDEX('[1]REP DISEÑO'!$I$9:$I$1508,MATCH(C219,'[1]REP DISEÑO'!$D$9:$D$1508,0)),"")</f>
        <v/>
      </c>
      <c r="G219" s="51" t="str">
        <f>IFERROR(INDEX('[1]REP DISEÑO'!$M$9:$M$1508,MATCH(C219,'[1]REP DISEÑO'!$D$9:$D$1508,0)),"")</f>
        <v/>
      </c>
      <c r="H219" s="51" t="str">
        <f>IFERROR(INDEX('[1]REP DISEÑO'!$J$9:$J$1508,MATCH(C219,'[1]REP DISEÑO'!$D$9:$D$1508,0)),"")</f>
        <v/>
      </c>
      <c r="I219" s="52" t="str">
        <f>IFERROR(INDEX('[1]REP DISEÑO'!$C$9:$C$1508,MATCH(C219,'[1]REP DISEÑO'!$D$9:$D$1508,0)),"")</f>
        <v/>
      </c>
      <c r="J219" s="53" t="str">
        <f>IF(C219="","",IF(ISNUMBER(FIND("AMU",$C$14:$C$548)),1,(SUMIF('[1]REP PRODUCCIÓN'!$H$6:$H$1505,"*"&amp;C219&amp;"*",'[1]REP PRODUCCIÓN'!$E$6:$E$1505))))</f>
        <v/>
      </c>
      <c r="K219" s="53">
        <f t="shared" si="10"/>
        <v>0</v>
      </c>
      <c r="M219" s="54" t="str">
        <f>IFERROR(INDEX('[1]REP DISEÑO'!$BA$9:$BA$1008,MATCH('INDIC-DIS2'!C219,'[1]REP DISEÑO'!$D$9:$D$1008,0)),"")</f>
        <v/>
      </c>
      <c r="N219" s="55"/>
      <c r="O219" s="55"/>
      <c r="P219" s="55"/>
      <c r="R219" s="57" t="str">
        <f t="shared" si="11"/>
        <v/>
      </c>
    </row>
    <row r="220" spans="2:18" ht="26.25" customHeight="1" x14ac:dyDescent="0.25">
      <c r="B220" s="49">
        <f t="shared" si="9"/>
        <v>0</v>
      </c>
      <c r="C220" s="50" t="str">
        <f t="array" ref="C220">IFERROR(INDEX('[1]REP DISEÑO'!$D$9:$D$1008,SMALL(IF('[1]REP DISEÑO'!$AW$9:$AW$1008=$J$1,ROW('[1]REP DISEÑO'!$N$9:$N$1008)-ROW('[1]REP DISEÑO'!$N$9),""),ROWS(C$14:C220))+1),"")</f>
        <v/>
      </c>
      <c r="D220" s="51" t="str">
        <f>IFERROR(INDEX('[1]REP DISEÑO'!$N$9:$N$1508,MATCH(C220,'[1]REP DISEÑO'!$D$9:$D$1508,0)),"")</f>
        <v/>
      </c>
      <c r="E220" s="51" t="str">
        <f>IFERROR(INDEX('[1]REP DISEÑO'!$G$9:$G$1508,MATCH(C220,'[1]REP DISEÑO'!$D$9:$D$1508,0)),"")</f>
        <v/>
      </c>
      <c r="F220" s="51" t="str">
        <f>IFERROR(INDEX('[1]REP DISEÑO'!$I$9:$I$1508,MATCH(C220,'[1]REP DISEÑO'!$D$9:$D$1508,0)),"")</f>
        <v/>
      </c>
      <c r="G220" s="51" t="str">
        <f>IFERROR(INDEX('[1]REP DISEÑO'!$M$9:$M$1508,MATCH(C220,'[1]REP DISEÑO'!$D$9:$D$1508,0)),"")</f>
        <v/>
      </c>
      <c r="H220" s="51" t="str">
        <f>IFERROR(INDEX('[1]REP DISEÑO'!$J$9:$J$1508,MATCH(C220,'[1]REP DISEÑO'!$D$9:$D$1508,0)),"")</f>
        <v/>
      </c>
      <c r="I220" s="52" t="str">
        <f>IFERROR(INDEX('[1]REP DISEÑO'!$C$9:$C$1508,MATCH(C220,'[1]REP DISEÑO'!$D$9:$D$1508,0)),"")</f>
        <v/>
      </c>
      <c r="J220" s="53" t="str">
        <f>IF(C220="","",IF(ISNUMBER(FIND("AMU",$C$14:$C$548)),1,(SUMIF('[1]REP PRODUCCIÓN'!$H$6:$H$1505,"*"&amp;C220&amp;"*",'[1]REP PRODUCCIÓN'!$E$6:$E$1505))))</f>
        <v/>
      </c>
      <c r="K220" s="53">
        <f t="shared" si="10"/>
        <v>0</v>
      </c>
      <c r="M220" s="54" t="str">
        <f>IFERROR(INDEX('[1]REP DISEÑO'!$BA$9:$BA$1008,MATCH('INDIC-DIS2'!C220,'[1]REP DISEÑO'!$D$9:$D$1008,0)),"")</f>
        <v/>
      </c>
      <c r="N220" s="55"/>
      <c r="O220" s="55"/>
      <c r="P220" s="55"/>
      <c r="R220" s="57" t="str">
        <f t="shared" si="11"/>
        <v/>
      </c>
    </row>
    <row r="221" spans="2:18" ht="26.25" customHeight="1" x14ac:dyDescent="0.25">
      <c r="B221" s="49">
        <f t="shared" si="9"/>
        <v>0</v>
      </c>
      <c r="C221" s="50" t="str">
        <f t="array" ref="C221">IFERROR(INDEX('[1]REP DISEÑO'!$D$9:$D$1008,SMALL(IF('[1]REP DISEÑO'!$AW$9:$AW$1008=$J$1,ROW('[1]REP DISEÑO'!$N$9:$N$1008)-ROW('[1]REP DISEÑO'!$N$9),""),ROWS(C$14:C221))+1),"")</f>
        <v/>
      </c>
      <c r="D221" s="51" t="str">
        <f>IFERROR(INDEX('[1]REP DISEÑO'!$N$9:$N$1508,MATCH(C221,'[1]REP DISEÑO'!$D$9:$D$1508,0)),"")</f>
        <v/>
      </c>
      <c r="E221" s="51" t="str">
        <f>IFERROR(INDEX('[1]REP DISEÑO'!$G$9:$G$1508,MATCH(C221,'[1]REP DISEÑO'!$D$9:$D$1508,0)),"")</f>
        <v/>
      </c>
      <c r="F221" s="51" t="str">
        <f>IFERROR(INDEX('[1]REP DISEÑO'!$I$9:$I$1508,MATCH(C221,'[1]REP DISEÑO'!$D$9:$D$1508,0)),"")</f>
        <v/>
      </c>
      <c r="G221" s="51" t="str">
        <f>IFERROR(INDEX('[1]REP DISEÑO'!$M$9:$M$1508,MATCH(C221,'[1]REP DISEÑO'!$D$9:$D$1508,0)),"")</f>
        <v/>
      </c>
      <c r="H221" s="51" t="str">
        <f>IFERROR(INDEX('[1]REP DISEÑO'!$J$9:$J$1508,MATCH(C221,'[1]REP DISEÑO'!$D$9:$D$1508,0)),"")</f>
        <v/>
      </c>
      <c r="I221" s="52" t="str">
        <f>IFERROR(INDEX('[1]REP DISEÑO'!$C$9:$C$1508,MATCH(C221,'[1]REP DISEÑO'!$D$9:$D$1508,0)),"")</f>
        <v/>
      </c>
      <c r="J221" s="53" t="str">
        <f>IF(C221="","",IF(ISNUMBER(FIND("AMU",$C$14:$C$548)),1,(SUMIF('[1]REP PRODUCCIÓN'!$H$6:$H$1505,"*"&amp;C221&amp;"*",'[1]REP PRODUCCIÓN'!$E$6:$E$1505))))</f>
        <v/>
      </c>
      <c r="K221" s="53">
        <f t="shared" si="10"/>
        <v>0</v>
      </c>
      <c r="M221" s="54" t="str">
        <f>IFERROR(INDEX('[1]REP DISEÑO'!$BA$9:$BA$1008,MATCH('INDIC-DIS2'!C221,'[1]REP DISEÑO'!$D$9:$D$1008,0)),"")</f>
        <v/>
      </c>
      <c r="N221" s="55"/>
      <c r="O221" s="55"/>
      <c r="P221" s="55"/>
      <c r="R221" s="57" t="str">
        <f t="shared" si="11"/>
        <v/>
      </c>
    </row>
    <row r="222" spans="2:18" ht="26.25" customHeight="1" x14ac:dyDescent="0.25">
      <c r="B222" s="49">
        <f t="shared" si="9"/>
        <v>0</v>
      </c>
      <c r="C222" s="50" t="str">
        <f t="array" ref="C222">IFERROR(INDEX('[1]REP DISEÑO'!$D$9:$D$1008,SMALL(IF('[1]REP DISEÑO'!$AW$9:$AW$1008=$J$1,ROW('[1]REP DISEÑO'!$N$9:$N$1008)-ROW('[1]REP DISEÑO'!$N$9),""),ROWS(C$14:C222))+1),"")</f>
        <v/>
      </c>
      <c r="D222" s="51" t="str">
        <f>IFERROR(INDEX('[1]REP DISEÑO'!$N$9:$N$1508,MATCH(C222,'[1]REP DISEÑO'!$D$9:$D$1508,0)),"")</f>
        <v/>
      </c>
      <c r="E222" s="51" t="str">
        <f>IFERROR(INDEX('[1]REP DISEÑO'!$G$9:$G$1508,MATCH(C222,'[1]REP DISEÑO'!$D$9:$D$1508,0)),"")</f>
        <v/>
      </c>
      <c r="F222" s="51" t="str">
        <f>IFERROR(INDEX('[1]REP DISEÑO'!$I$9:$I$1508,MATCH(C222,'[1]REP DISEÑO'!$D$9:$D$1508,0)),"")</f>
        <v/>
      </c>
      <c r="G222" s="51" t="str">
        <f>IFERROR(INDEX('[1]REP DISEÑO'!$M$9:$M$1508,MATCH(C222,'[1]REP DISEÑO'!$D$9:$D$1508,0)),"")</f>
        <v/>
      </c>
      <c r="H222" s="51" t="str">
        <f>IFERROR(INDEX('[1]REP DISEÑO'!$J$9:$J$1508,MATCH(C222,'[1]REP DISEÑO'!$D$9:$D$1508,0)),"")</f>
        <v/>
      </c>
      <c r="I222" s="52" t="str">
        <f>IFERROR(INDEX('[1]REP DISEÑO'!$C$9:$C$1508,MATCH(C222,'[1]REP DISEÑO'!$D$9:$D$1508,0)),"")</f>
        <v/>
      </c>
      <c r="J222" s="53" t="str">
        <f>IF(C222="","",IF(ISNUMBER(FIND("AMU",$C$14:$C$548)),1,(SUMIF('[1]REP PRODUCCIÓN'!$H$6:$H$1505,"*"&amp;C222&amp;"*",'[1]REP PRODUCCIÓN'!$E$6:$E$1505))))</f>
        <v/>
      </c>
      <c r="K222" s="53">
        <f t="shared" si="10"/>
        <v>0</v>
      </c>
      <c r="M222" s="54" t="str">
        <f>IFERROR(INDEX('[1]REP DISEÑO'!$BA$9:$BA$1008,MATCH('INDIC-DIS2'!C222,'[1]REP DISEÑO'!$D$9:$D$1008,0)),"")</f>
        <v/>
      </c>
      <c r="N222" s="55"/>
      <c r="O222" s="55"/>
      <c r="P222" s="55"/>
      <c r="R222" s="57" t="str">
        <f t="shared" si="11"/>
        <v/>
      </c>
    </row>
    <row r="223" spans="2:18" ht="26.25" customHeight="1" x14ac:dyDescent="0.25">
      <c r="B223" s="49">
        <f t="shared" si="9"/>
        <v>0</v>
      </c>
      <c r="C223" s="50" t="str">
        <f t="array" ref="C223">IFERROR(INDEX('[1]REP DISEÑO'!$D$9:$D$1008,SMALL(IF('[1]REP DISEÑO'!$AW$9:$AW$1008=$J$1,ROW('[1]REP DISEÑO'!$N$9:$N$1008)-ROW('[1]REP DISEÑO'!$N$9),""),ROWS(C$14:C223))+1),"")</f>
        <v/>
      </c>
      <c r="D223" s="51" t="str">
        <f>IFERROR(INDEX('[1]REP DISEÑO'!$N$9:$N$1508,MATCH(C223,'[1]REP DISEÑO'!$D$9:$D$1508,0)),"")</f>
        <v/>
      </c>
      <c r="E223" s="51" t="str">
        <f>IFERROR(INDEX('[1]REP DISEÑO'!$G$9:$G$1508,MATCH(C223,'[1]REP DISEÑO'!$D$9:$D$1508,0)),"")</f>
        <v/>
      </c>
      <c r="F223" s="51" t="str">
        <f>IFERROR(INDEX('[1]REP DISEÑO'!$I$9:$I$1508,MATCH(C223,'[1]REP DISEÑO'!$D$9:$D$1508,0)),"")</f>
        <v/>
      </c>
      <c r="G223" s="51" t="str">
        <f>IFERROR(INDEX('[1]REP DISEÑO'!$M$9:$M$1508,MATCH(C223,'[1]REP DISEÑO'!$D$9:$D$1508,0)),"")</f>
        <v/>
      </c>
      <c r="H223" s="51" t="str">
        <f>IFERROR(INDEX('[1]REP DISEÑO'!$J$9:$J$1508,MATCH(C223,'[1]REP DISEÑO'!$D$9:$D$1508,0)),"")</f>
        <v/>
      </c>
      <c r="I223" s="52" t="str">
        <f>IFERROR(INDEX('[1]REP DISEÑO'!$C$9:$C$1508,MATCH(C223,'[1]REP DISEÑO'!$D$9:$D$1508,0)),"")</f>
        <v/>
      </c>
      <c r="J223" s="53" t="str">
        <f>IF(C223="","",IF(ISNUMBER(FIND("AMU",$C$14:$C$548)),1,(SUMIF('[1]REP PRODUCCIÓN'!$H$6:$H$1505,"*"&amp;C223&amp;"*",'[1]REP PRODUCCIÓN'!$E$6:$E$1505))))</f>
        <v/>
      </c>
      <c r="K223" s="53">
        <f t="shared" si="10"/>
        <v>0</v>
      </c>
      <c r="M223" s="54" t="str">
        <f>IFERROR(INDEX('[1]REP DISEÑO'!$BA$9:$BA$1008,MATCH('INDIC-DIS2'!C223,'[1]REP DISEÑO'!$D$9:$D$1008,0)),"")</f>
        <v/>
      </c>
      <c r="N223" s="55"/>
      <c r="O223" s="55"/>
      <c r="P223" s="55"/>
      <c r="R223" s="57" t="str">
        <f t="shared" si="11"/>
        <v/>
      </c>
    </row>
    <row r="224" spans="2:18" ht="26.25" customHeight="1" x14ac:dyDescent="0.25">
      <c r="B224" s="49">
        <f t="shared" si="9"/>
        <v>0</v>
      </c>
      <c r="C224" s="50" t="str">
        <f t="array" ref="C224">IFERROR(INDEX('[1]REP DISEÑO'!$D$9:$D$1008,SMALL(IF('[1]REP DISEÑO'!$AW$9:$AW$1008=$J$1,ROW('[1]REP DISEÑO'!$N$9:$N$1008)-ROW('[1]REP DISEÑO'!$N$9),""),ROWS(C$14:C224))+1),"")</f>
        <v/>
      </c>
      <c r="D224" s="51" t="str">
        <f>IFERROR(INDEX('[1]REP DISEÑO'!$N$9:$N$1508,MATCH(C224,'[1]REP DISEÑO'!$D$9:$D$1508,0)),"")</f>
        <v/>
      </c>
      <c r="E224" s="51" t="str">
        <f>IFERROR(INDEX('[1]REP DISEÑO'!$G$9:$G$1508,MATCH(C224,'[1]REP DISEÑO'!$D$9:$D$1508,0)),"")</f>
        <v/>
      </c>
      <c r="F224" s="51" t="str">
        <f>IFERROR(INDEX('[1]REP DISEÑO'!$I$9:$I$1508,MATCH(C224,'[1]REP DISEÑO'!$D$9:$D$1508,0)),"")</f>
        <v/>
      </c>
      <c r="G224" s="51" t="str">
        <f>IFERROR(INDEX('[1]REP DISEÑO'!$M$9:$M$1508,MATCH(C224,'[1]REP DISEÑO'!$D$9:$D$1508,0)),"")</f>
        <v/>
      </c>
      <c r="H224" s="51" t="str">
        <f>IFERROR(INDEX('[1]REP DISEÑO'!$J$9:$J$1508,MATCH(C224,'[1]REP DISEÑO'!$D$9:$D$1508,0)),"")</f>
        <v/>
      </c>
      <c r="I224" s="52" t="str">
        <f>IFERROR(INDEX('[1]REP DISEÑO'!$C$9:$C$1508,MATCH(C224,'[1]REP DISEÑO'!$D$9:$D$1508,0)),"")</f>
        <v/>
      </c>
      <c r="J224" s="53" t="str">
        <f>IF(C224="","",IF(ISNUMBER(FIND("AMU",$C$14:$C$548)),1,(SUMIF('[1]REP PRODUCCIÓN'!$H$6:$H$1505,"*"&amp;C224&amp;"*",'[1]REP PRODUCCIÓN'!$E$6:$E$1505))))</f>
        <v/>
      </c>
      <c r="K224" s="53">
        <f t="shared" si="10"/>
        <v>0</v>
      </c>
      <c r="M224" s="54" t="str">
        <f>IFERROR(INDEX('[1]REP DISEÑO'!$BA$9:$BA$1008,MATCH('INDIC-DIS2'!C224,'[1]REP DISEÑO'!$D$9:$D$1008,0)),"")</f>
        <v/>
      </c>
      <c r="N224" s="55"/>
      <c r="O224" s="55"/>
      <c r="P224" s="55"/>
      <c r="R224" s="57" t="str">
        <f t="shared" si="11"/>
        <v/>
      </c>
    </row>
    <row r="225" spans="2:18" ht="26.25" customHeight="1" x14ac:dyDescent="0.25">
      <c r="B225" s="49">
        <f t="shared" si="9"/>
        <v>0</v>
      </c>
      <c r="C225" s="50" t="str">
        <f t="array" ref="C225">IFERROR(INDEX('[1]REP DISEÑO'!$D$9:$D$1008,SMALL(IF('[1]REP DISEÑO'!$AW$9:$AW$1008=$J$1,ROW('[1]REP DISEÑO'!$N$9:$N$1008)-ROW('[1]REP DISEÑO'!$N$9),""),ROWS(C$14:C225))+1),"")</f>
        <v/>
      </c>
      <c r="D225" s="51" t="str">
        <f>IFERROR(INDEX('[1]REP DISEÑO'!$N$9:$N$1508,MATCH(C225,'[1]REP DISEÑO'!$D$9:$D$1508,0)),"")</f>
        <v/>
      </c>
      <c r="E225" s="51" t="str">
        <f>IFERROR(INDEX('[1]REP DISEÑO'!$G$9:$G$1508,MATCH(C225,'[1]REP DISEÑO'!$D$9:$D$1508,0)),"")</f>
        <v/>
      </c>
      <c r="F225" s="51" t="str">
        <f>IFERROR(INDEX('[1]REP DISEÑO'!$I$9:$I$1508,MATCH(C225,'[1]REP DISEÑO'!$D$9:$D$1508,0)),"")</f>
        <v/>
      </c>
      <c r="G225" s="51" t="str">
        <f>IFERROR(INDEX('[1]REP DISEÑO'!$M$9:$M$1508,MATCH(C225,'[1]REP DISEÑO'!$D$9:$D$1508,0)),"")</f>
        <v/>
      </c>
      <c r="H225" s="51" t="str">
        <f>IFERROR(INDEX('[1]REP DISEÑO'!$J$9:$J$1508,MATCH(C225,'[1]REP DISEÑO'!$D$9:$D$1508,0)),"")</f>
        <v/>
      </c>
      <c r="I225" s="52" t="str">
        <f>IFERROR(INDEX('[1]REP DISEÑO'!$C$9:$C$1508,MATCH(C225,'[1]REP DISEÑO'!$D$9:$D$1508,0)),"")</f>
        <v/>
      </c>
      <c r="J225" s="53" t="str">
        <f>IF(C225="","",IF(ISNUMBER(FIND("AMU",$C$14:$C$548)),1,(SUMIF('[1]REP PRODUCCIÓN'!$H$6:$H$1505,"*"&amp;C225&amp;"*",'[1]REP PRODUCCIÓN'!$E$6:$E$1505))))</f>
        <v/>
      </c>
      <c r="K225" s="53">
        <f t="shared" si="10"/>
        <v>0</v>
      </c>
      <c r="M225" s="54" t="str">
        <f>IFERROR(INDEX('[1]REP DISEÑO'!$BA$9:$BA$1008,MATCH('INDIC-DIS2'!C225,'[1]REP DISEÑO'!$D$9:$D$1008,0)),"")</f>
        <v/>
      </c>
      <c r="N225" s="55"/>
      <c r="O225" s="55"/>
      <c r="P225" s="55"/>
      <c r="R225" s="57" t="str">
        <f t="shared" si="11"/>
        <v/>
      </c>
    </row>
    <row r="226" spans="2:18" ht="26.25" customHeight="1" x14ac:dyDescent="0.25">
      <c r="B226" s="49">
        <f t="shared" si="9"/>
        <v>0</v>
      </c>
      <c r="C226" s="50" t="str">
        <f t="array" ref="C226">IFERROR(INDEX('[1]REP DISEÑO'!$D$9:$D$1008,SMALL(IF('[1]REP DISEÑO'!$AW$9:$AW$1008=$J$1,ROW('[1]REP DISEÑO'!$N$9:$N$1008)-ROW('[1]REP DISEÑO'!$N$9),""),ROWS(C$14:C226))+1),"")</f>
        <v/>
      </c>
      <c r="D226" s="51" t="str">
        <f>IFERROR(INDEX('[1]REP DISEÑO'!$N$9:$N$1508,MATCH(C226,'[1]REP DISEÑO'!$D$9:$D$1508,0)),"")</f>
        <v/>
      </c>
      <c r="E226" s="51" t="str">
        <f>IFERROR(INDEX('[1]REP DISEÑO'!$G$9:$G$1508,MATCH(C226,'[1]REP DISEÑO'!$D$9:$D$1508,0)),"")</f>
        <v/>
      </c>
      <c r="F226" s="51" t="str">
        <f>IFERROR(INDEX('[1]REP DISEÑO'!$I$9:$I$1508,MATCH(C226,'[1]REP DISEÑO'!$D$9:$D$1508,0)),"")</f>
        <v/>
      </c>
      <c r="G226" s="51" t="str">
        <f>IFERROR(INDEX('[1]REP DISEÑO'!$M$9:$M$1508,MATCH(C226,'[1]REP DISEÑO'!$D$9:$D$1508,0)),"")</f>
        <v/>
      </c>
      <c r="H226" s="51" t="str">
        <f>IFERROR(INDEX('[1]REP DISEÑO'!$J$9:$J$1508,MATCH(C226,'[1]REP DISEÑO'!$D$9:$D$1508,0)),"")</f>
        <v/>
      </c>
      <c r="I226" s="52" t="str">
        <f>IFERROR(INDEX('[1]REP DISEÑO'!$C$9:$C$1508,MATCH(C226,'[1]REP DISEÑO'!$D$9:$D$1508,0)),"")</f>
        <v/>
      </c>
      <c r="J226" s="53" t="str">
        <f>IF(C226="","",IF(ISNUMBER(FIND("AMU",$C$14:$C$548)),1,(SUMIF('[1]REP PRODUCCIÓN'!$H$6:$H$1505,"*"&amp;C226&amp;"*",'[1]REP PRODUCCIÓN'!$E$6:$E$1505))))</f>
        <v/>
      </c>
      <c r="K226" s="53">
        <f t="shared" si="10"/>
        <v>0</v>
      </c>
      <c r="M226" s="54" t="str">
        <f>IFERROR(INDEX('[1]REP DISEÑO'!$BA$9:$BA$1008,MATCH('INDIC-DIS2'!C226,'[1]REP DISEÑO'!$D$9:$D$1008,0)),"")</f>
        <v/>
      </c>
      <c r="N226" s="55"/>
      <c r="O226" s="55"/>
      <c r="P226" s="55"/>
      <c r="R226" s="57" t="str">
        <f t="shared" si="11"/>
        <v/>
      </c>
    </row>
    <row r="227" spans="2:18" ht="26.25" customHeight="1" x14ac:dyDescent="0.25">
      <c r="B227" s="49">
        <f t="shared" si="9"/>
        <v>0</v>
      </c>
      <c r="C227" s="50" t="str">
        <f t="array" ref="C227">IFERROR(INDEX('[1]REP DISEÑO'!$D$9:$D$1008,SMALL(IF('[1]REP DISEÑO'!$AW$9:$AW$1008=$J$1,ROW('[1]REP DISEÑO'!$N$9:$N$1008)-ROW('[1]REP DISEÑO'!$N$9),""),ROWS(C$14:C227))+1),"")</f>
        <v/>
      </c>
      <c r="D227" s="51" t="str">
        <f>IFERROR(INDEX('[1]REP DISEÑO'!$N$9:$N$1508,MATCH(C227,'[1]REP DISEÑO'!$D$9:$D$1508,0)),"")</f>
        <v/>
      </c>
      <c r="E227" s="51" t="str">
        <f>IFERROR(INDEX('[1]REP DISEÑO'!$G$9:$G$1508,MATCH(C227,'[1]REP DISEÑO'!$D$9:$D$1508,0)),"")</f>
        <v/>
      </c>
      <c r="F227" s="51" t="str">
        <f>IFERROR(INDEX('[1]REP DISEÑO'!$I$9:$I$1508,MATCH(C227,'[1]REP DISEÑO'!$D$9:$D$1508,0)),"")</f>
        <v/>
      </c>
      <c r="G227" s="51" t="str">
        <f>IFERROR(INDEX('[1]REP DISEÑO'!$M$9:$M$1508,MATCH(C227,'[1]REP DISEÑO'!$D$9:$D$1508,0)),"")</f>
        <v/>
      </c>
      <c r="H227" s="51" t="str">
        <f>IFERROR(INDEX('[1]REP DISEÑO'!$J$9:$J$1508,MATCH(C227,'[1]REP DISEÑO'!$D$9:$D$1508,0)),"")</f>
        <v/>
      </c>
      <c r="I227" s="52" t="str">
        <f>IFERROR(INDEX('[1]REP DISEÑO'!$C$9:$C$1508,MATCH(C227,'[1]REP DISEÑO'!$D$9:$D$1508,0)),"")</f>
        <v/>
      </c>
      <c r="J227" s="53" t="str">
        <f>IF(C227="","",IF(ISNUMBER(FIND("AMU",$C$14:$C$548)),1,(SUMIF('[1]REP PRODUCCIÓN'!$H$6:$H$1505,"*"&amp;C227&amp;"*",'[1]REP PRODUCCIÓN'!$E$6:$E$1505))))</f>
        <v/>
      </c>
      <c r="K227" s="53">
        <f t="shared" si="10"/>
        <v>0</v>
      </c>
      <c r="M227" s="54" t="str">
        <f>IFERROR(INDEX('[1]REP DISEÑO'!$BA$9:$BA$1008,MATCH('INDIC-DIS2'!C227,'[1]REP DISEÑO'!$D$9:$D$1008,0)),"")</f>
        <v/>
      </c>
      <c r="N227" s="55"/>
      <c r="O227" s="55"/>
      <c r="P227" s="55"/>
      <c r="R227" s="57" t="str">
        <f t="shared" si="11"/>
        <v/>
      </c>
    </row>
    <row r="228" spans="2:18" ht="26.25" customHeight="1" x14ac:dyDescent="0.25">
      <c r="B228" s="49">
        <f t="shared" si="9"/>
        <v>0</v>
      </c>
      <c r="C228" s="50" t="str">
        <f t="array" ref="C228">IFERROR(INDEX('[1]REP DISEÑO'!$D$9:$D$1008,SMALL(IF('[1]REP DISEÑO'!$AW$9:$AW$1008=$J$1,ROW('[1]REP DISEÑO'!$N$9:$N$1008)-ROW('[1]REP DISEÑO'!$N$9),""),ROWS(C$14:C228))+1),"")</f>
        <v/>
      </c>
      <c r="D228" s="51" t="str">
        <f>IFERROR(INDEX('[1]REP DISEÑO'!$N$9:$N$1508,MATCH(C228,'[1]REP DISEÑO'!$D$9:$D$1508,0)),"")</f>
        <v/>
      </c>
      <c r="E228" s="51" t="str">
        <f>IFERROR(INDEX('[1]REP DISEÑO'!$G$9:$G$1508,MATCH(C228,'[1]REP DISEÑO'!$D$9:$D$1508,0)),"")</f>
        <v/>
      </c>
      <c r="F228" s="51" t="str">
        <f>IFERROR(INDEX('[1]REP DISEÑO'!$I$9:$I$1508,MATCH(C228,'[1]REP DISEÑO'!$D$9:$D$1508,0)),"")</f>
        <v/>
      </c>
      <c r="G228" s="51" t="str">
        <f>IFERROR(INDEX('[1]REP DISEÑO'!$M$9:$M$1508,MATCH(C228,'[1]REP DISEÑO'!$D$9:$D$1508,0)),"")</f>
        <v/>
      </c>
      <c r="H228" s="51" t="str">
        <f>IFERROR(INDEX('[1]REP DISEÑO'!$J$9:$J$1508,MATCH(C228,'[1]REP DISEÑO'!$D$9:$D$1508,0)),"")</f>
        <v/>
      </c>
      <c r="I228" s="52" t="str">
        <f>IFERROR(INDEX('[1]REP DISEÑO'!$C$9:$C$1508,MATCH(C228,'[1]REP DISEÑO'!$D$9:$D$1508,0)),"")</f>
        <v/>
      </c>
      <c r="J228" s="53" t="str">
        <f>IF(C228="","",IF(ISNUMBER(FIND("AMU",$C$14:$C$548)),1,(SUMIF('[1]REP PRODUCCIÓN'!$H$6:$H$1505,"*"&amp;C228&amp;"*",'[1]REP PRODUCCIÓN'!$E$6:$E$1505))))</f>
        <v/>
      </c>
      <c r="K228" s="53">
        <f t="shared" si="10"/>
        <v>0</v>
      </c>
      <c r="M228" s="54" t="str">
        <f>IFERROR(INDEX('[1]REP DISEÑO'!$BA$9:$BA$1008,MATCH('INDIC-DIS2'!C228,'[1]REP DISEÑO'!$D$9:$D$1008,0)),"")</f>
        <v/>
      </c>
      <c r="N228" s="55"/>
      <c r="O228" s="55"/>
      <c r="P228" s="55"/>
      <c r="R228" s="57" t="str">
        <f t="shared" si="11"/>
        <v/>
      </c>
    </row>
    <row r="229" spans="2:18" ht="26.25" customHeight="1" x14ac:dyDescent="0.25">
      <c r="B229" s="49">
        <f t="shared" si="9"/>
        <v>0</v>
      </c>
      <c r="C229" s="50" t="str">
        <f t="array" ref="C229">IFERROR(INDEX('[1]REP DISEÑO'!$D$9:$D$1008,SMALL(IF('[1]REP DISEÑO'!$AW$9:$AW$1008=$J$1,ROW('[1]REP DISEÑO'!$N$9:$N$1008)-ROW('[1]REP DISEÑO'!$N$9),""),ROWS(C$14:C229))+1),"")</f>
        <v/>
      </c>
      <c r="D229" s="51" t="str">
        <f>IFERROR(INDEX('[1]REP DISEÑO'!$N$9:$N$1508,MATCH(C229,'[1]REP DISEÑO'!$D$9:$D$1508,0)),"")</f>
        <v/>
      </c>
      <c r="E229" s="51" t="str">
        <f>IFERROR(INDEX('[1]REP DISEÑO'!$G$9:$G$1508,MATCH(C229,'[1]REP DISEÑO'!$D$9:$D$1508,0)),"")</f>
        <v/>
      </c>
      <c r="F229" s="51" t="str">
        <f>IFERROR(INDEX('[1]REP DISEÑO'!$I$9:$I$1508,MATCH(C229,'[1]REP DISEÑO'!$D$9:$D$1508,0)),"")</f>
        <v/>
      </c>
      <c r="G229" s="51" t="str">
        <f>IFERROR(INDEX('[1]REP DISEÑO'!$M$9:$M$1508,MATCH(C229,'[1]REP DISEÑO'!$D$9:$D$1508,0)),"")</f>
        <v/>
      </c>
      <c r="H229" s="51" t="str">
        <f>IFERROR(INDEX('[1]REP DISEÑO'!$J$9:$J$1508,MATCH(C229,'[1]REP DISEÑO'!$D$9:$D$1508,0)),"")</f>
        <v/>
      </c>
      <c r="I229" s="52" t="str">
        <f>IFERROR(INDEX('[1]REP DISEÑO'!$C$9:$C$1508,MATCH(C229,'[1]REP DISEÑO'!$D$9:$D$1508,0)),"")</f>
        <v/>
      </c>
      <c r="J229" s="53" t="str">
        <f>IF(C229="","",IF(ISNUMBER(FIND("AMU",$C$14:$C$548)),1,(SUMIF('[1]REP PRODUCCIÓN'!$H$6:$H$1505,"*"&amp;C229&amp;"*",'[1]REP PRODUCCIÓN'!$E$6:$E$1505))))</f>
        <v/>
      </c>
      <c r="K229" s="53">
        <f t="shared" si="10"/>
        <v>0</v>
      </c>
      <c r="M229" s="54" t="str">
        <f>IFERROR(INDEX('[1]REP DISEÑO'!$BA$9:$BA$1008,MATCH('INDIC-DIS2'!C229,'[1]REP DISEÑO'!$D$9:$D$1008,0)),"")</f>
        <v/>
      </c>
      <c r="N229" s="55"/>
      <c r="O229" s="55"/>
      <c r="P229" s="55"/>
      <c r="R229" s="57" t="str">
        <f t="shared" si="11"/>
        <v/>
      </c>
    </row>
    <row r="230" spans="2:18" ht="26.25" customHeight="1" x14ac:dyDescent="0.25">
      <c r="B230" s="49">
        <f t="shared" si="9"/>
        <v>0</v>
      </c>
      <c r="C230" s="50" t="str">
        <f t="array" ref="C230">IFERROR(INDEX('[1]REP DISEÑO'!$D$9:$D$1008,SMALL(IF('[1]REP DISEÑO'!$AW$9:$AW$1008=$J$1,ROW('[1]REP DISEÑO'!$N$9:$N$1008)-ROW('[1]REP DISEÑO'!$N$9),""),ROWS(C$14:C230))+1),"")</f>
        <v/>
      </c>
      <c r="D230" s="51" t="str">
        <f>IFERROR(INDEX('[1]REP DISEÑO'!$N$9:$N$1508,MATCH(C230,'[1]REP DISEÑO'!$D$9:$D$1508,0)),"")</f>
        <v/>
      </c>
      <c r="E230" s="51" t="str">
        <f>IFERROR(INDEX('[1]REP DISEÑO'!$G$9:$G$1508,MATCH(C230,'[1]REP DISEÑO'!$D$9:$D$1508,0)),"")</f>
        <v/>
      </c>
      <c r="F230" s="51" t="str">
        <f>IFERROR(INDEX('[1]REP DISEÑO'!$I$9:$I$1508,MATCH(C230,'[1]REP DISEÑO'!$D$9:$D$1508,0)),"")</f>
        <v/>
      </c>
      <c r="G230" s="51" t="str">
        <f>IFERROR(INDEX('[1]REP DISEÑO'!$M$9:$M$1508,MATCH(C230,'[1]REP DISEÑO'!$D$9:$D$1508,0)),"")</f>
        <v/>
      </c>
      <c r="H230" s="51" t="str">
        <f>IFERROR(INDEX('[1]REP DISEÑO'!$J$9:$J$1508,MATCH(C230,'[1]REP DISEÑO'!$D$9:$D$1508,0)),"")</f>
        <v/>
      </c>
      <c r="I230" s="52" t="str">
        <f>IFERROR(INDEX('[1]REP DISEÑO'!$C$9:$C$1508,MATCH(C230,'[1]REP DISEÑO'!$D$9:$D$1508,0)),"")</f>
        <v/>
      </c>
      <c r="J230" s="53" t="str">
        <f>IF(C230="","",IF(ISNUMBER(FIND("AMU",$C$14:$C$548)),1,(SUMIF('[1]REP PRODUCCIÓN'!$H$6:$H$1505,"*"&amp;C230&amp;"*",'[1]REP PRODUCCIÓN'!$E$6:$E$1505))))</f>
        <v/>
      </c>
      <c r="K230" s="53">
        <f t="shared" si="10"/>
        <v>0</v>
      </c>
      <c r="M230" s="54" t="str">
        <f>IFERROR(INDEX('[1]REP DISEÑO'!$BA$9:$BA$1008,MATCH('INDIC-DIS2'!C230,'[1]REP DISEÑO'!$D$9:$D$1008,0)),"")</f>
        <v/>
      </c>
      <c r="N230" s="55"/>
      <c r="O230" s="55"/>
      <c r="P230" s="55"/>
      <c r="R230" s="57" t="str">
        <f t="shared" si="11"/>
        <v/>
      </c>
    </row>
    <row r="231" spans="2:18" ht="26.25" customHeight="1" x14ac:dyDescent="0.25">
      <c r="B231" s="49">
        <f t="shared" si="9"/>
        <v>0</v>
      </c>
      <c r="C231" s="50" t="str">
        <f t="array" ref="C231">IFERROR(INDEX('[1]REP DISEÑO'!$D$9:$D$1008,SMALL(IF('[1]REP DISEÑO'!$AW$9:$AW$1008=$J$1,ROW('[1]REP DISEÑO'!$N$9:$N$1008)-ROW('[1]REP DISEÑO'!$N$9),""),ROWS(C$14:C231))+1),"")</f>
        <v/>
      </c>
      <c r="D231" s="51" t="str">
        <f>IFERROR(INDEX('[1]REP DISEÑO'!$N$9:$N$1508,MATCH(C231,'[1]REP DISEÑO'!$D$9:$D$1508,0)),"")</f>
        <v/>
      </c>
      <c r="E231" s="51" t="str">
        <f>IFERROR(INDEX('[1]REP DISEÑO'!$G$9:$G$1508,MATCH(C231,'[1]REP DISEÑO'!$D$9:$D$1508,0)),"")</f>
        <v/>
      </c>
      <c r="F231" s="51" t="str">
        <f>IFERROR(INDEX('[1]REP DISEÑO'!$I$9:$I$1508,MATCH(C231,'[1]REP DISEÑO'!$D$9:$D$1508,0)),"")</f>
        <v/>
      </c>
      <c r="G231" s="51" t="str">
        <f>IFERROR(INDEX('[1]REP DISEÑO'!$M$9:$M$1508,MATCH(C231,'[1]REP DISEÑO'!$D$9:$D$1508,0)),"")</f>
        <v/>
      </c>
      <c r="H231" s="51" t="str">
        <f>IFERROR(INDEX('[1]REP DISEÑO'!$J$9:$J$1508,MATCH(C231,'[1]REP DISEÑO'!$D$9:$D$1508,0)),"")</f>
        <v/>
      </c>
      <c r="I231" s="52" t="str">
        <f>IFERROR(INDEX('[1]REP DISEÑO'!$C$9:$C$1508,MATCH(C231,'[1]REP DISEÑO'!$D$9:$D$1508,0)),"")</f>
        <v/>
      </c>
      <c r="J231" s="53" t="str">
        <f>IF(C231="","",IF(ISNUMBER(FIND("AMU",$C$14:$C$548)),1,(SUMIF('[1]REP PRODUCCIÓN'!$H$6:$H$1505,"*"&amp;C231&amp;"*",'[1]REP PRODUCCIÓN'!$E$6:$E$1505))))</f>
        <v/>
      </c>
      <c r="K231" s="53">
        <f t="shared" si="10"/>
        <v>0</v>
      </c>
      <c r="M231" s="54" t="str">
        <f>IFERROR(INDEX('[1]REP DISEÑO'!$BA$9:$BA$1008,MATCH('INDIC-DIS2'!C231,'[1]REP DISEÑO'!$D$9:$D$1008,0)),"")</f>
        <v/>
      </c>
      <c r="N231" s="55"/>
      <c r="O231" s="55"/>
      <c r="P231" s="55"/>
      <c r="R231" s="57" t="str">
        <f t="shared" si="11"/>
        <v/>
      </c>
    </row>
    <row r="232" spans="2:18" ht="26.25" customHeight="1" x14ac:dyDescent="0.25">
      <c r="B232" s="49">
        <f t="shared" si="9"/>
        <v>0</v>
      </c>
      <c r="C232" s="50" t="str">
        <f t="array" ref="C232">IFERROR(INDEX('[1]REP DISEÑO'!$D$9:$D$1008,SMALL(IF('[1]REP DISEÑO'!$AW$9:$AW$1008=$J$1,ROW('[1]REP DISEÑO'!$N$9:$N$1008)-ROW('[1]REP DISEÑO'!$N$9),""),ROWS(C$14:C232))+1),"")</f>
        <v/>
      </c>
      <c r="D232" s="51" t="str">
        <f>IFERROR(INDEX('[1]REP DISEÑO'!$N$9:$N$1508,MATCH(C232,'[1]REP DISEÑO'!$D$9:$D$1508,0)),"")</f>
        <v/>
      </c>
      <c r="E232" s="51" t="str">
        <f>IFERROR(INDEX('[1]REP DISEÑO'!$G$9:$G$1508,MATCH(C232,'[1]REP DISEÑO'!$D$9:$D$1508,0)),"")</f>
        <v/>
      </c>
      <c r="F232" s="51" t="str">
        <f>IFERROR(INDEX('[1]REP DISEÑO'!$I$9:$I$1508,MATCH(C232,'[1]REP DISEÑO'!$D$9:$D$1508,0)),"")</f>
        <v/>
      </c>
      <c r="G232" s="51" t="str">
        <f>IFERROR(INDEX('[1]REP DISEÑO'!$M$9:$M$1508,MATCH(C232,'[1]REP DISEÑO'!$D$9:$D$1508,0)),"")</f>
        <v/>
      </c>
      <c r="H232" s="51" t="str">
        <f>IFERROR(INDEX('[1]REP DISEÑO'!$J$9:$J$1508,MATCH(C232,'[1]REP DISEÑO'!$D$9:$D$1508,0)),"")</f>
        <v/>
      </c>
      <c r="I232" s="52" t="str">
        <f>IFERROR(INDEX('[1]REP DISEÑO'!$C$9:$C$1508,MATCH(C232,'[1]REP DISEÑO'!$D$9:$D$1508,0)),"")</f>
        <v/>
      </c>
      <c r="J232" s="53" t="str">
        <f>IF(C232="","",IF(ISNUMBER(FIND("AMU",$C$14:$C$548)),1,(SUMIF('[1]REP PRODUCCIÓN'!$H$6:$H$1505,"*"&amp;C232&amp;"*",'[1]REP PRODUCCIÓN'!$E$6:$E$1505))))</f>
        <v/>
      </c>
      <c r="K232" s="53">
        <f t="shared" si="10"/>
        <v>0</v>
      </c>
      <c r="M232" s="54" t="str">
        <f>IFERROR(INDEX('[1]REP DISEÑO'!$BA$9:$BA$1008,MATCH('INDIC-DIS2'!C232,'[1]REP DISEÑO'!$D$9:$D$1008,0)),"")</f>
        <v/>
      </c>
      <c r="N232" s="55"/>
      <c r="O232" s="55"/>
      <c r="P232" s="55"/>
      <c r="R232" s="57" t="str">
        <f t="shared" si="11"/>
        <v/>
      </c>
    </row>
    <row r="233" spans="2:18" ht="26.25" customHeight="1" x14ac:dyDescent="0.25">
      <c r="B233" s="49">
        <f t="shared" si="9"/>
        <v>0</v>
      </c>
      <c r="C233" s="50" t="str">
        <f t="array" ref="C233">IFERROR(INDEX('[1]REP DISEÑO'!$D$9:$D$1008,SMALL(IF('[1]REP DISEÑO'!$AW$9:$AW$1008=$J$1,ROW('[1]REP DISEÑO'!$N$9:$N$1008)-ROW('[1]REP DISEÑO'!$N$9),""),ROWS(C$14:C233))+1),"")</f>
        <v/>
      </c>
      <c r="D233" s="51" t="str">
        <f>IFERROR(INDEX('[1]REP DISEÑO'!$N$9:$N$1508,MATCH(C233,'[1]REP DISEÑO'!$D$9:$D$1508,0)),"")</f>
        <v/>
      </c>
      <c r="E233" s="51" t="str">
        <f>IFERROR(INDEX('[1]REP DISEÑO'!$G$9:$G$1508,MATCH(C233,'[1]REP DISEÑO'!$D$9:$D$1508,0)),"")</f>
        <v/>
      </c>
      <c r="F233" s="51" t="str">
        <f>IFERROR(INDEX('[1]REP DISEÑO'!$I$9:$I$1508,MATCH(C233,'[1]REP DISEÑO'!$D$9:$D$1508,0)),"")</f>
        <v/>
      </c>
      <c r="G233" s="51" t="str">
        <f>IFERROR(INDEX('[1]REP DISEÑO'!$M$9:$M$1508,MATCH(C233,'[1]REP DISEÑO'!$D$9:$D$1508,0)),"")</f>
        <v/>
      </c>
      <c r="H233" s="51" t="str">
        <f>IFERROR(INDEX('[1]REP DISEÑO'!$J$9:$J$1508,MATCH(C233,'[1]REP DISEÑO'!$D$9:$D$1508,0)),"")</f>
        <v/>
      </c>
      <c r="I233" s="52" t="str">
        <f>IFERROR(INDEX('[1]REP DISEÑO'!$C$9:$C$1508,MATCH(C233,'[1]REP DISEÑO'!$D$9:$D$1508,0)),"")</f>
        <v/>
      </c>
      <c r="J233" s="53" t="str">
        <f>IF(C233="","",IF(ISNUMBER(FIND("AMU",$C$14:$C$548)),1,(SUMIF('[1]REP PRODUCCIÓN'!$H$6:$H$1505,"*"&amp;C233&amp;"*",'[1]REP PRODUCCIÓN'!$E$6:$E$1505))))</f>
        <v/>
      </c>
      <c r="K233" s="53">
        <f t="shared" si="10"/>
        <v>0</v>
      </c>
      <c r="M233" s="54" t="str">
        <f>IFERROR(INDEX('[1]REP DISEÑO'!$BA$9:$BA$1008,MATCH('INDIC-DIS2'!C233,'[1]REP DISEÑO'!$D$9:$D$1008,0)),"")</f>
        <v/>
      </c>
      <c r="N233" s="55"/>
      <c r="O233" s="55"/>
      <c r="P233" s="55"/>
      <c r="R233" s="57" t="str">
        <f t="shared" si="11"/>
        <v/>
      </c>
    </row>
    <row r="234" spans="2:18" ht="26.25" customHeight="1" x14ac:dyDescent="0.25">
      <c r="B234" s="49">
        <f t="shared" si="9"/>
        <v>0</v>
      </c>
      <c r="C234" s="50" t="str">
        <f t="array" ref="C234">IFERROR(INDEX('[1]REP DISEÑO'!$D$9:$D$1008,SMALL(IF('[1]REP DISEÑO'!$AW$9:$AW$1008=$J$1,ROW('[1]REP DISEÑO'!$N$9:$N$1008)-ROW('[1]REP DISEÑO'!$N$9),""),ROWS(C$14:C234))+1),"")</f>
        <v/>
      </c>
      <c r="D234" s="51" t="str">
        <f>IFERROR(INDEX('[1]REP DISEÑO'!$N$9:$N$1508,MATCH(C234,'[1]REP DISEÑO'!$D$9:$D$1508,0)),"")</f>
        <v/>
      </c>
      <c r="E234" s="51" t="str">
        <f>IFERROR(INDEX('[1]REP DISEÑO'!$G$9:$G$1508,MATCH(C234,'[1]REP DISEÑO'!$D$9:$D$1508,0)),"")</f>
        <v/>
      </c>
      <c r="F234" s="51" t="str">
        <f>IFERROR(INDEX('[1]REP DISEÑO'!$I$9:$I$1508,MATCH(C234,'[1]REP DISEÑO'!$D$9:$D$1508,0)),"")</f>
        <v/>
      </c>
      <c r="G234" s="51" t="str">
        <f>IFERROR(INDEX('[1]REP DISEÑO'!$M$9:$M$1508,MATCH(C234,'[1]REP DISEÑO'!$D$9:$D$1508,0)),"")</f>
        <v/>
      </c>
      <c r="H234" s="51" t="str">
        <f>IFERROR(INDEX('[1]REP DISEÑO'!$J$9:$J$1508,MATCH(C234,'[1]REP DISEÑO'!$D$9:$D$1508,0)),"")</f>
        <v/>
      </c>
      <c r="I234" s="52" t="str">
        <f>IFERROR(INDEX('[1]REP DISEÑO'!$C$9:$C$1508,MATCH(C234,'[1]REP DISEÑO'!$D$9:$D$1508,0)),"")</f>
        <v/>
      </c>
      <c r="J234" s="53" t="str">
        <f>IF(C234="","",IF(ISNUMBER(FIND("AMU",$C$14:$C$548)),1,(SUMIF('[1]REP PRODUCCIÓN'!$H$6:$H$1505,"*"&amp;C234&amp;"*",'[1]REP PRODUCCIÓN'!$E$6:$E$1505))))</f>
        <v/>
      </c>
      <c r="K234" s="53">
        <f t="shared" si="10"/>
        <v>0</v>
      </c>
      <c r="M234" s="54" t="str">
        <f>IFERROR(INDEX('[1]REP DISEÑO'!$BA$9:$BA$1008,MATCH('INDIC-DIS2'!C234,'[1]REP DISEÑO'!$D$9:$D$1008,0)),"")</f>
        <v/>
      </c>
      <c r="N234" s="55"/>
      <c r="O234" s="55"/>
      <c r="P234" s="55"/>
      <c r="R234" s="57" t="str">
        <f t="shared" si="11"/>
        <v/>
      </c>
    </row>
    <row r="235" spans="2:18" ht="26.25" customHeight="1" x14ac:dyDescent="0.25">
      <c r="B235" s="49">
        <f t="shared" si="9"/>
        <v>0</v>
      </c>
      <c r="C235" s="50" t="str">
        <f t="array" ref="C235">IFERROR(INDEX('[1]REP DISEÑO'!$D$9:$D$1008,SMALL(IF('[1]REP DISEÑO'!$AW$9:$AW$1008=$J$1,ROW('[1]REP DISEÑO'!$N$9:$N$1008)-ROW('[1]REP DISEÑO'!$N$9),""),ROWS(C$14:C235))+1),"")</f>
        <v/>
      </c>
      <c r="D235" s="51" t="str">
        <f>IFERROR(INDEX('[1]REP DISEÑO'!$N$9:$N$1508,MATCH(C235,'[1]REP DISEÑO'!$D$9:$D$1508,0)),"")</f>
        <v/>
      </c>
      <c r="E235" s="51" t="str">
        <f>IFERROR(INDEX('[1]REP DISEÑO'!$G$9:$G$1508,MATCH(C235,'[1]REP DISEÑO'!$D$9:$D$1508,0)),"")</f>
        <v/>
      </c>
      <c r="F235" s="51" t="str">
        <f>IFERROR(INDEX('[1]REP DISEÑO'!$I$9:$I$1508,MATCH(C235,'[1]REP DISEÑO'!$D$9:$D$1508,0)),"")</f>
        <v/>
      </c>
      <c r="G235" s="51" t="str">
        <f>IFERROR(INDEX('[1]REP DISEÑO'!$M$9:$M$1508,MATCH(C235,'[1]REP DISEÑO'!$D$9:$D$1508,0)),"")</f>
        <v/>
      </c>
      <c r="H235" s="51" t="str">
        <f>IFERROR(INDEX('[1]REP DISEÑO'!$J$9:$J$1508,MATCH(C235,'[1]REP DISEÑO'!$D$9:$D$1508,0)),"")</f>
        <v/>
      </c>
      <c r="I235" s="52" t="str">
        <f>IFERROR(INDEX('[1]REP DISEÑO'!$C$9:$C$1508,MATCH(C235,'[1]REP DISEÑO'!$D$9:$D$1508,0)),"")</f>
        <v/>
      </c>
      <c r="J235" s="53" t="str">
        <f>IF(C235="","",IF(ISNUMBER(FIND("AMU",$C$14:$C$548)),1,(SUMIF('[1]REP PRODUCCIÓN'!$H$6:$H$1505,"*"&amp;C235&amp;"*",'[1]REP PRODUCCIÓN'!$E$6:$E$1505))))</f>
        <v/>
      </c>
      <c r="K235" s="53">
        <f t="shared" si="10"/>
        <v>0</v>
      </c>
      <c r="M235" s="54" t="str">
        <f>IFERROR(INDEX('[1]REP DISEÑO'!$BA$9:$BA$1008,MATCH('INDIC-DIS2'!C235,'[1]REP DISEÑO'!$D$9:$D$1008,0)),"")</f>
        <v/>
      </c>
      <c r="N235" s="55"/>
      <c r="O235" s="55"/>
      <c r="P235" s="55"/>
      <c r="R235" s="57" t="str">
        <f t="shared" si="11"/>
        <v/>
      </c>
    </row>
    <row r="236" spans="2:18" ht="26.25" customHeight="1" x14ac:dyDescent="0.25">
      <c r="B236" s="49">
        <f t="shared" si="9"/>
        <v>0</v>
      </c>
      <c r="C236" s="50" t="str">
        <f t="array" ref="C236">IFERROR(INDEX('[1]REP DISEÑO'!$D$9:$D$1008,SMALL(IF('[1]REP DISEÑO'!$AW$9:$AW$1008=$J$1,ROW('[1]REP DISEÑO'!$N$9:$N$1008)-ROW('[1]REP DISEÑO'!$N$9),""),ROWS(C$14:C236))+1),"")</f>
        <v/>
      </c>
      <c r="D236" s="51" t="str">
        <f>IFERROR(INDEX('[1]REP DISEÑO'!$N$9:$N$1508,MATCH(C236,'[1]REP DISEÑO'!$D$9:$D$1508,0)),"")</f>
        <v/>
      </c>
      <c r="E236" s="51" t="str">
        <f>IFERROR(INDEX('[1]REP DISEÑO'!$G$9:$G$1508,MATCH(C236,'[1]REP DISEÑO'!$D$9:$D$1508,0)),"")</f>
        <v/>
      </c>
      <c r="F236" s="51" t="str">
        <f>IFERROR(INDEX('[1]REP DISEÑO'!$I$9:$I$1508,MATCH(C236,'[1]REP DISEÑO'!$D$9:$D$1508,0)),"")</f>
        <v/>
      </c>
      <c r="G236" s="51" t="str">
        <f>IFERROR(INDEX('[1]REP DISEÑO'!$M$9:$M$1508,MATCH(C236,'[1]REP DISEÑO'!$D$9:$D$1508,0)),"")</f>
        <v/>
      </c>
      <c r="H236" s="51" t="str">
        <f>IFERROR(INDEX('[1]REP DISEÑO'!$J$9:$J$1508,MATCH(C236,'[1]REP DISEÑO'!$D$9:$D$1508,0)),"")</f>
        <v/>
      </c>
      <c r="I236" s="52" t="str">
        <f>IFERROR(INDEX('[1]REP DISEÑO'!$C$9:$C$1508,MATCH(C236,'[1]REP DISEÑO'!$D$9:$D$1508,0)),"")</f>
        <v/>
      </c>
      <c r="J236" s="53" t="str">
        <f>IF(C236="","",IF(ISNUMBER(FIND("AMU",$C$14:$C$548)),1,(SUMIF('[1]REP PRODUCCIÓN'!$H$6:$H$1505,"*"&amp;C236&amp;"*",'[1]REP PRODUCCIÓN'!$E$6:$E$1505))))</f>
        <v/>
      </c>
      <c r="K236" s="53">
        <f t="shared" si="10"/>
        <v>0</v>
      </c>
      <c r="M236" s="54" t="str">
        <f>IFERROR(INDEX('[1]REP DISEÑO'!$BA$9:$BA$1008,MATCH('INDIC-DIS2'!C236,'[1]REP DISEÑO'!$D$9:$D$1008,0)),"")</f>
        <v/>
      </c>
      <c r="N236" s="55"/>
      <c r="O236" s="55"/>
      <c r="P236" s="55"/>
      <c r="R236" s="57" t="str">
        <f t="shared" si="11"/>
        <v/>
      </c>
    </row>
    <row r="237" spans="2:18" ht="26.25" customHeight="1" x14ac:dyDescent="0.25">
      <c r="B237" s="49">
        <f t="shared" si="9"/>
        <v>0</v>
      </c>
      <c r="C237" s="50" t="str">
        <f t="array" ref="C237">IFERROR(INDEX('[1]REP DISEÑO'!$D$9:$D$1008,SMALL(IF('[1]REP DISEÑO'!$AW$9:$AW$1008=$J$1,ROW('[1]REP DISEÑO'!$N$9:$N$1008)-ROW('[1]REP DISEÑO'!$N$9),""),ROWS(C$14:C237))+1),"")</f>
        <v/>
      </c>
      <c r="D237" s="51" t="str">
        <f>IFERROR(INDEX('[1]REP DISEÑO'!$N$9:$N$1508,MATCH(C237,'[1]REP DISEÑO'!$D$9:$D$1508,0)),"")</f>
        <v/>
      </c>
      <c r="E237" s="51" t="str">
        <f>IFERROR(INDEX('[1]REP DISEÑO'!$G$9:$G$1508,MATCH(C237,'[1]REP DISEÑO'!$D$9:$D$1508,0)),"")</f>
        <v/>
      </c>
      <c r="F237" s="51" t="str">
        <f>IFERROR(INDEX('[1]REP DISEÑO'!$I$9:$I$1508,MATCH(C237,'[1]REP DISEÑO'!$D$9:$D$1508,0)),"")</f>
        <v/>
      </c>
      <c r="G237" s="51" t="str">
        <f>IFERROR(INDEX('[1]REP DISEÑO'!$M$9:$M$1508,MATCH(C237,'[1]REP DISEÑO'!$D$9:$D$1508,0)),"")</f>
        <v/>
      </c>
      <c r="H237" s="51" t="str">
        <f>IFERROR(INDEX('[1]REP DISEÑO'!$J$9:$J$1508,MATCH(C237,'[1]REP DISEÑO'!$D$9:$D$1508,0)),"")</f>
        <v/>
      </c>
      <c r="I237" s="52" t="str">
        <f>IFERROR(INDEX('[1]REP DISEÑO'!$C$9:$C$1508,MATCH(C237,'[1]REP DISEÑO'!$D$9:$D$1508,0)),"")</f>
        <v/>
      </c>
      <c r="J237" s="53" t="str">
        <f>IF(C237="","",IF(ISNUMBER(FIND("AMU",$C$14:$C$548)),1,(SUMIF('[1]REP PRODUCCIÓN'!$H$6:$H$1505,"*"&amp;C237&amp;"*",'[1]REP PRODUCCIÓN'!$E$6:$E$1505))))</f>
        <v/>
      </c>
      <c r="K237" s="53">
        <f t="shared" si="10"/>
        <v>0</v>
      </c>
      <c r="M237" s="54" t="str">
        <f>IFERROR(INDEX('[1]REP DISEÑO'!$BA$9:$BA$1008,MATCH('INDIC-DIS2'!C237,'[1]REP DISEÑO'!$D$9:$D$1008,0)),"")</f>
        <v/>
      </c>
      <c r="N237" s="55"/>
      <c r="O237" s="55"/>
      <c r="P237" s="55"/>
      <c r="R237" s="57" t="str">
        <f t="shared" si="11"/>
        <v/>
      </c>
    </row>
    <row r="238" spans="2:18" ht="26.25" customHeight="1" x14ac:dyDescent="0.25">
      <c r="B238" s="49">
        <f t="shared" si="9"/>
        <v>0</v>
      </c>
      <c r="C238" s="50" t="str">
        <f t="array" ref="C238">IFERROR(INDEX('[1]REP DISEÑO'!$D$9:$D$1008,SMALL(IF('[1]REP DISEÑO'!$AW$9:$AW$1008=$J$1,ROW('[1]REP DISEÑO'!$N$9:$N$1008)-ROW('[1]REP DISEÑO'!$N$9),""),ROWS(C$14:C238))+1),"")</f>
        <v/>
      </c>
      <c r="D238" s="51" t="str">
        <f>IFERROR(INDEX('[1]REP DISEÑO'!$N$9:$N$1508,MATCH(C238,'[1]REP DISEÑO'!$D$9:$D$1508,0)),"")</f>
        <v/>
      </c>
      <c r="E238" s="51" t="str">
        <f>IFERROR(INDEX('[1]REP DISEÑO'!$G$9:$G$1508,MATCH(C238,'[1]REP DISEÑO'!$D$9:$D$1508,0)),"")</f>
        <v/>
      </c>
      <c r="F238" s="51" t="str">
        <f>IFERROR(INDEX('[1]REP DISEÑO'!$I$9:$I$1508,MATCH(C238,'[1]REP DISEÑO'!$D$9:$D$1508,0)),"")</f>
        <v/>
      </c>
      <c r="G238" s="51" t="str">
        <f>IFERROR(INDEX('[1]REP DISEÑO'!$M$9:$M$1508,MATCH(C238,'[1]REP DISEÑO'!$D$9:$D$1508,0)),"")</f>
        <v/>
      </c>
      <c r="H238" s="51" t="str">
        <f>IFERROR(INDEX('[1]REP DISEÑO'!$J$9:$J$1508,MATCH(C238,'[1]REP DISEÑO'!$D$9:$D$1508,0)),"")</f>
        <v/>
      </c>
      <c r="I238" s="52" t="str">
        <f>IFERROR(INDEX('[1]REP DISEÑO'!$C$9:$C$1508,MATCH(C238,'[1]REP DISEÑO'!$D$9:$D$1508,0)),"")</f>
        <v/>
      </c>
      <c r="J238" s="53" t="str">
        <f>IF(C238="","",IF(ISNUMBER(FIND("AMU",$C$14:$C$548)),1,(SUMIF('[1]REP PRODUCCIÓN'!$H$6:$H$1505,"*"&amp;C238&amp;"*",'[1]REP PRODUCCIÓN'!$E$6:$E$1505))))</f>
        <v/>
      </c>
      <c r="K238" s="53">
        <f t="shared" si="10"/>
        <v>0</v>
      </c>
      <c r="M238" s="54" t="str">
        <f>IFERROR(INDEX('[1]REP DISEÑO'!$BA$9:$BA$1008,MATCH('INDIC-DIS2'!C238,'[1]REP DISEÑO'!$D$9:$D$1008,0)),"")</f>
        <v/>
      </c>
      <c r="N238" s="55"/>
      <c r="O238" s="55"/>
      <c r="P238" s="55"/>
      <c r="R238" s="57" t="str">
        <f t="shared" si="11"/>
        <v/>
      </c>
    </row>
    <row r="239" spans="2:18" ht="26.25" customHeight="1" x14ac:dyDescent="0.25">
      <c r="B239" s="49">
        <f t="shared" si="9"/>
        <v>0</v>
      </c>
      <c r="C239" s="50" t="str">
        <f t="array" ref="C239">IFERROR(INDEX('[1]REP DISEÑO'!$D$9:$D$1008,SMALL(IF('[1]REP DISEÑO'!$AW$9:$AW$1008=$J$1,ROW('[1]REP DISEÑO'!$N$9:$N$1008)-ROW('[1]REP DISEÑO'!$N$9),""),ROWS(C$14:C239))+1),"")</f>
        <v/>
      </c>
      <c r="D239" s="51" t="str">
        <f>IFERROR(INDEX('[1]REP DISEÑO'!$N$9:$N$1508,MATCH(C239,'[1]REP DISEÑO'!$D$9:$D$1508,0)),"")</f>
        <v/>
      </c>
      <c r="E239" s="51" t="str">
        <f>IFERROR(INDEX('[1]REP DISEÑO'!$G$9:$G$1508,MATCH(C239,'[1]REP DISEÑO'!$D$9:$D$1508,0)),"")</f>
        <v/>
      </c>
      <c r="F239" s="51" t="str">
        <f>IFERROR(INDEX('[1]REP DISEÑO'!$I$9:$I$1508,MATCH(C239,'[1]REP DISEÑO'!$D$9:$D$1508,0)),"")</f>
        <v/>
      </c>
      <c r="G239" s="51" t="str">
        <f>IFERROR(INDEX('[1]REP DISEÑO'!$M$9:$M$1508,MATCH(C239,'[1]REP DISEÑO'!$D$9:$D$1508,0)),"")</f>
        <v/>
      </c>
      <c r="H239" s="51" t="str">
        <f>IFERROR(INDEX('[1]REP DISEÑO'!$J$9:$J$1508,MATCH(C239,'[1]REP DISEÑO'!$D$9:$D$1508,0)),"")</f>
        <v/>
      </c>
      <c r="I239" s="52" t="str">
        <f>IFERROR(INDEX('[1]REP DISEÑO'!$C$9:$C$1508,MATCH(C239,'[1]REP DISEÑO'!$D$9:$D$1508,0)),"")</f>
        <v/>
      </c>
      <c r="J239" s="53" t="str">
        <f>IF(C239="","",IF(ISNUMBER(FIND("AMU",$C$14:$C$548)),1,(SUMIF('[1]REP PRODUCCIÓN'!$H$6:$H$1505,"*"&amp;C239&amp;"*",'[1]REP PRODUCCIÓN'!$E$6:$E$1505))))</f>
        <v/>
      </c>
      <c r="K239" s="53">
        <f t="shared" si="10"/>
        <v>0</v>
      </c>
      <c r="M239" s="54" t="str">
        <f>IFERROR(INDEX('[1]REP DISEÑO'!$BA$9:$BA$1008,MATCH('INDIC-DIS2'!C239,'[1]REP DISEÑO'!$D$9:$D$1008,0)),"")</f>
        <v/>
      </c>
      <c r="N239" s="55"/>
      <c r="O239" s="55"/>
      <c r="P239" s="55"/>
      <c r="R239" s="57" t="str">
        <f t="shared" si="11"/>
        <v/>
      </c>
    </row>
    <row r="240" spans="2:18" ht="26.25" customHeight="1" x14ac:dyDescent="0.25">
      <c r="B240" s="49">
        <f t="shared" si="9"/>
        <v>0</v>
      </c>
      <c r="C240" s="50" t="str">
        <f t="array" ref="C240">IFERROR(INDEX('[1]REP DISEÑO'!$D$9:$D$1008,SMALL(IF('[1]REP DISEÑO'!$AW$9:$AW$1008=$J$1,ROW('[1]REP DISEÑO'!$N$9:$N$1008)-ROW('[1]REP DISEÑO'!$N$9),""),ROWS(C$14:C240))+1),"")</f>
        <v/>
      </c>
      <c r="D240" s="51" t="str">
        <f>IFERROR(INDEX('[1]REP DISEÑO'!$N$9:$N$1508,MATCH(C240,'[1]REP DISEÑO'!$D$9:$D$1508,0)),"")</f>
        <v/>
      </c>
      <c r="E240" s="51" t="str">
        <f>IFERROR(INDEX('[1]REP DISEÑO'!$G$9:$G$1508,MATCH(C240,'[1]REP DISEÑO'!$D$9:$D$1508,0)),"")</f>
        <v/>
      </c>
      <c r="F240" s="51" t="str">
        <f>IFERROR(INDEX('[1]REP DISEÑO'!$I$9:$I$1508,MATCH(C240,'[1]REP DISEÑO'!$D$9:$D$1508,0)),"")</f>
        <v/>
      </c>
      <c r="G240" s="51" t="str">
        <f>IFERROR(INDEX('[1]REP DISEÑO'!$M$9:$M$1508,MATCH(C240,'[1]REP DISEÑO'!$D$9:$D$1508,0)),"")</f>
        <v/>
      </c>
      <c r="H240" s="51" t="str">
        <f>IFERROR(INDEX('[1]REP DISEÑO'!$J$9:$J$1508,MATCH(C240,'[1]REP DISEÑO'!$D$9:$D$1508,0)),"")</f>
        <v/>
      </c>
      <c r="I240" s="52" t="str">
        <f>IFERROR(INDEX('[1]REP DISEÑO'!$C$9:$C$1508,MATCH(C240,'[1]REP DISEÑO'!$D$9:$D$1508,0)),"")</f>
        <v/>
      </c>
      <c r="J240" s="53" t="str">
        <f>IF(C240="","",IF(ISNUMBER(FIND("AMU",$C$14:$C$548)),1,(SUMIF('[1]REP PRODUCCIÓN'!$H$6:$H$1505,"*"&amp;C240&amp;"*",'[1]REP PRODUCCIÓN'!$E$6:$E$1505))))</f>
        <v/>
      </c>
      <c r="K240" s="53">
        <f t="shared" si="10"/>
        <v>0</v>
      </c>
      <c r="M240" s="54" t="str">
        <f>IFERROR(INDEX('[1]REP DISEÑO'!$BA$9:$BA$1008,MATCH('INDIC-DIS2'!C240,'[1]REP DISEÑO'!$D$9:$D$1008,0)),"")</f>
        <v/>
      </c>
      <c r="N240" s="55"/>
      <c r="O240" s="55"/>
      <c r="P240" s="55"/>
      <c r="R240" s="57" t="str">
        <f t="shared" si="11"/>
        <v/>
      </c>
    </row>
    <row r="241" spans="2:18" ht="26.25" customHeight="1" x14ac:dyDescent="0.25">
      <c r="B241" s="49">
        <f t="shared" si="9"/>
        <v>0</v>
      </c>
      <c r="C241" s="50" t="str">
        <f t="array" ref="C241">IFERROR(INDEX('[1]REP DISEÑO'!$D$9:$D$1008,SMALL(IF('[1]REP DISEÑO'!$AW$9:$AW$1008=$J$1,ROW('[1]REP DISEÑO'!$N$9:$N$1008)-ROW('[1]REP DISEÑO'!$N$9),""),ROWS(C$14:C241))+1),"")</f>
        <v/>
      </c>
      <c r="D241" s="51" t="str">
        <f>IFERROR(INDEX('[1]REP DISEÑO'!$N$9:$N$1508,MATCH(C241,'[1]REP DISEÑO'!$D$9:$D$1508,0)),"")</f>
        <v/>
      </c>
      <c r="E241" s="51" t="str">
        <f>IFERROR(INDEX('[1]REP DISEÑO'!$G$9:$G$1508,MATCH(C241,'[1]REP DISEÑO'!$D$9:$D$1508,0)),"")</f>
        <v/>
      </c>
      <c r="F241" s="51" t="str">
        <f>IFERROR(INDEX('[1]REP DISEÑO'!$I$9:$I$1508,MATCH(C241,'[1]REP DISEÑO'!$D$9:$D$1508,0)),"")</f>
        <v/>
      </c>
      <c r="G241" s="51" t="str">
        <f>IFERROR(INDEX('[1]REP DISEÑO'!$M$9:$M$1508,MATCH(C241,'[1]REP DISEÑO'!$D$9:$D$1508,0)),"")</f>
        <v/>
      </c>
      <c r="H241" s="51" t="str">
        <f>IFERROR(INDEX('[1]REP DISEÑO'!$J$9:$J$1508,MATCH(C241,'[1]REP DISEÑO'!$D$9:$D$1508,0)),"")</f>
        <v/>
      </c>
      <c r="I241" s="52" t="str">
        <f>IFERROR(INDEX('[1]REP DISEÑO'!$C$9:$C$1508,MATCH(C241,'[1]REP DISEÑO'!$D$9:$D$1508,0)),"")</f>
        <v/>
      </c>
      <c r="J241" s="53" t="str">
        <f>IF(C241="","",IF(ISNUMBER(FIND("AMU",$C$14:$C$548)),1,(SUMIF('[1]REP PRODUCCIÓN'!$H$6:$H$1505,"*"&amp;C241&amp;"*",'[1]REP PRODUCCIÓN'!$E$6:$E$1505))))</f>
        <v/>
      </c>
      <c r="K241" s="53">
        <f t="shared" si="10"/>
        <v>0</v>
      </c>
      <c r="M241" s="54" t="str">
        <f>IFERROR(INDEX('[1]REP DISEÑO'!$BA$9:$BA$1008,MATCH('INDIC-DIS2'!C241,'[1]REP DISEÑO'!$D$9:$D$1008,0)),"")</f>
        <v/>
      </c>
      <c r="N241" s="55"/>
      <c r="O241" s="55"/>
      <c r="P241" s="55"/>
      <c r="R241" s="57" t="str">
        <f t="shared" si="11"/>
        <v/>
      </c>
    </row>
    <row r="242" spans="2:18" ht="26.25" customHeight="1" x14ac:dyDescent="0.25">
      <c r="B242" s="49">
        <f t="shared" si="9"/>
        <v>0</v>
      </c>
      <c r="C242" s="50" t="str">
        <f t="array" ref="C242">IFERROR(INDEX('[1]REP DISEÑO'!$D$9:$D$1008,SMALL(IF('[1]REP DISEÑO'!$AW$9:$AW$1008=$J$1,ROW('[1]REP DISEÑO'!$N$9:$N$1008)-ROW('[1]REP DISEÑO'!$N$9),""),ROWS(C$14:C242))+1),"")</f>
        <v/>
      </c>
      <c r="D242" s="51" t="str">
        <f>IFERROR(INDEX('[1]REP DISEÑO'!$N$9:$N$1508,MATCH(C242,'[1]REP DISEÑO'!$D$9:$D$1508,0)),"")</f>
        <v/>
      </c>
      <c r="E242" s="51" t="str">
        <f>IFERROR(INDEX('[1]REP DISEÑO'!$G$9:$G$1508,MATCH(C242,'[1]REP DISEÑO'!$D$9:$D$1508,0)),"")</f>
        <v/>
      </c>
      <c r="F242" s="51" t="str">
        <f>IFERROR(INDEX('[1]REP DISEÑO'!$I$9:$I$1508,MATCH(C242,'[1]REP DISEÑO'!$D$9:$D$1508,0)),"")</f>
        <v/>
      </c>
      <c r="G242" s="51" t="str">
        <f>IFERROR(INDEX('[1]REP DISEÑO'!$M$9:$M$1508,MATCH(C242,'[1]REP DISEÑO'!$D$9:$D$1508,0)),"")</f>
        <v/>
      </c>
      <c r="H242" s="51" t="str">
        <f>IFERROR(INDEX('[1]REP DISEÑO'!$J$9:$J$1508,MATCH(C242,'[1]REP DISEÑO'!$D$9:$D$1508,0)),"")</f>
        <v/>
      </c>
      <c r="I242" s="52" t="str">
        <f>IFERROR(INDEX('[1]REP DISEÑO'!$C$9:$C$1508,MATCH(C242,'[1]REP DISEÑO'!$D$9:$D$1508,0)),"")</f>
        <v/>
      </c>
      <c r="J242" s="53" t="str">
        <f>IF(C242="","",IF(ISNUMBER(FIND("AMU",$C$14:$C$548)),1,(SUMIF('[1]REP PRODUCCIÓN'!$H$6:$H$1505,"*"&amp;C242&amp;"*",'[1]REP PRODUCCIÓN'!$E$6:$E$1505))))</f>
        <v/>
      </c>
      <c r="K242" s="53">
        <f t="shared" si="10"/>
        <v>0</v>
      </c>
      <c r="M242" s="54" t="str">
        <f>IFERROR(INDEX('[1]REP DISEÑO'!$BA$9:$BA$1008,MATCH('INDIC-DIS2'!C242,'[1]REP DISEÑO'!$D$9:$D$1008,0)),"")</f>
        <v/>
      </c>
      <c r="N242" s="55"/>
      <c r="O242" s="55"/>
      <c r="P242" s="55"/>
      <c r="R242" s="57" t="str">
        <f t="shared" si="11"/>
        <v/>
      </c>
    </row>
    <row r="243" spans="2:18" ht="26.25" customHeight="1" x14ac:dyDescent="0.25">
      <c r="B243" s="49">
        <f t="shared" si="9"/>
        <v>0</v>
      </c>
      <c r="C243" s="50" t="str">
        <f t="array" ref="C243">IFERROR(INDEX('[1]REP DISEÑO'!$D$9:$D$1008,SMALL(IF('[1]REP DISEÑO'!$AW$9:$AW$1008=$J$1,ROW('[1]REP DISEÑO'!$N$9:$N$1008)-ROW('[1]REP DISEÑO'!$N$9),""),ROWS(C$14:C243))+1),"")</f>
        <v/>
      </c>
      <c r="D243" s="51" t="str">
        <f>IFERROR(INDEX('[1]REP DISEÑO'!$N$9:$N$1508,MATCH(C243,'[1]REP DISEÑO'!$D$9:$D$1508,0)),"")</f>
        <v/>
      </c>
      <c r="E243" s="51" t="str">
        <f>IFERROR(INDEX('[1]REP DISEÑO'!$G$9:$G$1508,MATCH(C243,'[1]REP DISEÑO'!$D$9:$D$1508,0)),"")</f>
        <v/>
      </c>
      <c r="F243" s="51" t="str">
        <f>IFERROR(INDEX('[1]REP DISEÑO'!$I$9:$I$1508,MATCH(C243,'[1]REP DISEÑO'!$D$9:$D$1508,0)),"")</f>
        <v/>
      </c>
      <c r="G243" s="51" t="str">
        <f>IFERROR(INDEX('[1]REP DISEÑO'!$M$9:$M$1508,MATCH(C243,'[1]REP DISEÑO'!$D$9:$D$1508,0)),"")</f>
        <v/>
      </c>
      <c r="H243" s="51" t="str">
        <f>IFERROR(INDEX('[1]REP DISEÑO'!$J$9:$J$1508,MATCH(C243,'[1]REP DISEÑO'!$D$9:$D$1508,0)),"")</f>
        <v/>
      </c>
      <c r="I243" s="52" t="str">
        <f>IFERROR(INDEX('[1]REP DISEÑO'!$C$9:$C$1508,MATCH(C243,'[1]REP DISEÑO'!$D$9:$D$1508,0)),"")</f>
        <v/>
      </c>
      <c r="J243" s="53" t="str">
        <f>IF(C243="","",IF(ISNUMBER(FIND("AMU",$C$14:$C$548)),1,(SUMIF('[1]REP PRODUCCIÓN'!$H$6:$H$1505,"*"&amp;C243&amp;"*",'[1]REP PRODUCCIÓN'!$E$6:$E$1505))))</f>
        <v/>
      </c>
      <c r="K243" s="53">
        <f t="shared" si="10"/>
        <v>0</v>
      </c>
      <c r="M243" s="54" t="str">
        <f>IFERROR(INDEX('[1]REP DISEÑO'!$BA$9:$BA$1008,MATCH('INDIC-DIS2'!C243,'[1]REP DISEÑO'!$D$9:$D$1008,0)),"")</f>
        <v/>
      </c>
      <c r="N243" s="55"/>
      <c r="O243" s="55"/>
      <c r="P243" s="55"/>
      <c r="R243" s="57" t="str">
        <f t="shared" si="11"/>
        <v/>
      </c>
    </row>
    <row r="244" spans="2:18" ht="26.25" customHeight="1" x14ac:dyDescent="0.25">
      <c r="B244" s="49">
        <f t="shared" si="9"/>
        <v>0</v>
      </c>
      <c r="C244" s="50" t="str">
        <f t="array" ref="C244">IFERROR(INDEX('[1]REP DISEÑO'!$D$9:$D$1008,SMALL(IF('[1]REP DISEÑO'!$AW$9:$AW$1008=$J$1,ROW('[1]REP DISEÑO'!$N$9:$N$1008)-ROW('[1]REP DISEÑO'!$N$9),""),ROWS(C$14:C244))+1),"")</f>
        <v/>
      </c>
      <c r="D244" s="51" t="str">
        <f>IFERROR(INDEX('[1]REP DISEÑO'!$N$9:$N$1508,MATCH(C244,'[1]REP DISEÑO'!$D$9:$D$1508,0)),"")</f>
        <v/>
      </c>
      <c r="E244" s="51" t="str">
        <f>IFERROR(INDEX('[1]REP DISEÑO'!$G$9:$G$1508,MATCH(C244,'[1]REP DISEÑO'!$D$9:$D$1508,0)),"")</f>
        <v/>
      </c>
      <c r="F244" s="51" t="str">
        <f>IFERROR(INDEX('[1]REP DISEÑO'!$I$9:$I$1508,MATCH(C244,'[1]REP DISEÑO'!$D$9:$D$1508,0)),"")</f>
        <v/>
      </c>
      <c r="G244" s="51" t="str">
        <f>IFERROR(INDEX('[1]REP DISEÑO'!$M$9:$M$1508,MATCH(C244,'[1]REP DISEÑO'!$D$9:$D$1508,0)),"")</f>
        <v/>
      </c>
      <c r="H244" s="51" t="str">
        <f>IFERROR(INDEX('[1]REP DISEÑO'!$J$9:$J$1508,MATCH(C244,'[1]REP DISEÑO'!$D$9:$D$1508,0)),"")</f>
        <v/>
      </c>
      <c r="I244" s="52" t="str">
        <f>IFERROR(INDEX('[1]REP DISEÑO'!$C$9:$C$1508,MATCH(C244,'[1]REP DISEÑO'!$D$9:$D$1508,0)),"")</f>
        <v/>
      </c>
      <c r="J244" s="53" t="str">
        <f>IF(C244="","",IF(ISNUMBER(FIND("AMU",$C$14:$C$548)),1,(SUMIF('[1]REP PRODUCCIÓN'!$H$6:$H$1505,"*"&amp;C244&amp;"*",'[1]REP PRODUCCIÓN'!$E$6:$E$1505))))</f>
        <v/>
      </c>
      <c r="K244" s="53">
        <f t="shared" si="10"/>
        <v>0</v>
      </c>
      <c r="M244" s="54" t="str">
        <f>IFERROR(INDEX('[1]REP DISEÑO'!$BA$9:$BA$1008,MATCH('INDIC-DIS2'!C244,'[1]REP DISEÑO'!$D$9:$D$1008,0)),"")</f>
        <v/>
      </c>
      <c r="N244" s="55"/>
      <c r="O244" s="55"/>
      <c r="P244" s="55"/>
      <c r="R244" s="57" t="str">
        <f t="shared" si="11"/>
        <v/>
      </c>
    </row>
    <row r="245" spans="2:18" ht="26.25" customHeight="1" x14ac:dyDescent="0.25">
      <c r="B245" s="49">
        <f t="shared" si="9"/>
        <v>0</v>
      </c>
      <c r="C245" s="50" t="str">
        <f t="array" ref="C245">IFERROR(INDEX('[1]REP DISEÑO'!$D$9:$D$1008,SMALL(IF('[1]REP DISEÑO'!$AW$9:$AW$1008=$J$1,ROW('[1]REP DISEÑO'!$N$9:$N$1008)-ROW('[1]REP DISEÑO'!$N$9),""),ROWS(C$14:C245))+1),"")</f>
        <v/>
      </c>
      <c r="D245" s="51" t="str">
        <f>IFERROR(INDEX('[1]REP DISEÑO'!$N$9:$N$1508,MATCH(C245,'[1]REP DISEÑO'!$D$9:$D$1508,0)),"")</f>
        <v/>
      </c>
      <c r="E245" s="51" t="str">
        <f>IFERROR(INDEX('[1]REP DISEÑO'!$G$9:$G$1508,MATCH(C245,'[1]REP DISEÑO'!$D$9:$D$1508,0)),"")</f>
        <v/>
      </c>
      <c r="F245" s="51" t="str">
        <f>IFERROR(INDEX('[1]REP DISEÑO'!$I$9:$I$1508,MATCH(C245,'[1]REP DISEÑO'!$D$9:$D$1508,0)),"")</f>
        <v/>
      </c>
      <c r="G245" s="51" t="str">
        <f>IFERROR(INDEX('[1]REP DISEÑO'!$M$9:$M$1508,MATCH(C245,'[1]REP DISEÑO'!$D$9:$D$1508,0)),"")</f>
        <v/>
      </c>
      <c r="H245" s="51" t="str">
        <f>IFERROR(INDEX('[1]REP DISEÑO'!$J$9:$J$1508,MATCH(C245,'[1]REP DISEÑO'!$D$9:$D$1508,0)),"")</f>
        <v/>
      </c>
      <c r="I245" s="52" t="str">
        <f>IFERROR(INDEX('[1]REP DISEÑO'!$C$9:$C$1508,MATCH(C245,'[1]REP DISEÑO'!$D$9:$D$1508,0)),"")</f>
        <v/>
      </c>
      <c r="J245" s="53" t="str">
        <f>IF(C245="","",IF(ISNUMBER(FIND("AMU",$C$14:$C$548)),1,(SUMIF('[1]REP PRODUCCIÓN'!$H$6:$H$1505,"*"&amp;C245&amp;"*",'[1]REP PRODUCCIÓN'!$E$6:$E$1505))))</f>
        <v/>
      </c>
      <c r="K245" s="53">
        <f t="shared" si="10"/>
        <v>0</v>
      </c>
      <c r="M245" s="54" t="str">
        <f>IFERROR(INDEX('[1]REP DISEÑO'!$BA$9:$BA$1008,MATCH('INDIC-DIS2'!C245,'[1]REP DISEÑO'!$D$9:$D$1008,0)),"")</f>
        <v/>
      </c>
      <c r="N245" s="55"/>
      <c r="O245" s="55"/>
      <c r="P245" s="55"/>
      <c r="R245" s="57" t="str">
        <f t="shared" si="11"/>
        <v/>
      </c>
    </row>
    <row r="246" spans="2:18" ht="26.25" customHeight="1" x14ac:dyDescent="0.25">
      <c r="B246" s="49">
        <f t="shared" si="9"/>
        <v>0</v>
      </c>
      <c r="C246" s="50" t="str">
        <f t="array" ref="C246">IFERROR(INDEX('[1]REP DISEÑO'!$D$9:$D$1008,SMALL(IF('[1]REP DISEÑO'!$AW$9:$AW$1008=$J$1,ROW('[1]REP DISEÑO'!$N$9:$N$1008)-ROW('[1]REP DISEÑO'!$N$9),""),ROWS(C$14:C246))+1),"")</f>
        <v/>
      </c>
      <c r="D246" s="51" t="str">
        <f>IFERROR(INDEX('[1]REP DISEÑO'!$N$9:$N$1508,MATCH(C246,'[1]REP DISEÑO'!$D$9:$D$1508,0)),"")</f>
        <v/>
      </c>
      <c r="E246" s="51" t="str">
        <f>IFERROR(INDEX('[1]REP DISEÑO'!$G$9:$G$1508,MATCH(C246,'[1]REP DISEÑO'!$D$9:$D$1508,0)),"")</f>
        <v/>
      </c>
      <c r="F246" s="51" t="str">
        <f>IFERROR(INDEX('[1]REP DISEÑO'!$I$9:$I$1508,MATCH(C246,'[1]REP DISEÑO'!$D$9:$D$1508,0)),"")</f>
        <v/>
      </c>
      <c r="G246" s="51" t="str">
        <f>IFERROR(INDEX('[1]REP DISEÑO'!$M$9:$M$1508,MATCH(C246,'[1]REP DISEÑO'!$D$9:$D$1508,0)),"")</f>
        <v/>
      </c>
      <c r="H246" s="51" t="str">
        <f>IFERROR(INDEX('[1]REP DISEÑO'!$J$9:$J$1508,MATCH(C246,'[1]REP DISEÑO'!$D$9:$D$1508,0)),"")</f>
        <v/>
      </c>
      <c r="I246" s="52" t="str">
        <f>IFERROR(INDEX('[1]REP DISEÑO'!$C$9:$C$1508,MATCH(C246,'[1]REP DISEÑO'!$D$9:$D$1508,0)),"")</f>
        <v/>
      </c>
      <c r="J246" s="53" t="str">
        <f>IF(C246="","",IF(ISNUMBER(FIND("AMU",$C$14:$C$548)),1,(SUMIF('[1]REP PRODUCCIÓN'!$H$6:$H$1505,"*"&amp;C246&amp;"*",'[1]REP PRODUCCIÓN'!$E$6:$E$1505))))</f>
        <v/>
      </c>
      <c r="K246" s="53">
        <f t="shared" si="10"/>
        <v>0</v>
      </c>
      <c r="M246" s="54" t="str">
        <f>IFERROR(INDEX('[1]REP DISEÑO'!$BA$9:$BA$1008,MATCH('INDIC-DIS2'!C246,'[1]REP DISEÑO'!$D$9:$D$1008,0)),"")</f>
        <v/>
      </c>
      <c r="N246" s="55"/>
      <c r="O246" s="55"/>
      <c r="P246" s="55"/>
      <c r="R246" s="57" t="str">
        <f t="shared" si="11"/>
        <v/>
      </c>
    </row>
    <row r="247" spans="2:18" ht="26.25" customHeight="1" x14ac:dyDescent="0.25">
      <c r="B247" s="49">
        <f t="shared" si="9"/>
        <v>0</v>
      </c>
      <c r="C247" s="50" t="str">
        <f t="array" ref="C247">IFERROR(INDEX('[1]REP DISEÑO'!$D$9:$D$1008,SMALL(IF('[1]REP DISEÑO'!$AW$9:$AW$1008=$J$1,ROW('[1]REP DISEÑO'!$N$9:$N$1008)-ROW('[1]REP DISEÑO'!$N$9),""),ROWS(C$14:C247))+1),"")</f>
        <v/>
      </c>
      <c r="D247" s="51" t="str">
        <f>IFERROR(INDEX('[1]REP DISEÑO'!$N$9:$N$1508,MATCH(C247,'[1]REP DISEÑO'!$D$9:$D$1508,0)),"")</f>
        <v/>
      </c>
      <c r="E247" s="51" t="str">
        <f>IFERROR(INDEX('[1]REP DISEÑO'!$G$9:$G$1508,MATCH(C247,'[1]REP DISEÑO'!$D$9:$D$1508,0)),"")</f>
        <v/>
      </c>
      <c r="F247" s="51" t="str">
        <f>IFERROR(INDEX('[1]REP DISEÑO'!$I$9:$I$1508,MATCH(C247,'[1]REP DISEÑO'!$D$9:$D$1508,0)),"")</f>
        <v/>
      </c>
      <c r="G247" s="51" t="str">
        <f>IFERROR(INDEX('[1]REP DISEÑO'!$M$9:$M$1508,MATCH(C247,'[1]REP DISEÑO'!$D$9:$D$1508,0)),"")</f>
        <v/>
      </c>
      <c r="H247" s="51" t="str">
        <f>IFERROR(INDEX('[1]REP DISEÑO'!$J$9:$J$1508,MATCH(C247,'[1]REP DISEÑO'!$D$9:$D$1508,0)),"")</f>
        <v/>
      </c>
      <c r="I247" s="52" t="str">
        <f>IFERROR(INDEX('[1]REP DISEÑO'!$C$9:$C$1508,MATCH(C247,'[1]REP DISEÑO'!$D$9:$D$1508,0)),"")</f>
        <v/>
      </c>
      <c r="J247" s="53" t="str">
        <f>IF(C247="","",IF(ISNUMBER(FIND("AMU",$C$14:$C$548)),1,(SUMIF('[1]REP PRODUCCIÓN'!$H$6:$H$1505,"*"&amp;C247&amp;"*",'[1]REP PRODUCCIÓN'!$E$6:$E$1505))))</f>
        <v/>
      </c>
      <c r="K247" s="53">
        <f t="shared" si="10"/>
        <v>0</v>
      </c>
      <c r="M247" s="54" t="str">
        <f>IFERROR(INDEX('[1]REP DISEÑO'!$BA$9:$BA$1008,MATCH('INDIC-DIS2'!C247,'[1]REP DISEÑO'!$D$9:$D$1008,0)),"")</f>
        <v/>
      </c>
      <c r="N247" s="55"/>
      <c r="O247" s="55"/>
      <c r="P247" s="55"/>
      <c r="R247" s="57" t="str">
        <f t="shared" si="11"/>
        <v/>
      </c>
    </row>
    <row r="248" spans="2:18" ht="26.25" customHeight="1" x14ac:dyDescent="0.25">
      <c r="B248" s="49">
        <f t="shared" si="9"/>
        <v>0</v>
      </c>
      <c r="C248" s="50" t="str">
        <f t="array" ref="C248">IFERROR(INDEX('[1]REP DISEÑO'!$D$9:$D$1008,SMALL(IF('[1]REP DISEÑO'!$AW$9:$AW$1008=$J$1,ROW('[1]REP DISEÑO'!$N$9:$N$1008)-ROW('[1]REP DISEÑO'!$N$9),""),ROWS(C$14:C248))+1),"")</f>
        <v/>
      </c>
      <c r="D248" s="51" t="str">
        <f>IFERROR(INDEX('[1]REP DISEÑO'!$N$9:$N$1508,MATCH(C248,'[1]REP DISEÑO'!$D$9:$D$1508,0)),"")</f>
        <v/>
      </c>
      <c r="E248" s="51" t="str">
        <f>IFERROR(INDEX('[1]REP DISEÑO'!$G$9:$G$1508,MATCH(C248,'[1]REP DISEÑO'!$D$9:$D$1508,0)),"")</f>
        <v/>
      </c>
      <c r="F248" s="51" t="str">
        <f>IFERROR(INDEX('[1]REP DISEÑO'!$I$9:$I$1508,MATCH(C248,'[1]REP DISEÑO'!$D$9:$D$1508,0)),"")</f>
        <v/>
      </c>
      <c r="G248" s="51" t="str">
        <f>IFERROR(INDEX('[1]REP DISEÑO'!$M$9:$M$1508,MATCH(C248,'[1]REP DISEÑO'!$D$9:$D$1508,0)),"")</f>
        <v/>
      </c>
      <c r="H248" s="51" t="str">
        <f>IFERROR(INDEX('[1]REP DISEÑO'!$J$9:$J$1508,MATCH(C248,'[1]REP DISEÑO'!$D$9:$D$1508,0)),"")</f>
        <v/>
      </c>
      <c r="I248" s="52" t="str">
        <f>IFERROR(INDEX('[1]REP DISEÑO'!$C$9:$C$1508,MATCH(C248,'[1]REP DISEÑO'!$D$9:$D$1508,0)),"")</f>
        <v/>
      </c>
      <c r="J248" s="53" t="str">
        <f>IF(C248="","",IF(ISNUMBER(FIND("AMU",$C$14:$C$548)),1,(SUMIF('[1]REP PRODUCCIÓN'!$H$6:$H$1505,"*"&amp;C248&amp;"*",'[1]REP PRODUCCIÓN'!$E$6:$E$1505))))</f>
        <v/>
      </c>
      <c r="K248" s="53">
        <f t="shared" si="10"/>
        <v>0</v>
      </c>
      <c r="M248" s="54" t="str">
        <f>IFERROR(INDEX('[1]REP DISEÑO'!$BA$9:$BA$1008,MATCH('INDIC-DIS2'!C248,'[1]REP DISEÑO'!$D$9:$D$1008,0)),"")</f>
        <v/>
      </c>
      <c r="N248" s="55"/>
      <c r="O248" s="55"/>
      <c r="P248" s="55"/>
      <c r="R248" s="57" t="str">
        <f t="shared" si="11"/>
        <v/>
      </c>
    </row>
    <row r="249" spans="2:18" ht="26.25" customHeight="1" x14ac:dyDescent="0.25">
      <c r="B249" s="49">
        <f t="shared" si="9"/>
        <v>0</v>
      </c>
      <c r="C249" s="50" t="str">
        <f t="array" ref="C249">IFERROR(INDEX('[1]REP DISEÑO'!$D$9:$D$1008,SMALL(IF('[1]REP DISEÑO'!$AW$9:$AW$1008=$J$1,ROW('[1]REP DISEÑO'!$N$9:$N$1008)-ROW('[1]REP DISEÑO'!$N$9),""),ROWS(C$14:C249))+1),"")</f>
        <v/>
      </c>
      <c r="D249" s="51" t="str">
        <f>IFERROR(INDEX('[1]REP DISEÑO'!$N$9:$N$1508,MATCH(C249,'[1]REP DISEÑO'!$D$9:$D$1508,0)),"")</f>
        <v/>
      </c>
      <c r="E249" s="51" t="str">
        <f>IFERROR(INDEX('[1]REP DISEÑO'!$G$9:$G$1508,MATCH(C249,'[1]REP DISEÑO'!$D$9:$D$1508,0)),"")</f>
        <v/>
      </c>
      <c r="F249" s="51" t="str">
        <f>IFERROR(INDEX('[1]REP DISEÑO'!$I$9:$I$1508,MATCH(C249,'[1]REP DISEÑO'!$D$9:$D$1508,0)),"")</f>
        <v/>
      </c>
      <c r="G249" s="51" t="str">
        <f>IFERROR(INDEX('[1]REP DISEÑO'!$M$9:$M$1508,MATCH(C249,'[1]REP DISEÑO'!$D$9:$D$1508,0)),"")</f>
        <v/>
      </c>
      <c r="H249" s="51" t="str">
        <f>IFERROR(INDEX('[1]REP DISEÑO'!$J$9:$J$1508,MATCH(C249,'[1]REP DISEÑO'!$D$9:$D$1508,0)),"")</f>
        <v/>
      </c>
      <c r="I249" s="52" t="str">
        <f>IFERROR(INDEX('[1]REP DISEÑO'!$C$9:$C$1508,MATCH(C249,'[1]REP DISEÑO'!$D$9:$D$1508,0)),"")</f>
        <v/>
      </c>
      <c r="J249" s="53" t="str">
        <f>IF(C249="","",IF(ISNUMBER(FIND("AMU",$C$14:$C$548)),1,(SUMIF('[1]REP PRODUCCIÓN'!$H$6:$H$1505,"*"&amp;C249&amp;"*",'[1]REP PRODUCCIÓN'!$E$6:$E$1505))))</f>
        <v/>
      </c>
      <c r="K249" s="53">
        <f t="shared" si="10"/>
        <v>0</v>
      </c>
      <c r="M249" s="54" t="str">
        <f>IFERROR(INDEX('[1]REP DISEÑO'!$BA$9:$BA$1008,MATCH('INDIC-DIS2'!C249,'[1]REP DISEÑO'!$D$9:$D$1008,0)),"")</f>
        <v/>
      </c>
      <c r="N249" s="55"/>
      <c r="O249" s="55"/>
      <c r="P249" s="55"/>
      <c r="R249" s="57" t="str">
        <f t="shared" si="11"/>
        <v/>
      </c>
    </row>
    <row r="250" spans="2:18" ht="26.25" customHeight="1" x14ac:dyDescent="0.25">
      <c r="B250" s="49">
        <f t="shared" si="9"/>
        <v>0</v>
      </c>
      <c r="C250" s="50" t="str">
        <f t="array" ref="C250">IFERROR(INDEX('[1]REP DISEÑO'!$D$9:$D$1008,SMALL(IF('[1]REP DISEÑO'!$AW$9:$AW$1008=$J$1,ROW('[1]REP DISEÑO'!$N$9:$N$1008)-ROW('[1]REP DISEÑO'!$N$9),""),ROWS(C$14:C250))+1),"")</f>
        <v/>
      </c>
      <c r="D250" s="51" t="str">
        <f>IFERROR(INDEX('[1]REP DISEÑO'!$N$9:$N$1508,MATCH(C250,'[1]REP DISEÑO'!$D$9:$D$1508,0)),"")</f>
        <v/>
      </c>
      <c r="E250" s="51" t="str">
        <f>IFERROR(INDEX('[1]REP DISEÑO'!$G$9:$G$1508,MATCH(C250,'[1]REP DISEÑO'!$D$9:$D$1508,0)),"")</f>
        <v/>
      </c>
      <c r="F250" s="51" t="str">
        <f>IFERROR(INDEX('[1]REP DISEÑO'!$I$9:$I$1508,MATCH(C250,'[1]REP DISEÑO'!$D$9:$D$1508,0)),"")</f>
        <v/>
      </c>
      <c r="G250" s="51" t="str">
        <f>IFERROR(INDEX('[1]REP DISEÑO'!$M$9:$M$1508,MATCH(C250,'[1]REP DISEÑO'!$D$9:$D$1508,0)),"")</f>
        <v/>
      </c>
      <c r="H250" s="51" t="str">
        <f>IFERROR(INDEX('[1]REP DISEÑO'!$J$9:$J$1508,MATCH(C250,'[1]REP DISEÑO'!$D$9:$D$1508,0)),"")</f>
        <v/>
      </c>
      <c r="I250" s="52" t="str">
        <f>IFERROR(INDEX('[1]REP DISEÑO'!$C$9:$C$1508,MATCH(C250,'[1]REP DISEÑO'!$D$9:$D$1508,0)),"")</f>
        <v/>
      </c>
      <c r="J250" s="53" t="str">
        <f>IF(C250="","",IF(ISNUMBER(FIND("AMU",$C$14:$C$548)),1,(SUMIF('[1]REP PRODUCCIÓN'!$H$6:$H$1505,"*"&amp;C250&amp;"*",'[1]REP PRODUCCIÓN'!$E$6:$E$1505))))</f>
        <v/>
      </c>
      <c r="K250" s="53">
        <f t="shared" si="10"/>
        <v>0</v>
      </c>
      <c r="M250" s="54" t="str">
        <f>IFERROR(INDEX('[1]REP DISEÑO'!$BA$9:$BA$1008,MATCH('INDIC-DIS2'!C250,'[1]REP DISEÑO'!$D$9:$D$1008,0)),"")</f>
        <v/>
      </c>
      <c r="N250" s="55"/>
      <c r="O250" s="55"/>
      <c r="P250" s="55"/>
      <c r="R250" s="57" t="str">
        <f t="shared" si="11"/>
        <v/>
      </c>
    </row>
    <row r="251" spans="2:18" ht="26.25" customHeight="1" x14ac:dyDescent="0.25">
      <c r="B251" s="49">
        <f t="shared" si="9"/>
        <v>0</v>
      </c>
      <c r="C251" s="50" t="str">
        <f t="array" ref="C251">IFERROR(INDEX('[1]REP DISEÑO'!$D$9:$D$1008,SMALL(IF('[1]REP DISEÑO'!$AW$9:$AW$1008=$J$1,ROW('[1]REP DISEÑO'!$N$9:$N$1008)-ROW('[1]REP DISEÑO'!$N$9),""),ROWS(C$14:C251))+1),"")</f>
        <v/>
      </c>
      <c r="D251" s="51" t="str">
        <f>IFERROR(INDEX('[1]REP DISEÑO'!$N$9:$N$1508,MATCH(C251,'[1]REP DISEÑO'!$D$9:$D$1508,0)),"")</f>
        <v/>
      </c>
      <c r="E251" s="51" t="str">
        <f>IFERROR(INDEX('[1]REP DISEÑO'!$G$9:$G$1508,MATCH(C251,'[1]REP DISEÑO'!$D$9:$D$1508,0)),"")</f>
        <v/>
      </c>
      <c r="F251" s="51" t="str">
        <f>IFERROR(INDEX('[1]REP DISEÑO'!$I$9:$I$1508,MATCH(C251,'[1]REP DISEÑO'!$D$9:$D$1508,0)),"")</f>
        <v/>
      </c>
      <c r="G251" s="51" t="str">
        <f>IFERROR(INDEX('[1]REP DISEÑO'!$M$9:$M$1508,MATCH(C251,'[1]REP DISEÑO'!$D$9:$D$1508,0)),"")</f>
        <v/>
      </c>
      <c r="H251" s="51" t="str">
        <f>IFERROR(INDEX('[1]REP DISEÑO'!$J$9:$J$1508,MATCH(C251,'[1]REP DISEÑO'!$D$9:$D$1508,0)),"")</f>
        <v/>
      </c>
      <c r="I251" s="52" t="str">
        <f>IFERROR(INDEX('[1]REP DISEÑO'!$C$9:$C$1508,MATCH(C251,'[1]REP DISEÑO'!$D$9:$D$1508,0)),"")</f>
        <v/>
      </c>
      <c r="J251" s="53" t="str">
        <f>IF(C251="","",IF(ISNUMBER(FIND("AMU",$C$14:$C$548)),1,(SUMIF('[1]REP PRODUCCIÓN'!$H$6:$H$1505,"*"&amp;C251&amp;"*",'[1]REP PRODUCCIÓN'!$E$6:$E$1505))))</f>
        <v/>
      </c>
      <c r="K251" s="53">
        <f t="shared" si="10"/>
        <v>0</v>
      </c>
      <c r="M251" s="54" t="str">
        <f>IFERROR(INDEX('[1]REP DISEÑO'!$BA$9:$BA$1008,MATCH('INDIC-DIS2'!C251,'[1]REP DISEÑO'!$D$9:$D$1008,0)),"")</f>
        <v/>
      </c>
      <c r="N251" s="55"/>
      <c r="O251" s="55"/>
      <c r="P251" s="55"/>
      <c r="R251" s="57" t="str">
        <f t="shared" si="11"/>
        <v/>
      </c>
    </row>
    <row r="252" spans="2:18" ht="26.25" customHeight="1" x14ac:dyDescent="0.25">
      <c r="B252" s="49">
        <f t="shared" si="9"/>
        <v>0</v>
      </c>
      <c r="C252" s="50" t="str">
        <f t="array" ref="C252">IFERROR(INDEX('[1]REP DISEÑO'!$D$9:$D$1008,SMALL(IF('[1]REP DISEÑO'!$AW$9:$AW$1008=$J$1,ROW('[1]REP DISEÑO'!$N$9:$N$1008)-ROW('[1]REP DISEÑO'!$N$9),""),ROWS(C$14:C252))+1),"")</f>
        <v/>
      </c>
      <c r="D252" s="51" t="str">
        <f>IFERROR(INDEX('[1]REP DISEÑO'!$N$9:$N$1508,MATCH(C252,'[1]REP DISEÑO'!$D$9:$D$1508,0)),"")</f>
        <v/>
      </c>
      <c r="E252" s="51" t="str">
        <f>IFERROR(INDEX('[1]REP DISEÑO'!$G$9:$G$1508,MATCH(C252,'[1]REP DISEÑO'!$D$9:$D$1508,0)),"")</f>
        <v/>
      </c>
      <c r="F252" s="51" t="str">
        <f>IFERROR(INDEX('[1]REP DISEÑO'!$I$9:$I$1508,MATCH(C252,'[1]REP DISEÑO'!$D$9:$D$1508,0)),"")</f>
        <v/>
      </c>
      <c r="G252" s="51" t="str">
        <f>IFERROR(INDEX('[1]REP DISEÑO'!$M$9:$M$1508,MATCH(C252,'[1]REP DISEÑO'!$D$9:$D$1508,0)),"")</f>
        <v/>
      </c>
      <c r="H252" s="51" t="str">
        <f>IFERROR(INDEX('[1]REP DISEÑO'!$J$9:$J$1508,MATCH(C252,'[1]REP DISEÑO'!$D$9:$D$1508,0)),"")</f>
        <v/>
      </c>
      <c r="I252" s="52" t="str">
        <f>IFERROR(INDEX('[1]REP DISEÑO'!$C$9:$C$1508,MATCH(C252,'[1]REP DISEÑO'!$D$9:$D$1508,0)),"")</f>
        <v/>
      </c>
      <c r="J252" s="53" t="str">
        <f>IF(C252="","",IF(ISNUMBER(FIND("AMU",$C$14:$C$548)),1,(SUMIF('[1]REP PRODUCCIÓN'!$H$6:$H$1505,"*"&amp;C252&amp;"*",'[1]REP PRODUCCIÓN'!$E$6:$E$1505))))</f>
        <v/>
      </c>
      <c r="K252" s="53">
        <f t="shared" si="10"/>
        <v>0</v>
      </c>
      <c r="M252" s="54" t="str">
        <f>IFERROR(INDEX('[1]REP DISEÑO'!$BA$9:$BA$1008,MATCH('INDIC-DIS2'!C252,'[1]REP DISEÑO'!$D$9:$D$1008,0)),"")</f>
        <v/>
      </c>
      <c r="N252" s="55"/>
      <c r="O252" s="55"/>
      <c r="P252" s="55"/>
      <c r="R252" s="57" t="str">
        <f t="shared" si="11"/>
        <v/>
      </c>
    </row>
    <row r="253" spans="2:18" ht="26.25" customHeight="1" x14ac:dyDescent="0.25">
      <c r="B253" s="49">
        <f t="shared" si="9"/>
        <v>0</v>
      </c>
      <c r="C253" s="50" t="str">
        <f t="array" ref="C253">IFERROR(INDEX('[1]REP DISEÑO'!$D$9:$D$1008,SMALL(IF('[1]REP DISEÑO'!$AW$9:$AW$1008=$J$1,ROW('[1]REP DISEÑO'!$N$9:$N$1008)-ROW('[1]REP DISEÑO'!$N$9),""),ROWS(C$14:C253))+1),"")</f>
        <v/>
      </c>
      <c r="D253" s="51" t="str">
        <f>IFERROR(INDEX('[1]REP DISEÑO'!$N$9:$N$1508,MATCH(C253,'[1]REP DISEÑO'!$D$9:$D$1508,0)),"")</f>
        <v/>
      </c>
      <c r="E253" s="51" t="str">
        <f>IFERROR(INDEX('[1]REP DISEÑO'!$G$9:$G$1508,MATCH(C253,'[1]REP DISEÑO'!$D$9:$D$1508,0)),"")</f>
        <v/>
      </c>
      <c r="F253" s="51" t="str">
        <f>IFERROR(INDEX('[1]REP DISEÑO'!$I$9:$I$1508,MATCH(C253,'[1]REP DISEÑO'!$D$9:$D$1508,0)),"")</f>
        <v/>
      </c>
      <c r="G253" s="51" t="str">
        <f>IFERROR(INDEX('[1]REP DISEÑO'!$M$9:$M$1508,MATCH(C253,'[1]REP DISEÑO'!$D$9:$D$1508,0)),"")</f>
        <v/>
      </c>
      <c r="H253" s="51" t="str">
        <f>IFERROR(INDEX('[1]REP DISEÑO'!$J$9:$J$1508,MATCH(C253,'[1]REP DISEÑO'!$D$9:$D$1508,0)),"")</f>
        <v/>
      </c>
      <c r="I253" s="52" t="str">
        <f>IFERROR(INDEX('[1]REP DISEÑO'!$C$9:$C$1508,MATCH(C253,'[1]REP DISEÑO'!$D$9:$D$1508,0)),"")</f>
        <v/>
      </c>
      <c r="J253" s="53" t="str">
        <f>IF(C253="","",IF(ISNUMBER(FIND("AMU",$C$14:$C$548)),1,(SUMIF('[1]REP PRODUCCIÓN'!$H$6:$H$1505,"*"&amp;C253&amp;"*",'[1]REP PRODUCCIÓN'!$E$6:$E$1505))))</f>
        <v/>
      </c>
      <c r="K253" s="53">
        <f t="shared" si="10"/>
        <v>0</v>
      </c>
      <c r="M253" s="54" t="str">
        <f>IFERROR(INDEX('[1]REP DISEÑO'!$BA$9:$BA$1008,MATCH('INDIC-DIS2'!C253,'[1]REP DISEÑO'!$D$9:$D$1008,0)),"")</f>
        <v/>
      </c>
      <c r="N253" s="55"/>
      <c r="O253" s="55"/>
      <c r="P253" s="55"/>
      <c r="R253" s="57" t="str">
        <f t="shared" si="11"/>
        <v/>
      </c>
    </row>
    <row r="254" spans="2:18" ht="26.25" customHeight="1" x14ac:dyDescent="0.25">
      <c r="B254" s="49">
        <f t="shared" si="9"/>
        <v>0</v>
      </c>
      <c r="C254" s="50" t="str">
        <f t="array" ref="C254">IFERROR(INDEX('[1]REP DISEÑO'!$D$9:$D$1008,SMALL(IF('[1]REP DISEÑO'!$AW$9:$AW$1008=$J$1,ROW('[1]REP DISEÑO'!$N$9:$N$1008)-ROW('[1]REP DISEÑO'!$N$9),""),ROWS(C$14:C254))+1),"")</f>
        <v/>
      </c>
      <c r="D254" s="51" t="str">
        <f>IFERROR(INDEX('[1]REP DISEÑO'!$N$9:$N$1508,MATCH(C254,'[1]REP DISEÑO'!$D$9:$D$1508,0)),"")</f>
        <v/>
      </c>
      <c r="E254" s="51" t="str">
        <f>IFERROR(INDEX('[1]REP DISEÑO'!$G$9:$G$1508,MATCH(C254,'[1]REP DISEÑO'!$D$9:$D$1508,0)),"")</f>
        <v/>
      </c>
      <c r="F254" s="51" t="str">
        <f>IFERROR(INDEX('[1]REP DISEÑO'!$I$9:$I$1508,MATCH(C254,'[1]REP DISEÑO'!$D$9:$D$1508,0)),"")</f>
        <v/>
      </c>
      <c r="G254" s="51" t="str">
        <f>IFERROR(INDEX('[1]REP DISEÑO'!$M$9:$M$1508,MATCH(C254,'[1]REP DISEÑO'!$D$9:$D$1508,0)),"")</f>
        <v/>
      </c>
      <c r="H254" s="51" t="str">
        <f>IFERROR(INDEX('[1]REP DISEÑO'!$J$9:$J$1508,MATCH(C254,'[1]REP DISEÑO'!$D$9:$D$1508,0)),"")</f>
        <v/>
      </c>
      <c r="I254" s="52" t="str">
        <f>IFERROR(INDEX('[1]REP DISEÑO'!$C$9:$C$1508,MATCH(C254,'[1]REP DISEÑO'!$D$9:$D$1508,0)),"")</f>
        <v/>
      </c>
      <c r="J254" s="53" t="str">
        <f>IF(C254="","",IF(ISNUMBER(FIND("AMU",$C$14:$C$548)),1,(SUMIF('[1]REP PRODUCCIÓN'!$H$6:$H$1505,"*"&amp;C254&amp;"*",'[1]REP PRODUCCIÓN'!$E$6:$E$1505))))</f>
        <v/>
      </c>
      <c r="K254" s="53">
        <f t="shared" si="10"/>
        <v>0</v>
      </c>
      <c r="M254" s="54" t="str">
        <f>IFERROR(INDEX('[1]REP DISEÑO'!$BA$9:$BA$1008,MATCH('INDIC-DIS2'!C254,'[1]REP DISEÑO'!$D$9:$D$1008,0)),"")</f>
        <v/>
      </c>
      <c r="N254" s="55"/>
      <c r="O254" s="55"/>
      <c r="P254" s="55"/>
      <c r="R254" s="57" t="str">
        <f t="shared" si="11"/>
        <v/>
      </c>
    </row>
    <row r="255" spans="2:18" ht="26.25" customHeight="1" x14ac:dyDescent="0.25">
      <c r="B255" s="49">
        <f t="shared" si="9"/>
        <v>0</v>
      </c>
      <c r="C255" s="50" t="str">
        <f t="array" ref="C255">IFERROR(INDEX('[1]REP DISEÑO'!$D$9:$D$1008,SMALL(IF('[1]REP DISEÑO'!$AW$9:$AW$1008=$J$1,ROW('[1]REP DISEÑO'!$N$9:$N$1008)-ROW('[1]REP DISEÑO'!$N$9),""),ROWS(C$14:C255))+1),"")</f>
        <v/>
      </c>
      <c r="D255" s="51" t="str">
        <f>IFERROR(INDEX('[1]REP DISEÑO'!$N$9:$N$1508,MATCH(C255,'[1]REP DISEÑO'!$D$9:$D$1508,0)),"")</f>
        <v/>
      </c>
      <c r="E255" s="51" t="str">
        <f>IFERROR(INDEX('[1]REP DISEÑO'!$G$9:$G$1508,MATCH(C255,'[1]REP DISEÑO'!$D$9:$D$1508,0)),"")</f>
        <v/>
      </c>
      <c r="F255" s="51" t="str">
        <f>IFERROR(INDEX('[1]REP DISEÑO'!$I$9:$I$1508,MATCH(C255,'[1]REP DISEÑO'!$D$9:$D$1508,0)),"")</f>
        <v/>
      </c>
      <c r="G255" s="51" t="str">
        <f>IFERROR(INDEX('[1]REP DISEÑO'!$M$9:$M$1508,MATCH(C255,'[1]REP DISEÑO'!$D$9:$D$1508,0)),"")</f>
        <v/>
      </c>
      <c r="H255" s="51" t="str">
        <f>IFERROR(INDEX('[1]REP DISEÑO'!$J$9:$J$1508,MATCH(C255,'[1]REP DISEÑO'!$D$9:$D$1508,0)),"")</f>
        <v/>
      </c>
      <c r="I255" s="52" t="str">
        <f>IFERROR(INDEX('[1]REP DISEÑO'!$C$9:$C$1508,MATCH(C255,'[1]REP DISEÑO'!$D$9:$D$1508,0)),"")</f>
        <v/>
      </c>
      <c r="J255" s="53" t="str">
        <f>IF(C255="","",IF(ISNUMBER(FIND("AMU",$C$14:$C$548)),1,(SUMIF('[1]REP PRODUCCIÓN'!$H$6:$H$1505,"*"&amp;C255&amp;"*",'[1]REP PRODUCCIÓN'!$E$6:$E$1505))))</f>
        <v/>
      </c>
      <c r="K255" s="53">
        <f t="shared" si="10"/>
        <v>0</v>
      </c>
      <c r="M255" s="54" t="str">
        <f>IFERROR(INDEX('[1]REP DISEÑO'!$BA$9:$BA$1008,MATCH('INDIC-DIS2'!C255,'[1]REP DISEÑO'!$D$9:$D$1008,0)),"")</f>
        <v/>
      </c>
      <c r="N255" s="55"/>
      <c r="O255" s="55"/>
      <c r="P255" s="55"/>
      <c r="R255" s="57" t="str">
        <f t="shared" si="11"/>
        <v/>
      </c>
    </row>
    <row r="256" spans="2:18" ht="26.25" customHeight="1" x14ac:dyDescent="0.25">
      <c r="B256" s="49">
        <f t="shared" si="9"/>
        <v>0</v>
      </c>
      <c r="C256" s="50" t="str">
        <f t="array" ref="C256">IFERROR(INDEX('[1]REP DISEÑO'!$D$9:$D$1008,SMALL(IF('[1]REP DISEÑO'!$AW$9:$AW$1008=$J$1,ROW('[1]REP DISEÑO'!$N$9:$N$1008)-ROW('[1]REP DISEÑO'!$N$9),""),ROWS(C$14:C256))+1),"")</f>
        <v/>
      </c>
      <c r="D256" s="51" t="str">
        <f>IFERROR(INDEX('[1]REP DISEÑO'!$N$9:$N$1508,MATCH(C256,'[1]REP DISEÑO'!$D$9:$D$1508,0)),"")</f>
        <v/>
      </c>
      <c r="E256" s="51" t="str">
        <f>IFERROR(INDEX('[1]REP DISEÑO'!$G$9:$G$1508,MATCH(C256,'[1]REP DISEÑO'!$D$9:$D$1508,0)),"")</f>
        <v/>
      </c>
      <c r="F256" s="51" t="str">
        <f>IFERROR(INDEX('[1]REP DISEÑO'!$I$9:$I$1508,MATCH(C256,'[1]REP DISEÑO'!$D$9:$D$1508,0)),"")</f>
        <v/>
      </c>
      <c r="G256" s="51" t="str">
        <f>IFERROR(INDEX('[1]REP DISEÑO'!$M$9:$M$1508,MATCH(C256,'[1]REP DISEÑO'!$D$9:$D$1508,0)),"")</f>
        <v/>
      </c>
      <c r="H256" s="51" t="str">
        <f>IFERROR(INDEX('[1]REP DISEÑO'!$J$9:$J$1508,MATCH(C256,'[1]REP DISEÑO'!$D$9:$D$1508,0)),"")</f>
        <v/>
      </c>
      <c r="I256" s="52" t="str">
        <f>IFERROR(INDEX('[1]REP DISEÑO'!$C$9:$C$1508,MATCH(C256,'[1]REP DISEÑO'!$D$9:$D$1508,0)),"")</f>
        <v/>
      </c>
      <c r="J256" s="53" t="str">
        <f>IF(C256="","",IF(ISNUMBER(FIND("AMU",$C$14:$C$548)),1,(SUMIF('[1]REP PRODUCCIÓN'!$H$6:$H$1505,"*"&amp;C256&amp;"*",'[1]REP PRODUCCIÓN'!$E$6:$E$1505))))</f>
        <v/>
      </c>
      <c r="K256" s="53">
        <f t="shared" si="10"/>
        <v>0</v>
      </c>
      <c r="M256" s="54" t="str">
        <f>IFERROR(INDEX('[1]REP DISEÑO'!$BA$9:$BA$1008,MATCH('INDIC-DIS2'!C256,'[1]REP DISEÑO'!$D$9:$D$1008,0)),"")</f>
        <v/>
      </c>
      <c r="N256" s="55"/>
      <c r="O256" s="55"/>
      <c r="P256" s="55"/>
      <c r="R256" s="57" t="str">
        <f t="shared" si="11"/>
        <v/>
      </c>
    </row>
    <row r="257" spans="2:18" ht="26.25" customHeight="1" x14ac:dyDescent="0.25">
      <c r="B257" s="49">
        <f t="shared" si="9"/>
        <v>0</v>
      </c>
      <c r="C257" s="50" t="str">
        <f t="array" ref="C257">IFERROR(INDEX('[1]REP DISEÑO'!$D$9:$D$1008,SMALL(IF('[1]REP DISEÑO'!$AW$9:$AW$1008=$J$1,ROW('[1]REP DISEÑO'!$N$9:$N$1008)-ROW('[1]REP DISEÑO'!$N$9),""),ROWS(C$14:C257))+1),"")</f>
        <v/>
      </c>
      <c r="D257" s="51" t="str">
        <f>IFERROR(INDEX('[1]REP DISEÑO'!$N$9:$N$1508,MATCH(C257,'[1]REP DISEÑO'!$D$9:$D$1508,0)),"")</f>
        <v/>
      </c>
      <c r="E257" s="51" t="str">
        <f>IFERROR(INDEX('[1]REP DISEÑO'!$G$9:$G$1508,MATCH(C257,'[1]REP DISEÑO'!$D$9:$D$1508,0)),"")</f>
        <v/>
      </c>
      <c r="F257" s="51" t="str">
        <f>IFERROR(INDEX('[1]REP DISEÑO'!$I$9:$I$1508,MATCH(C257,'[1]REP DISEÑO'!$D$9:$D$1508,0)),"")</f>
        <v/>
      </c>
      <c r="G257" s="51" t="str">
        <f>IFERROR(INDEX('[1]REP DISEÑO'!$M$9:$M$1508,MATCH(C257,'[1]REP DISEÑO'!$D$9:$D$1508,0)),"")</f>
        <v/>
      </c>
      <c r="H257" s="51" t="str">
        <f>IFERROR(INDEX('[1]REP DISEÑO'!$J$9:$J$1508,MATCH(C257,'[1]REP DISEÑO'!$D$9:$D$1508,0)),"")</f>
        <v/>
      </c>
      <c r="I257" s="52" t="str">
        <f>IFERROR(INDEX('[1]REP DISEÑO'!$C$9:$C$1508,MATCH(C257,'[1]REP DISEÑO'!$D$9:$D$1508,0)),"")</f>
        <v/>
      </c>
      <c r="J257" s="53" t="str">
        <f>IF(C257="","",IF(ISNUMBER(FIND("AMU",$C$14:$C$548)),1,(SUMIF('[1]REP PRODUCCIÓN'!$H$6:$H$1505,"*"&amp;C257&amp;"*",'[1]REP PRODUCCIÓN'!$E$6:$E$1505))))</f>
        <v/>
      </c>
      <c r="K257" s="53">
        <f t="shared" si="10"/>
        <v>0</v>
      </c>
      <c r="M257" s="54" t="str">
        <f>IFERROR(INDEX('[1]REP DISEÑO'!$BA$9:$BA$1008,MATCH('INDIC-DIS2'!C257,'[1]REP DISEÑO'!$D$9:$D$1008,0)),"")</f>
        <v/>
      </c>
      <c r="N257" s="55"/>
      <c r="O257" s="55"/>
      <c r="P257" s="55"/>
      <c r="R257" s="57" t="str">
        <f t="shared" si="11"/>
        <v/>
      </c>
    </row>
    <row r="258" spans="2:18" ht="26.25" customHeight="1" x14ac:dyDescent="0.25">
      <c r="B258" s="49">
        <f t="shared" si="9"/>
        <v>0</v>
      </c>
      <c r="C258" s="50" t="str">
        <f t="array" ref="C258">IFERROR(INDEX('[1]REP DISEÑO'!$D$9:$D$1008,SMALL(IF('[1]REP DISEÑO'!$AW$9:$AW$1008=$J$1,ROW('[1]REP DISEÑO'!$N$9:$N$1008)-ROW('[1]REP DISEÑO'!$N$9),""),ROWS(C$14:C258))+1),"")</f>
        <v/>
      </c>
      <c r="D258" s="51" t="str">
        <f>IFERROR(INDEX('[1]REP DISEÑO'!$N$9:$N$1508,MATCH(C258,'[1]REP DISEÑO'!$D$9:$D$1508,0)),"")</f>
        <v/>
      </c>
      <c r="E258" s="51" t="str">
        <f>IFERROR(INDEX('[1]REP DISEÑO'!$G$9:$G$1508,MATCH(C258,'[1]REP DISEÑO'!$D$9:$D$1508,0)),"")</f>
        <v/>
      </c>
      <c r="F258" s="51" t="str">
        <f>IFERROR(INDEX('[1]REP DISEÑO'!$I$9:$I$1508,MATCH(C258,'[1]REP DISEÑO'!$D$9:$D$1508,0)),"")</f>
        <v/>
      </c>
      <c r="G258" s="51" t="str">
        <f>IFERROR(INDEX('[1]REP DISEÑO'!$M$9:$M$1508,MATCH(C258,'[1]REP DISEÑO'!$D$9:$D$1508,0)),"")</f>
        <v/>
      </c>
      <c r="H258" s="51" t="str">
        <f>IFERROR(INDEX('[1]REP DISEÑO'!$J$9:$J$1508,MATCH(C258,'[1]REP DISEÑO'!$D$9:$D$1508,0)),"")</f>
        <v/>
      </c>
      <c r="I258" s="52" t="str">
        <f>IFERROR(INDEX('[1]REP DISEÑO'!$C$9:$C$1508,MATCH(C258,'[1]REP DISEÑO'!$D$9:$D$1508,0)),"")</f>
        <v/>
      </c>
      <c r="J258" s="53" t="str">
        <f>IF(C258="","",IF(ISNUMBER(FIND("AMU",$C$14:$C$548)),1,(SUMIF('[1]REP PRODUCCIÓN'!$H$6:$H$1505,"*"&amp;C258&amp;"*",'[1]REP PRODUCCIÓN'!$E$6:$E$1505))))</f>
        <v/>
      </c>
      <c r="K258" s="53">
        <f t="shared" si="10"/>
        <v>0</v>
      </c>
      <c r="M258" s="54" t="str">
        <f>IFERROR(INDEX('[1]REP DISEÑO'!$BA$9:$BA$1008,MATCH('INDIC-DIS2'!C258,'[1]REP DISEÑO'!$D$9:$D$1008,0)),"")</f>
        <v/>
      </c>
      <c r="N258" s="55"/>
      <c r="O258" s="55"/>
      <c r="P258" s="55"/>
      <c r="R258" s="57" t="str">
        <f t="shared" si="11"/>
        <v/>
      </c>
    </row>
    <row r="259" spans="2:18" ht="26.25" customHeight="1" x14ac:dyDescent="0.25">
      <c r="B259" s="49">
        <f t="shared" si="9"/>
        <v>0</v>
      </c>
      <c r="C259" s="50" t="str">
        <f t="array" ref="C259">IFERROR(INDEX('[1]REP DISEÑO'!$D$9:$D$1008,SMALL(IF('[1]REP DISEÑO'!$AW$9:$AW$1008=$J$1,ROW('[1]REP DISEÑO'!$N$9:$N$1008)-ROW('[1]REP DISEÑO'!$N$9),""),ROWS(C$14:C259))+1),"")</f>
        <v/>
      </c>
      <c r="D259" s="51" t="str">
        <f>IFERROR(INDEX('[1]REP DISEÑO'!$N$9:$N$1508,MATCH(C259,'[1]REP DISEÑO'!$D$9:$D$1508,0)),"")</f>
        <v/>
      </c>
      <c r="E259" s="51" t="str">
        <f>IFERROR(INDEX('[1]REP DISEÑO'!$G$9:$G$1508,MATCH(C259,'[1]REP DISEÑO'!$D$9:$D$1508,0)),"")</f>
        <v/>
      </c>
      <c r="F259" s="51" t="str">
        <f>IFERROR(INDEX('[1]REP DISEÑO'!$I$9:$I$1508,MATCH(C259,'[1]REP DISEÑO'!$D$9:$D$1508,0)),"")</f>
        <v/>
      </c>
      <c r="G259" s="51" t="str">
        <f>IFERROR(INDEX('[1]REP DISEÑO'!$M$9:$M$1508,MATCH(C259,'[1]REP DISEÑO'!$D$9:$D$1508,0)),"")</f>
        <v/>
      </c>
      <c r="H259" s="51" t="str">
        <f>IFERROR(INDEX('[1]REP DISEÑO'!$J$9:$J$1508,MATCH(C259,'[1]REP DISEÑO'!$D$9:$D$1508,0)),"")</f>
        <v/>
      </c>
      <c r="I259" s="52" t="str">
        <f>IFERROR(INDEX('[1]REP DISEÑO'!$C$9:$C$1508,MATCH(C259,'[1]REP DISEÑO'!$D$9:$D$1508,0)),"")</f>
        <v/>
      </c>
      <c r="J259" s="53" t="str">
        <f>IF(C259="","",IF(ISNUMBER(FIND("AMU",$C$14:$C$548)),1,(SUMIF('[1]REP PRODUCCIÓN'!$H$6:$H$1505,"*"&amp;C259&amp;"*",'[1]REP PRODUCCIÓN'!$E$6:$E$1505))))</f>
        <v/>
      </c>
      <c r="K259" s="53">
        <f t="shared" si="10"/>
        <v>0</v>
      </c>
      <c r="M259" s="54" t="str">
        <f>IFERROR(INDEX('[1]REP DISEÑO'!$BA$9:$BA$1008,MATCH('INDIC-DIS2'!C259,'[1]REP DISEÑO'!$D$9:$D$1008,0)),"")</f>
        <v/>
      </c>
      <c r="N259" s="55"/>
      <c r="O259" s="55"/>
      <c r="P259" s="55"/>
      <c r="R259" s="57" t="str">
        <f t="shared" si="11"/>
        <v/>
      </c>
    </row>
    <row r="260" spans="2:18" ht="26.25" customHeight="1" x14ac:dyDescent="0.25">
      <c r="B260" s="49">
        <f t="shared" si="9"/>
        <v>0</v>
      </c>
      <c r="C260" s="50" t="str">
        <f t="array" ref="C260">IFERROR(INDEX('[1]REP DISEÑO'!$D$9:$D$1008,SMALL(IF('[1]REP DISEÑO'!$AW$9:$AW$1008=$J$1,ROW('[1]REP DISEÑO'!$N$9:$N$1008)-ROW('[1]REP DISEÑO'!$N$9),""),ROWS(C$14:C260))+1),"")</f>
        <v/>
      </c>
      <c r="D260" s="51" t="str">
        <f>IFERROR(INDEX('[1]REP DISEÑO'!$N$9:$N$1508,MATCH(C260,'[1]REP DISEÑO'!$D$9:$D$1508,0)),"")</f>
        <v/>
      </c>
      <c r="E260" s="51" t="str">
        <f>IFERROR(INDEX('[1]REP DISEÑO'!$G$9:$G$1508,MATCH(C260,'[1]REP DISEÑO'!$D$9:$D$1508,0)),"")</f>
        <v/>
      </c>
      <c r="F260" s="51" t="str">
        <f>IFERROR(INDEX('[1]REP DISEÑO'!$I$9:$I$1508,MATCH(C260,'[1]REP DISEÑO'!$D$9:$D$1508,0)),"")</f>
        <v/>
      </c>
      <c r="G260" s="51" t="str">
        <f>IFERROR(INDEX('[1]REP DISEÑO'!$M$9:$M$1508,MATCH(C260,'[1]REP DISEÑO'!$D$9:$D$1508,0)),"")</f>
        <v/>
      </c>
      <c r="H260" s="51" t="str">
        <f>IFERROR(INDEX('[1]REP DISEÑO'!$J$9:$J$1508,MATCH(C260,'[1]REP DISEÑO'!$D$9:$D$1508,0)),"")</f>
        <v/>
      </c>
      <c r="I260" s="52" t="str">
        <f>IFERROR(INDEX('[1]REP DISEÑO'!$C$9:$C$1508,MATCH(C260,'[1]REP DISEÑO'!$D$9:$D$1508,0)),"")</f>
        <v/>
      </c>
      <c r="J260" s="53" t="str">
        <f>IF(C260="","",IF(ISNUMBER(FIND("AMU",$C$14:$C$548)),1,(SUMIF('[1]REP PRODUCCIÓN'!$H$6:$H$1505,"*"&amp;C260&amp;"*",'[1]REP PRODUCCIÓN'!$E$6:$E$1505))))</f>
        <v/>
      </c>
      <c r="K260" s="53">
        <f t="shared" si="10"/>
        <v>0</v>
      </c>
      <c r="M260" s="54" t="str">
        <f>IFERROR(INDEX('[1]REP DISEÑO'!$BA$9:$BA$1008,MATCH('INDIC-DIS2'!C260,'[1]REP DISEÑO'!$D$9:$D$1008,0)),"")</f>
        <v/>
      </c>
      <c r="N260" s="55"/>
      <c r="O260" s="55"/>
      <c r="P260" s="55"/>
      <c r="R260" s="57" t="str">
        <f t="shared" si="11"/>
        <v/>
      </c>
    </row>
    <row r="261" spans="2:18" ht="26.25" customHeight="1" x14ac:dyDescent="0.25">
      <c r="B261" s="49">
        <f t="shared" si="9"/>
        <v>0</v>
      </c>
      <c r="C261" s="50" t="str">
        <f t="array" ref="C261">IFERROR(INDEX('[1]REP DISEÑO'!$D$9:$D$1008,SMALL(IF('[1]REP DISEÑO'!$AW$9:$AW$1008=$J$1,ROW('[1]REP DISEÑO'!$N$9:$N$1008)-ROW('[1]REP DISEÑO'!$N$9),""),ROWS(C$14:C261))+1),"")</f>
        <v/>
      </c>
      <c r="D261" s="51" t="str">
        <f>IFERROR(INDEX('[1]REP DISEÑO'!$N$9:$N$1508,MATCH(C261,'[1]REP DISEÑO'!$D$9:$D$1508,0)),"")</f>
        <v/>
      </c>
      <c r="E261" s="51" t="str">
        <f>IFERROR(INDEX('[1]REP DISEÑO'!$G$9:$G$1508,MATCH(C261,'[1]REP DISEÑO'!$D$9:$D$1508,0)),"")</f>
        <v/>
      </c>
      <c r="F261" s="51" t="str">
        <f>IFERROR(INDEX('[1]REP DISEÑO'!$I$9:$I$1508,MATCH(C261,'[1]REP DISEÑO'!$D$9:$D$1508,0)),"")</f>
        <v/>
      </c>
      <c r="G261" s="51" t="str">
        <f>IFERROR(INDEX('[1]REP DISEÑO'!$M$9:$M$1508,MATCH(C261,'[1]REP DISEÑO'!$D$9:$D$1508,0)),"")</f>
        <v/>
      </c>
      <c r="H261" s="51" t="str">
        <f>IFERROR(INDEX('[1]REP DISEÑO'!$J$9:$J$1508,MATCH(C261,'[1]REP DISEÑO'!$D$9:$D$1508,0)),"")</f>
        <v/>
      </c>
      <c r="I261" s="52" t="str">
        <f>IFERROR(INDEX('[1]REP DISEÑO'!$C$9:$C$1508,MATCH(C261,'[1]REP DISEÑO'!$D$9:$D$1508,0)),"")</f>
        <v/>
      </c>
      <c r="J261" s="53" t="str">
        <f>IF(C261="","",IF(ISNUMBER(FIND("AMU",$C$14:$C$548)),1,(SUMIF('[1]REP PRODUCCIÓN'!$H$6:$H$1505,"*"&amp;C261&amp;"*",'[1]REP PRODUCCIÓN'!$E$6:$E$1505))))</f>
        <v/>
      </c>
      <c r="K261" s="53">
        <f t="shared" si="10"/>
        <v>0</v>
      </c>
      <c r="M261" s="54" t="str">
        <f>IFERROR(INDEX('[1]REP DISEÑO'!$BA$9:$BA$1008,MATCH('INDIC-DIS2'!C261,'[1]REP DISEÑO'!$D$9:$D$1008,0)),"")</f>
        <v/>
      </c>
      <c r="N261" s="55"/>
      <c r="O261" s="55"/>
      <c r="P261" s="55"/>
      <c r="R261" s="57" t="str">
        <f t="shared" si="11"/>
        <v/>
      </c>
    </row>
    <row r="262" spans="2:18" ht="26.25" customHeight="1" x14ac:dyDescent="0.25">
      <c r="B262" s="49">
        <f t="shared" si="9"/>
        <v>0</v>
      </c>
      <c r="C262" s="50" t="str">
        <f t="array" ref="C262">IFERROR(INDEX('[1]REP DISEÑO'!$D$9:$D$1008,SMALL(IF('[1]REP DISEÑO'!$AW$9:$AW$1008=$J$1,ROW('[1]REP DISEÑO'!$N$9:$N$1008)-ROW('[1]REP DISEÑO'!$N$9),""),ROWS(C$14:C262))+1),"")</f>
        <v/>
      </c>
      <c r="D262" s="51" t="str">
        <f>IFERROR(INDEX('[1]REP DISEÑO'!$N$9:$N$1508,MATCH(C262,'[1]REP DISEÑO'!$D$9:$D$1508,0)),"")</f>
        <v/>
      </c>
      <c r="E262" s="51" t="str">
        <f>IFERROR(INDEX('[1]REP DISEÑO'!$G$9:$G$1508,MATCH(C262,'[1]REP DISEÑO'!$D$9:$D$1508,0)),"")</f>
        <v/>
      </c>
      <c r="F262" s="51" t="str">
        <f>IFERROR(INDEX('[1]REP DISEÑO'!$I$9:$I$1508,MATCH(C262,'[1]REP DISEÑO'!$D$9:$D$1508,0)),"")</f>
        <v/>
      </c>
      <c r="G262" s="51" t="str">
        <f>IFERROR(INDEX('[1]REP DISEÑO'!$M$9:$M$1508,MATCH(C262,'[1]REP DISEÑO'!$D$9:$D$1508,0)),"")</f>
        <v/>
      </c>
      <c r="H262" s="51" t="str">
        <f>IFERROR(INDEX('[1]REP DISEÑO'!$J$9:$J$1508,MATCH(C262,'[1]REP DISEÑO'!$D$9:$D$1508,0)),"")</f>
        <v/>
      </c>
      <c r="I262" s="52" t="str">
        <f>IFERROR(INDEX('[1]REP DISEÑO'!$C$9:$C$1508,MATCH(C262,'[1]REP DISEÑO'!$D$9:$D$1508,0)),"")</f>
        <v/>
      </c>
      <c r="J262" s="53" t="str">
        <f>IF(C262="","",IF(ISNUMBER(FIND("AMU",$C$14:$C$548)),1,(SUMIF('[1]REP PRODUCCIÓN'!$H$6:$H$1505,"*"&amp;C262&amp;"*",'[1]REP PRODUCCIÓN'!$E$6:$E$1505))))</f>
        <v/>
      </c>
      <c r="K262" s="53">
        <f t="shared" si="10"/>
        <v>0</v>
      </c>
      <c r="M262" s="54" t="str">
        <f>IFERROR(INDEX('[1]REP DISEÑO'!$BA$9:$BA$1008,MATCH('INDIC-DIS2'!C262,'[1]REP DISEÑO'!$D$9:$D$1008,0)),"")</f>
        <v/>
      </c>
      <c r="N262" s="55"/>
      <c r="O262" s="55"/>
      <c r="P262" s="55"/>
      <c r="R262" s="57" t="str">
        <f t="shared" si="11"/>
        <v/>
      </c>
    </row>
    <row r="263" spans="2:18" ht="26.25" customHeight="1" x14ac:dyDescent="0.25">
      <c r="B263" s="49">
        <f t="shared" si="9"/>
        <v>0</v>
      </c>
      <c r="C263" s="50" t="str">
        <f t="array" ref="C263">IFERROR(INDEX('[1]REP DISEÑO'!$D$9:$D$1008,SMALL(IF('[1]REP DISEÑO'!$AW$9:$AW$1008=$J$1,ROW('[1]REP DISEÑO'!$N$9:$N$1008)-ROW('[1]REP DISEÑO'!$N$9),""),ROWS(C$14:C263))+1),"")</f>
        <v/>
      </c>
      <c r="D263" s="51" t="str">
        <f>IFERROR(INDEX('[1]REP DISEÑO'!$N$9:$N$1508,MATCH(C263,'[1]REP DISEÑO'!$D$9:$D$1508,0)),"")</f>
        <v/>
      </c>
      <c r="E263" s="51" t="str">
        <f>IFERROR(INDEX('[1]REP DISEÑO'!$G$9:$G$1508,MATCH(C263,'[1]REP DISEÑO'!$D$9:$D$1508,0)),"")</f>
        <v/>
      </c>
      <c r="F263" s="51" t="str">
        <f>IFERROR(INDEX('[1]REP DISEÑO'!$I$9:$I$1508,MATCH(C263,'[1]REP DISEÑO'!$D$9:$D$1508,0)),"")</f>
        <v/>
      </c>
      <c r="G263" s="51" t="str">
        <f>IFERROR(INDEX('[1]REP DISEÑO'!$M$9:$M$1508,MATCH(C263,'[1]REP DISEÑO'!$D$9:$D$1508,0)),"")</f>
        <v/>
      </c>
      <c r="H263" s="51" t="str">
        <f>IFERROR(INDEX('[1]REP DISEÑO'!$J$9:$J$1508,MATCH(C263,'[1]REP DISEÑO'!$D$9:$D$1508,0)),"")</f>
        <v/>
      </c>
      <c r="I263" s="52" t="str">
        <f>IFERROR(INDEX('[1]REP DISEÑO'!$C$9:$C$1508,MATCH(C263,'[1]REP DISEÑO'!$D$9:$D$1508,0)),"")</f>
        <v/>
      </c>
      <c r="J263" s="53" t="str">
        <f>IF(C263="","",IF(ISNUMBER(FIND("AMU",$C$14:$C$548)),1,(SUMIF('[1]REP PRODUCCIÓN'!$H$6:$H$1505,"*"&amp;C263&amp;"*",'[1]REP PRODUCCIÓN'!$E$6:$E$1505))))</f>
        <v/>
      </c>
      <c r="K263" s="53">
        <f t="shared" si="10"/>
        <v>0</v>
      </c>
      <c r="M263" s="54" t="str">
        <f>IFERROR(INDEX('[1]REP DISEÑO'!$BA$9:$BA$1008,MATCH('INDIC-DIS2'!C263,'[1]REP DISEÑO'!$D$9:$D$1008,0)),"")</f>
        <v/>
      </c>
      <c r="N263" s="55"/>
      <c r="O263" s="55"/>
      <c r="P263" s="55"/>
      <c r="R263" s="57" t="str">
        <f t="shared" si="11"/>
        <v/>
      </c>
    </row>
    <row r="264" spans="2:18" ht="26.25" customHeight="1" x14ac:dyDescent="0.25">
      <c r="B264" s="49">
        <f t="shared" si="9"/>
        <v>0</v>
      </c>
      <c r="C264" s="50" t="str">
        <f t="array" ref="C264">IFERROR(INDEX('[1]REP DISEÑO'!$D$9:$D$1008,SMALL(IF('[1]REP DISEÑO'!$AW$9:$AW$1008=$J$1,ROW('[1]REP DISEÑO'!$N$9:$N$1008)-ROW('[1]REP DISEÑO'!$N$9),""),ROWS(C$14:C264))+1),"")</f>
        <v/>
      </c>
      <c r="D264" s="51" t="str">
        <f>IFERROR(INDEX('[1]REP DISEÑO'!$N$9:$N$1508,MATCH(C264,'[1]REP DISEÑO'!$D$9:$D$1508,0)),"")</f>
        <v/>
      </c>
      <c r="E264" s="51" t="str">
        <f>IFERROR(INDEX('[1]REP DISEÑO'!$G$9:$G$1508,MATCH(C264,'[1]REP DISEÑO'!$D$9:$D$1508,0)),"")</f>
        <v/>
      </c>
      <c r="F264" s="51" t="str">
        <f>IFERROR(INDEX('[1]REP DISEÑO'!$I$9:$I$1508,MATCH(C264,'[1]REP DISEÑO'!$D$9:$D$1508,0)),"")</f>
        <v/>
      </c>
      <c r="G264" s="51" t="str">
        <f>IFERROR(INDEX('[1]REP DISEÑO'!$M$9:$M$1508,MATCH(C264,'[1]REP DISEÑO'!$D$9:$D$1508,0)),"")</f>
        <v/>
      </c>
      <c r="H264" s="51" t="str">
        <f>IFERROR(INDEX('[1]REP DISEÑO'!$J$9:$J$1508,MATCH(C264,'[1]REP DISEÑO'!$D$9:$D$1508,0)),"")</f>
        <v/>
      </c>
      <c r="I264" s="52" t="str">
        <f>IFERROR(INDEX('[1]REP DISEÑO'!$C$9:$C$1508,MATCH(C264,'[1]REP DISEÑO'!$D$9:$D$1508,0)),"")</f>
        <v/>
      </c>
      <c r="J264" s="53" t="str">
        <f>IF(C264="","",IF(ISNUMBER(FIND("AMU",$C$14:$C$548)),1,(SUMIF('[1]REP PRODUCCIÓN'!$H$6:$H$1505,"*"&amp;C264&amp;"*",'[1]REP PRODUCCIÓN'!$E$6:$E$1505))))</f>
        <v/>
      </c>
      <c r="K264" s="53">
        <f t="shared" si="10"/>
        <v>0</v>
      </c>
      <c r="M264" s="54" t="str">
        <f>IFERROR(INDEX('[1]REP DISEÑO'!$BA$9:$BA$1008,MATCH('INDIC-DIS2'!C264,'[1]REP DISEÑO'!$D$9:$D$1008,0)),"")</f>
        <v/>
      </c>
      <c r="N264" s="55"/>
      <c r="O264" s="55"/>
      <c r="P264" s="55"/>
      <c r="R264" s="57" t="str">
        <f t="shared" si="11"/>
        <v/>
      </c>
    </row>
    <row r="265" spans="2:18" ht="26.25" customHeight="1" x14ac:dyDescent="0.25">
      <c r="B265" s="49">
        <f t="shared" si="9"/>
        <v>0</v>
      </c>
      <c r="C265" s="50" t="str">
        <f t="array" ref="C265">IFERROR(INDEX('[1]REP DISEÑO'!$D$9:$D$1008,SMALL(IF('[1]REP DISEÑO'!$AW$9:$AW$1008=$J$1,ROW('[1]REP DISEÑO'!$N$9:$N$1008)-ROW('[1]REP DISEÑO'!$N$9),""),ROWS(C$14:C265))+1),"")</f>
        <v/>
      </c>
      <c r="D265" s="51" t="str">
        <f>IFERROR(INDEX('[1]REP DISEÑO'!$N$9:$N$1508,MATCH(C265,'[1]REP DISEÑO'!$D$9:$D$1508,0)),"")</f>
        <v/>
      </c>
      <c r="E265" s="51" t="str">
        <f>IFERROR(INDEX('[1]REP DISEÑO'!$G$9:$G$1508,MATCH(C265,'[1]REP DISEÑO'!$D$9:$D$1508,0)),"")</f>
        <v/>
      </c>
      <c r="F265" s="51" t="str">
        <f>IFERROR(INDEX('[1]REP DISEÑO'!$I$9:$I$1508,MATCH(C265,'[1]REP DISEÑO'!$D$9:$D$1508,0)),"")</f>
        <v/>
      </c>
      <c r="G265" s="51" t="str">
        <f>IFERROR(INDEX('[1]REP DISEÑO'!$M$9:$M$1508,MATCH(C265,'[1]REP DISEÑO'!$D$9:$D$1508,0)),"")</f>
        <v/>
      </c>
      <c r="H265" s="51" t="str">
        <f>IFERROR(INDEX('[1]REP DISEÑO'!$J$9:$J$1508,MATCH(C265,'[1]REP DISEÑO'!$D$9:$D$1508,0)),"")</f>
        <v/>
      </c>
      <c r="I265" s="52" t="str">
        <f>IFERROR(INDEX('[1]REP DISEÑO'!$C$9:$C$1508,MATCH(C265,'[1]REP DISEÑO'!$D$9:$D$1508,0)),"")</f>
        <v/>
      </c>
      <c r="J265" s="53" t="str">
        <f>IF(C265="","",IF(ISNUMBER(FIND("AMU",$C$14:$C$548)),1,(SUMIF('[1]REP PRODUCCIÓN'!$H$6:$H$1505,"*"&amp;C265&amp;"*",'[1]REP PRODUCCIÓN'!$E$6:$E$1505))))</f>
        <v/>
      </c>
      <c r="K265" s="53">
        <f t="shared" si="10"/>
        <v>0</v>
      </c>
      <c r="M265" s="54" t="str">
        <f>IFERROR(INDEX('[1]REP DISEÑO'!$BA$9:$BA$1008,MATCH('INDIC-DIS2'!C265,'[1]REP DISEÑO'!$D$9:$D$1008,0)),"")</f>
        <v/>
      </c>
      <c r="N265" s="55"/>
      <c r="O265" s="55"/>
      <c r="P265" s="55"/>
      <c r="R265" s="57" t="str">
        <f t="shared" si="11"/>
        <v/>
      </c>
    </row>
    <row r="266" spans="2:18" ht="26.25" customHeight="1" x14ac:dyDescent="0.25">
      <c r="B266" s="49">
        <f t="shared" si="9"/>
        <v>0</v>
      </c>
      <c r="C266" s="50" t="str">
        <f t="array" ref="C266">IFERROR(INDEX('[1]REP DISEÑO'!$D$9:$D$1008,SMALL(IF('[1]REP DISEÑO'!$AW$9:$AW$1008=$J$1,ROW('[1]REP DISEÑO'!$N$9:$N$1008)-ROW('[1]REP DISEÑO'!$N$9),""),ROWS(C$14:C266))+1),"")</f>
        <v/>
      </c>
      <c r="D266" s="51" t="str">
        <f>IFERROR(INDEX('[1]REP DISEÑO'!$N$9:$N$1508,MATCH(C266,'[1]REP DISEÑO'!$D$9:$D$1508,0)),"")</f>
        <v/>
      </c>
      <c r="E266" s="51" t="str">
        <f>IFERROR(INDEX('[1]REP DISEÑO'!$G$9:$G$1508,MATCH(C266,'[1]REP DISEÑO'!$D$9:$D$1508,0)),"")</f>
        <v/>
      </c>
      <c r="F266" s="51" t="str">
        <f>IFERROR(INDEX('[1]REP DISEÑO'!$I$9:$I$1508,MATCH(C266,'[1]REP DISEÑO'!$D$9:$D$1508,0)),"")</f>
        <v/>
      </c>
      <c r="G266" s="51" t="str">
        <f>IFERROR(INDEX('[1]REP DISEÑO'!$M$9:$M$1508,MATCH(C266,'[1]REP DISEÑO'!$D$9:$D$1508,0)),"")</f>
        <v/>
      </c>
      <c r="H266" s="51" t="str">
        <f>IFERROR(INDEX('[1]REP DISEÑO'!$J$9:$J$1508,MATCH(C266,'[1]REP DISEÑO'!$D$9:$D$1508,0)),"")</f>
        <v/>
      </c>
      <c r="I266" s="52" t="str">
        <f>IFERROR(INDEX('[1]REP DISEÑO'!$C$9:$C$1508,MATCH(C266,'[1]REP DISEÑO'!$D$9:$D$1508,0)),"")</f>
        <v/>
      </c>
      <c r="J266" s="53" t="str">
        <f>IF(C266="","",IF(ISNUMBER(FIND("AMU",$C$14:$C$548)),1,(SUMIF('[1]REP PRODUCCIÓN'!$H$6:$H$1505,"*"&amp;C266&amp;"*",'[1]REP PRODUCCIÓN'!$E$6:$E$1505))))</f>
        <v/>
      </c>
      <c r="K266" s="53">
        <f t="shared" si="10"/>
        <v>0</v>
      </c>
      <c r="M266" s="54" t="str">
        <f>IFERROR(INDEX('[1]REP DISEÑO'!$BA$9:$BA$1008,MATCH('INDIC-DIS2'!C266,'[1]REP DISEÑO'!$D$9:$D$1008,0)),"")</f>
        <v/>
      </c>
      <c r="N266" s="55"/>
      <c r="O266" s="55"/>
      <c r="P266" s="55"/>
      <c r="R266" s="57" t="str">
        <f t="shared" si="11"/>
        <v/>
      </c>
    </row>
    <row r="267" spans="2:18" ht="26.25" customHeight="1" x14ac:dyDescent="0.25">
      <c r="B267" s="49">
        <f t="shared" si="9"/>
        <v>0</v>
      </c>
      <c r="C267" s="50" t="str">
        <f t="array" ref="C267">IFERROR(INDEX('[1]REP DISEÑO'!$D$9:$D$1008,SMALL(IF('[1]REP DISEÑO'!$AW$9:$AW$1008=$J$1,ROW('[1]REP DISEÑO'!$N$9:$N$1008)-ROW('[1]REP DISEÑO'!$N$9),""),ROWS(C$14:C267))+1),"")</f>
        <v/>
      </c>
      <c r="D267" s="51" t="str">
        <f>IFERROR(INDEX('[1]REP DISEÑO'!$N$9:$N$1508,MATCH(C267,'[1]REP DISEÑO'!$D$9:$D$1508,0)),"")</f>
        <v/>
      </c>
      <c r="E267" s="51" t="str">
        <f>IFERROR(INDEX('[1]REP DISEÑO'!$G$9:$G$1508,MATCH(C267,'[1]REP DISEÑO'!$D$9:$D$1508,0)),"")</f>
        <v/>
      </c>
      <c r="F267" s="51" t="str">
        <f>IFERROR(INDEX('[1]REP DISEÑO'!$I$9:$I$1508,MATCH(C267,'[1]REP DISEÑO'!$D$9:$D$1508,0)),"")</f>
        <v/>
      </c>
      <c r="G267" s="51" t="str">
        <f>IFERROR(INDEX('[1]REP DISEÑO'!$M$9:$M$1508,MATCH(C267,'[1]REP DISEÑO'!$D$9:$D$1508,0)),"")</f>
        <v/>
      </c>
      <c r="H267" s="51" t="str">
        <f>IFERROR(INDEX('[1]REP DISEÑO'!$J$9:$J$1508,MATCH(C267,'[1]REP DISEÑO'!$D$9:$D$1508,0)),"")</f>
        <v/>
      </c>
      <c r="I267" s="52" t="str">
        <f>IFERROR(INDEX('[1]REP DISEÑO'!$C$9:$C$1508,MATCH(C267,'[1]REP DISEÑO'!$D$9:$D$1508,0)),"")</f>
        <v/>
      </c>
      <c r="J267" s="53" t="str">
        <f>IF(C267="","",IF(ISNUMBER(FIND("AMU",$C$14:$C$548)),1,(SUMIF('[1]REP PRODUCCIÓN'!$H$6:$H$1505,"*"&amp;C267&amp;"*",'[1]REP PRODUCCIÓN'!$E$6:$E$1505))))</f>
        <v/>
      </c>
      <c r="K267" s="53">
        <f t="shared" si="10"/>
        <v>0</v>
      </c>
      <c r="M267" s="54" t="str">
        <f>IFERROR(INDEX('[1]REP DISEÑO'!$BA$9:$BA$1008,MATCH('INDIC-DIS2'!C267,'[1]REP DISEÑO'!$D$9:$D$1008,0)),"")</f>
        <v/>
      </c>
      <c r="N267" s="55"/>
      <c r="O267" s="55"/>
      <c r="P267" s="55"/>
      <c r="R267" s="57" t="str">
        <f t="shared" si="11"/>
        <v/>
      </c>
    </row>
    <row r="268" spans="2:18" ht="26.25" customHeight="1" x14ac:dyDescent="0.25">
      <c r="B268" s="49">
        <f t="shared" si="9"/>
        <v>0</v>
      </c>
      <c r="C268" s="50" t="str">
        <f t="array" ref="C268">IFERROR(INDEX('[1]REP DISEÑO'!$D$9:$D$1008,SMALL(IF('[1]REP DISEÑO'!$AW$9:$AW$1008=$J$1,ROW('[1]REP DISEÑO'!$N$9:$N$1008)-ROW('[1]REP DISEÑO'!$N$9),""),ROWS(C$14:C268))+1),"")</f>
        <v/>
      </c>
      <c r="D268" s="51" t="str">
        <f>IFERROR(INDEX('[1]REP DISEÑO'!$N$9:$N$1508,MATCH(C268,'[1]REP DISEÑO'!$D$9:$D$1508,0)),"")</f>
        <v/>
      </c>
      <c r="E268" s="51" t="str">
        <f>IFERROR(INDEX('[1]REP DISEÑO'!$G$9:$G$1508,MATCH(C268,'[1]REP DISEÑO'!$D$9:$D$1508,0)),"")</f>
        <v/>
      </c>
      <c r="F268" s="51" t="str">
        <f>IFERROR(INDEX('[1]REP DISEÑO'!$I$9:$I$1508,MATCH(C268,'[1]REP DISEÑO'!$D$9:$D$1508,0)),"")</f>
        <v/>
      </c>
      <c r="G268" s="51" t="str">
        <f>IFERROR(INDEX('[1]REP DISEÑO'!$M$9:$M$1508,MATCH(C268,'[1]REP DISEÑO'!$D$9:$D$1508,0)),"")</f>
        <v/>
      </c>
      <c r="H268" s="51" t="str">
        <f>IFERROR(INDEX('[1]REP DISEÑO'!$J$9:$J$1508,MATCH(C268,'[1]REP DISEÑO'!$D$9:$D$1508,0)),"")</f>
        <v/>
      </c>
      <c r="I268" s="52" t="str">
        <f>IFERROR(INDEX('[1]REP DISEÑO'!$C$9:$C$1508,MATCH(C268,'[1]REP DISEÑO'!$D$9:$D$1508,0)),"")</f>
        <v/>
      </c>
      <c r="J268" s="53" t="str">
        <f>IF(C268="","",IF(ISNUMBER(FIND("AMU",$C$14:$C$548)),1,(SUMIF('[1]REP PRODUCCIÓN'!$H$6:$H$1505,"*"&amp;C268&amp;"*",'[1]REP PRODUCCIÓN'!$E$6:$E$1505))))</f>
        <v/>
      </c>
      <c r="K268" s="53">
        <f t="shared" si="10"/>
        <v>0</v>
      </c>
      <c r="M268" s="54" t="str">
        <f>IFERROR(INDEX('[1]REP DISEÑO'!$BA$9:$BA$1008,MATCH('INDIC-DIS2'!C268,'[1]REP DISEÑO'!$D$9:$D$1008,0)),"")</f>
        <v/>
      </c>
      <c r="N268" s="55"/>
      <c r="O268" s="55"/>
      <c r="P268" s="55"/>
      <c r="R268" s="57" t="str">
        <f t="shared" si="11"/>
        <v/>
      </c>
    </row>
    <row r="269" spans="2:18" ht="26.25" customHeight="1" x14ac:dyDescent="0.25">
      <c r="B269" s="49">
        <f t="shared" si="9"/>
        <v>0</v>
      </c>
      <c r="C269" s="50" t="str">
        <f t="array" ref="C269">IFERROR(INDEX('[1]REP DISEÑO'!$D$9:$D$1008,SMALL(IF('[1]REP DISEÑO'!$AW$9:$AW$1008=$J$1,ROW('[1]REP DISEÑO'!$N$9:$N$1008)-ROW('[1]REP DISEÑO'!$N$9),""),ROWS(C$14:C269))+1),"")</f>
        <v/>
      </c>
      <c r="D269" s="51" t="str">
        <f>IFERROR(INDEX('[1]REP DISEÑO'!$N$9:$N$1508,MATCH(C269,'[1]REP DISEÑO'!$D$9:$D$1508,0)),"")</f>
        <v/>
      </c>
      <c r="E269" s="51" t="str">
        <f>IFERROR(INDEX('[1]REP DISEÑO'!$G$9:$G$1508,MATCH(C269,'[1]REP DISEÑO'!$D$9:$D$1508,0)),"")</f>
        <v/>
      </c>
      <c r="F269" s="51" t="str">
        <f>IFERROR(INDEX('[1]REP DISEÑO'!$I$9:$I$1508,MATCH(C269,'[1]REP DISEÑO'!$D$9:$D$1508,0)),"")</f>
        <v/>
      </c>
      <c r="G269" s="51" t="str">
        <f>IFERROR(INDEX('[1]REP DISEÑO'!$M$9:$M$1508,MATCH(C269,'[1]REP DISEÑO'!$D$9:$D$1508,0)),"")</f>
        <v/>
      </c>
      <c r="H269" s="51" t="str">
        <f>IFERROR(INDEX('[1]REP DISEÑO'!$J$9:$J$1508,MATCH(C269,'[1]REP DISEÑO'!$D$9:$D$1508,0)),"")</f>
        <v/>
      </c>
      <c r="I269" s="52" t="str">
        <f>IFERROR(INDEX('[1]REP DISEÑO'!$C$9:$C$1508,MATCH(C269,'[1]REP DISEÑO'!$D$9:$D$1508,0)),"")</f>
        <v/>
      </c>
      <c r="J269" s="53" t="str">
        <f>IF(C269="","",IF(ISNUMBER(FIND("AMU",$C$14:$C$548)),1,(SUMIF('[1]REP PRODUCCIÓN'!$H$6:$H$1505,"*"&amp;C269&amp;"*",'[1]REP PRODUCCIÓN'!$E$6:$E$1505))))</f>
        <v/>
      </c>
      <c r="K269" s="53">
        <f t="shared" si="10"/>
        <v>0</v>
      </c>
      <c r="M269" s="54" t="str">
        <f>IFERROR(INDEX('[1]REP DISEÑO'!$BA$9:$BA$1008,MATCH('INDIC-DIS2'!C269,'[1]REP DISEÑO'!$D$9:$D$1008,0)),"")</f>
        <v/>
      </c>
      <c r="N269" s="55"/>
      <c r="O269" s="55"/>
      <c r="P269" s="55"/>
      <c r="R269" s="57" t="str">
        <f t="shared" si="11"/>
        <v/>
      </c>
    </row>
    <row r="270" spans="2:18" ht="26.25" customHeight="1" x14ac:dyDescent="0.25">
      <c r="B270" s="49">
        <f t="shared" si="9"/>
        <v>0</v>
      </c>
      <c r="C270" s="50" t="str">
        <f t="array" ref="C270">IFERROR(INDEX('[1]REP DISEÑO'!$D$9:$D$1008,SMALL(IF('[1]REP DISEÑO'!$AW$9:$AW$1008=$J$1,ROW('[1]REP DISEÑO'!$N$9:$N$1008)-ROW('[1]REP DISEÑO'!$N$9),""),ROWS(C$14:C270))+1),"")</f>
        <v/>
      </c>
      <c r="D270" s="51" t="str">
        <f>IFERROR(INDEX('[1]REP DISEÑO'!$N$9:$N$1508,MATCH(C270,'[1]REP DISEÑO'!$D$9:$D$1508,0)),"")</f>
        <v/>
      </c>
      <c r="E270" s="51" t="str">
        <f>IFERROR(INDEX('[1]REP DISEÑO'!$G$9:$G$1508,MATCH(C270,'[1]REP DISEÑO'!$D$9:$D$1508,0)),"")</f>
        <v/>
      </c>
      <c r="F270" s="51" t="str">
        <f>IFERROR(INDEX('[1]REP DISEÑO'!$I$9:$I$1508,MATCH(C270,'[1]REP DISEÑO'!$D$9:$D$1508,0)),"")</f>
        <v/>
      </c>
      <c r="G270" s="51" t="str">
        <f>IFERROR(INDEX('[1]REP DISEÑO'!$M$9:$M$1508,MATCH(C270,'[1]REP DISEÑO'!$D$9:$D$1508,0)),"")</f>
        <v/>
      </c>
      <c r="H270" s="51" t="str">
        <f>IFERROR(INDEX('[1]REP DISEÑO'!$J$9:$J$1508,MATCH(C270,'[1]REP DISEÑO'!$D$9:$D$1508,0)),"")</f>
        <v/>
      </c>
      <c r="I270" s="52" t="str">
        <f>IFERROR(INDEX('[1]REP DISEÑO'!$C$9:$C$1508,MATCH(C270,'[1]REP DISEÑO'!$D$9:$D$1508,0)),"")</f>
        <v/>
      </c>
      <c r="J270" s="53" t="str">
        <f>IF(C270="","",IF(ISNUMBER(FIND("AMU",$C$14:$C$548)),1,(SUMIF('[1]REP PRODUCCIÓN'!$H$6:$H$1505,"*"&amp;C270&amp;"*",'[1]REP PRODUCCIÓN'!$E$6:$E$1505))))</f>
        <v/>
      </c>
      <c r="K270" s="53">
        <f t="shared" si="10"/>
        <v>0</v>
      </c>
      <c r="M270" s="54" t="str">
        <f>IFERROR(INDEX('[1]REP DISEÑO'!$BA$9:$BA$1008,MATCH('INDIC-DIS2'!C270,'[1]REP DISEÑO'!$D$9:$D$1008,0)),"")</f>
        <v/>
      </c>
      <c r="N270" s="55"/>
      <c r="O270" s="55"/>
      <c r="P270" s="55"/>
      <c r="R270" s="57" t="str">
        <f t="shared" si="11"/>
        <v/>
      </c>
    </row>
    <row r="271" spans="2:18" ht="26.25" customHeight="1" x14ac:dyDescent="0.25">
      <c r="B271" s="49">
        <f t="shared" ref="B271:B334" si="12">IF(J271="",0,IF(OR(J271&gt;0,ISNUMBER(FIND("AMU",$C$14:$C$548))),1,0))</f>
        <v>0</v>
      </c>
      <c r="C271" s="50" t="str">
        <f t="array" ref="C271">IFERROR(INDEX('[1]REP DISEÑO'!$D$9:$D$1008,SMALL(IF('[1]REP DISEÑO'!$AW$9:$AW$1008=$J$1,ROW('[1]REP DISEÑO'!$N$9:$N$1008)-ROW('[1]REP DISEÑO'!$N$9),""),ROWS(C$14:C271))+1),"")</f>
        <v/>
      </c>
      <c r="D271" s="51" t="str">
        <f>IFERROR(INDEX('[1]REP DISEÑO'!$N$9:$N$1508,MATCH(C271,'[1]REP DISEÑO'!$D$9:$D$1508,0)),"")</f>
        <v/>
      </c>
      <c r="E271" s="51" t="str">
        <f>IFERROR(INDEX('[1]REP DISEÑO'!$G$9:$G$1508,MATCH(C271,'[1]REP DISEÑO'!$D$9:$D$1508,0)),"")</f>
        <v/>
      </c>
      <c r="F271" s="51" t="str">
        <f>IFERROR(INDEX('[1]REP DISEÑO'!$I$9:$I$1508,MATCH(C271,'[1]REP DISEÑO'!$D$9:$D$1508,0)),"")</f>
        <v/>
      </c>
      <c r="G271" s="51" t="str">
        <f>IFERROR(INDEX('[1]REP DISEÑO'!$M$9:$M$1508,MATCH(C271,'[1]REP DISEÑO'!$D$9:$D$1508,0)),"")</f>
        <v/>
      </c>
      <c r="H271" s="51" t="str">
        <f>IFERROR(INDEX('[1]REP DISEÑO'!$J$9:$J$1508,MATCH(C271,'[1]REP DISEÑO'!$D$9:$D$1508,0)),"")</f>
        <v/>
      </c>
      <c r="I271" s="52" t="str">
        <f>IFERROR(INDEX('[1]REP DISEÑO'!$C$9:$C$1508,MATCH(C271,'[1]REP DISEÑO'!$D$9:$D$1508,0)),"")</f>
        <v/>
      </c>
      <c r="J271" s="53" t="str">
        <f>IF(C271="","",IF(ISNUMBER(FIND("AMU",$C$14:$C$548)),1,(SUMIF('[1]REP PRODUCCIÓN'!$H$6:$H$1505,"*"&amp;C271&amp;"*",'[1]REP PRODUCCIÓN'!$E$6:$E$1505))))</f>
        <v/>
      </c>
      <c r="K271" s="53">
        <f t="shared" ref="K271:K334" si="13">IF(B271=1,"OK",0)</f>
        <v>0</v>
      </c>
      <c r="M271" s="54" t="str">
        <f>IFERROR(INDEX('[1]REP DISEÑO'!$BA$9:$BA$1008,MATCH('INDIC-DIS2'!C271,'[1]REP DISEÑO'!$D$9:$D$1008,0)),"")</f>
        <v/>
      </c>
      <c r="N271" s="55"/>
      <c r="O271" s="55"/>
      <c r="P271" s="55"/>
      <c r="R271" s="57" t="str">
        <f t="shared" ref="R271:R334" si="14">IF(M271="","",1)</f>
        <v/>
      </c>
    </row>
    <row r="272" spans="2:18" ht="26.25" customHeight="1" x14ac:dyDescent="0.25">
      <c r="B272" s="49">
        <f t="shared" si="12"/>
        <v>0</v>
      </c>
      <c r="C272" s="50" t="str">
        <f t="array" ref="C272">IFERROR(INDEX('[1]REP DISEÑO'!$D$9:$D$1008,SMALL(IF('[1]REP DISEÑO'!$AW$9:$AW$1008=$J$1,ROW('[1]REP DISEÑO'!$N$9:$N$1008)-ROW('[1]REP DISEÑO'!$N$9),""),ROWS(C$14:C272))+1),"")</f>
        <v/>
      </c>
      <c r="D272" s="51" t="str">
        <f>IFERROR(INDEX('[1]REP DISEÑO'!$N$9:$N$1508,MATCH(C272,'[1]REP DISEÑO'!$D$9:$D$1508,0)),"")</f>
        <v/>
      </c>
      <c r="E272" s="51" t="str">
        <f>IFERROR(INDEX('[1]REP DISEÑO'!$G$9:$G$1508,MATCH(C272,'[1]REP DISEÑO'!$D$9:$D$1508,0)),"")</f>
        <v/>
      </c>
      <c r="F272" s="51" t="str">
        <f>IFERROR(INDEX('[1]REP DISEÑO'!$I$9:$I$1508,MATCH(C272,'[1]REP DISEÑO'!$D$9:$D$1508,0)),"")</f>
        <v/>
      </c>
      <c r="G272" s="51" t="str">
        <f>IFERROR(INDEX('[1]REP DISEÑO'!$M$9:$M$1508,MATCH(C272,'[1]REP DISEÑO'!$D$9:$D$1508,0)),"")</f>
        <v/>
      </c>
      <c r="H272" s="51" t="str">
        <f>IFERROR(INDEX('[1]REP DISEÑO'!$J$9:$J$1508,MATCH(C272,'[1]REP DISEÑO'!$D$9:$D$1508,0)),"")</f>
        <v/>
      </c>
      <c r="I272" s="52" t="str">
        <f>IFERROR(INDEX('[1]REP DISEÑO'!$C$9:$C$1508,MATCH(C272,'[1]REP DISEÑO'!$D$9:$D$1508,0)),"")</f>
        <v/>
      </c>
      <c r="J272" s="53" t="str">
        <f>IF(C272="","",IF(ISNUMBER(FIND("AMU",$C$14:$C$548)),1,(SUMIF('[1]REP PRODUCCIÓN'!$H$6:$H$1505,"*"&amp;C272&amp;"*",'[1]REP PRODUCCIÓN'!$E$6:$E$1505))))</f>
        <v/>
      </c>
      <c r="K272" s="53">
        <f t="shared" si="13"/>
        <v>0</v>
      </c>
      <c r="M272" s="54" t="str">
        <f>IFERROR(INDEX('[1]REP DISEÑO'!$BA$9:$BA$1008,MATCH('INDIC-DIS2'!C272,'[1]REP DISEÑO'!$D$9:$D$1008,0)),"")</f>
        <v/>
      </c>
      <c r="N272" s="55"/>
      <c r="O272" s="55"/>
      <c r="P272" s="55"/>
      <c r="R272" s="57" t="str">
        <f t="shared" si="14"/>
        <v/>
      </c>
    </row>
    <row r="273" spans="2:18" ht="26.25" customHeight="1" x14ac:dyDescent="0.25">
      <c r="B273" s="49">
        <f t="shared" si="12"/>
        <v>0</v>
      </c>
      <c r="C273" s="50" t="str">
        <f t="array" ref="C273">IFERROR(INDEX('[1]REP DISEÑO'!$D$9:$D$1008,SMALL(IF('[1]REP DISEÑO'!$AW$9:$AW$1008=$J$1,ROW('[1]REP DISEÑO'!$N$9:$N$1008)-ROW('[1]REP DISEÑO'!$N$9),""),ROWS(C$14:C273))+1),"")</f>
        <v/>
      </c>
      <c r="D273" s="51" t="str">
        <f>IFERROR(INDEX('[1]REP DISEÑO'!$N$9:$N$1508,MATCH(C273,'[1]REP DISEÑO'!$D$9:$D$1508,0)),"")</f>
        <v/>
      </c>
      <c r="E273" s="51" t="str">
        <f>IFERROR(INDEX('[1]REP DISEÑO'!$G$9:$G$1508,MATCH(C273,'[1]REP DISEÑO'!$D$9:$D$1508,0)),"")</f>
        <v/>
      </c>
      <c r="F273" s="51" t="str">
        <f>IFERROR(INDEX('[1]REP DISEÑO'!$I$9:$I$1508,MATCH(C273,'[1]REP DISEÑO'!$D$9:$D$1508,0)),"")</f>
        <v/>
      </c>
      <c r="G273" s="51" t="str">
        <f>IFERROR(INDEX('[1]REP DISEÑO'!$M$9:$M$1508,MATCH(C273,'[1]REP DISEÑO'!$D$9:$D$1508,0)),"")</f>
        <v/>
      </c>
      <c r="H273" s="51" t="str">
        <f>IFERROR(INDEX('[1]REP DISEÑO'!$J$9:$J$1508,MATCH(C273,'[1]REP DISEÑO'!$D$9:$D$1508,0)),"")</f>
        <v/>
      </c>
      <c r="I273" s="52" t="str">
        <f>IFERROR(INDEX('[1]REP DISEÑO'!$C$9:$C$1508,MATCH(C273,'[1]REP DISEÑO'!$D$9:$D$1508,0)),"")</f>
        <v/>
      </c>
      <c r="J273" s="53" t="str">
        <f>IF(C273="","",IF(ISNUMBER(FIND("AMU",$C$14:$C$548)),1,(SUMIF('[1]REP PRODUCCIÓN'!$H$6:$H$1505,"*"&amp;C273&amp;"*",'[1]REP PRODUCCIÓN'!$E$6:$E$1505))))</f>
        <v/>
      </c>
      <c r="K273" s="53">
        <f t="shared" si="13"/>
        <v>0</v>
      </c>
      <c r="M273" s="54" t="str">
        <f>IFERROR(INDEX('[1]REP DISEÑO'!$BA$9:$BA$1008,MATCH('INDIC-DIS2'!C273,'[1]REP DISEÑO'!$D$9:$D$1008,0)),"")</f>
        <v/>
      </c>
      <c r="N273" s="55"/>
      <c r="O273" s="55"/>
      <c r="P273" s="55"/>
      <c r="R273" s="57" t="str">
        <f t="shared" si="14"/>
        <v/>
      </c>
    </row>
    <row r="274" spans="2:18" ht="26.25" customHeight="1" x14ac:dyDescent="0.25">
      <c r="B274" s="49">
        <f t="shared" si="12"/>
        <v>0</v>
      </c>
      <c r="C274" s="50" t="str">
        <f t="array" ref="C274">IFERROR(INDEX('[1]REP DISEÑO'!$D$9:$D$1008,SMALL(IF('[1]REP DISEÑO'!$AW$9:$AW$1008=$J$1,ROW('[1]REP DISEÑO'!$N$9:$N$1008)-ROW('[1]REP DISEÑO'!$N$9),""),ROWS(C$14:C274))+1),"")</f>
        <v/>
      </c>
      <c r="D274" s="51" t="str">
        <f>IFERROR(INDEX('[1]REP DISEÑO'!$N$9:$N$1508,MATCH(C274,'[1]REP DISEÑO'!$D$9:$D$1508,0)),"")</f>
        <v/>
      </c>
      <c r="E274" s="51" t="str">
        <f>IFERROR(INDEX('[1]REP DISEÑO'!$G$9:$G$1508,MATCH(C274,'[1]REP DISEÑO'!$D$9:$D$1508,0)),"")</f>
        <v/>
      </c>
      <c r="F274" s="51" t="str">
        <f>IFERROR(INDEX('[1]REP DISEÑO'!$I$9:$I$1508,MATCH(C274,'[1]REP DISEÑO'!$D$9:$D$1508,0)),"")</f>
        <v/>
      </c>
      <c r="G274" s="51" t="str">
        <f>IFERROR(INDEX('[1]REP DISEÑO'!$M$9:$M$1508,MATCH(C274,'[1]REP DISEÑO'!$D$9:$D$1508,0)),"")</f>
        <v/>
      </c>
      <c r="H274" s="51" t="str">
        <f>IFERROR(INDEX('[1]REP DISEÑO'!$J$9:$J$1508,MATCH(C274,'[1]REP DISEÑO'!$D$9:$D$1508,0)),"")</f>
        <v/>
      </c>
      <c r="I274" s="52" t="str">
        <f>IFERROR(INDEX('[1]REP DISEÑO'!$C$9:$C$1508,MATCH(C274,'[1]REP DISEÑO'!$D$9:$D$1508,0)),"")</f>
        <v/>
      </c>
      <c r="J274" s="53" t="str">
        <f>IF(C274="","",IF(ISNUMBER(FIND("AMU",$C$14:$C$548)),1,(SUMIF('[1]REP PRODUCCIÓN'!$H$6:$H$1505,"*"&amp;C274&amp;"*",'[1]REP PRODUCCIÓN'!$E$6:$E$1505))))</f>
        <v/>
      </c>
      <c r="K274" s="53">
        <f t="shared" si="13"/>
        <v>0</v>
      </c>
      <c r="M274" s="54" t="str">
        <f>IFERROR(INDEX('[1]REP DISEÑO'!$BA$9:$BA$1008,MATCH('INDIC-DIS2'!C274,'[1]REP DISEÑO'!$D$9:$D$1008,0)),"")</f>
        <v/>
      </c>
      <c r="N274" s="55"/>
      <c r="O274" s="55"/>
      <c r="P274" s="55"/>
      <c r="R274" s="57" t="str">
        <f t="shared" si="14"/>
        <v/>
      </c>
    </row>
    <row r="275" spans="2:18" ht="26.25" customHeight="1" x14ac:dyDescent="0.25">
      <c r="B275" s="49">
        <f t="shared" si="12"/>
        <v>0</v>
      </c>
      <c r="C275" s="50" t="str">
        <f t="array" ref="C275">IFERROR(INDEX('[1]REP DISEÑO'!$D$9:$D$1008,SMALL(IF('[1]REP DISEÑO'!$AW$9:$AW$1008=$J$1,ROW('[1]REP DISEÑO'!$N$9:$N$1008)-ROW('[1]REP DISEÑO'!$N$9),""),ROWS(C$14:C275))+1),"")</f>
        <v/>
      </c>
      <c r="D275" s="51" t="str">
        <f>IFERROR(INDEX('[1]REP DISEÑO'!$N$9:$N$1508,MATCH(C275,'[1]REP DISEÑO'!$D$9:$D$1508,0)),"")</f>
        <v/>
      </c>
      <c r="E275" s="51" t="str">
        <f>IFERROR(INDEX('[1]REP DISEÑO'!$G$9:$G$1508,MATCH(C275,'[1]REP DISEÑO'!$D$9:$D$1508,0)),"")</f>
        <v/>
      </c>
      <c r="F275" s="51" t="str">
        <f>IFERROR(INDEX('[1]REP DISEÑO'!$I$9:$I$1508,MATCH(C275,'[1]REP DISEÑO'!$D$9:$D$1508,0)),"")</f>
        <v/>
      </c>
      <c r="G275" s="51" t="str">
        <f>IFERROR(INDEX('[1]REP DISEÑO'!$M$9:$M$1508,MATCH(C275,'[1]REP DISEÑO'!$D$9:$D$1508,0)),"")</f>
        <v/>
      </c>
      <c r="H275" s="51" t="str">
        <f>IFERROR(INDEX('[1]REP DISEÑO'!$J$9:$J$1508,MATCH(C275,'[1]REP DISEÑO'!$D$9:$D$1508,0)),"")</f>
        <v/>
      </c>
      <c r="I275" s="52" t="str">
        <f>IFERROR(INDEX('[1]REP DISEÑO'!$C$9:$C$1508,MATCH(C275,'[1]REP DISEÑO'!$D$9:$D$1508,0)),"")</f>
        <v/>
      </c>
      <c r="J275" s="53" t="str">
        <f>IF(C275="","",IF(ISNUMBER(FIND("AMU",$C$14:$C$548)),1,(SUMIF('[1]REP PRODUCCIÓN'!$H$6:$H$1505,"*"&amp;C275&amp;"*",'[1]REP PRODUCCIÓN'!$E$6:$E$1505))))</f>
        <v/>
      </c>
      <c r="K275" s="53">
        <f t="shared" si="13"/>
        <v>0</v>
      </c>
      <c r="M275" s="54" t="str">
        <f>IFERROR(INDEX('[1]REP DISEÑO'!$BA$9:$BA$1008,MATCH('INDIC-DIS2'!C275,'[1]REP DISEÑO'!$D$9:$D$1008,0)),"")</f>
        <v/>
      </c>
      <c r="N275" s="55"/>
      <c r="O275" s="55"/>
      <c r="P275" s="55"/>
      <c r="R275" s="57" t="str">
        <f t="shared" si="14"/>
        <v/>
      </c>
    </row>
    <row r="276" spans="2:18" ht="26.25" customHeight="1" x14ac:dyDescent="0.25">
      <c r="B276" s="49">
        <f t="shared" si="12"/>
        <v>0</v>
      </c>
      <c r="C276" s="50" t="str">
        <f t="array" ref="C276">IFERROR(INDEX('[1]REP DISEÑO'!$D$9:$D$1008,SMALL(IF('[1]REP DISEÑO'!$AW$9:$AW$1008=$J$1,ROW('[1]REP DISEÑO'!$N$9:$N$1008)-ROW('[1]REP DISEÑO'!$N$9),""),ROWS(C$14:C276))+1),"")</f>
        <v/>
      </c>
      <c r="D276" s="51" t="str">
        <f>IFERROR(INDEX('[1]REP DISEÑO'!$N$9:$N$1508,MATCH(C276,'[1]REP DISEÑO'!$D$9:$D$1508,0)),"")</f>
        <v/>
      </c>
      <c r="E276" s="51" t="str">
        <f>IFERROR(INDEX('[1]REP DISEÑO'!$G$9:$G$1508,MATCH(C276,'[1]REP DISEÑO'!$D$9:$D$1508,0)),"")</f>
        <v/>
      </c>
      <c r="F276" s="51" t="str">
        <f>IFERROR(INDEX('[1]REP DISEÑO'!$I$9:$I$1508,MATCH(C276,'[1]REP DISEÑO'!$D$9:$D$1508,0)),"")</f>
        <v/>
      </c>
      <c r="G276" s="51" t="str">
        <f>IFERROR(INDEX('[1]REP DISEÑO'!$M$9:$M$1508,MATCH(C276,'[1]REP DISEÑO'!$D$9:$D$1508,0)),"")</f>
        <v/>
      </c>
      <c r="H276" s="51" t="str">
        <f>IFERROR(INDEX('[1]REP DISEÑO'!$J$9:$J$1508,MATCH(C276,'[1]REP DISEÑO'!$D$9:$D$1508,0)),"")</f>
        <v/>
      </c>
      <c r="I276" s="52" t="str">
        <f>IFERROR(INDEX('[1]REP DISEÑO'!$C$9:$C$1508,MATCH(C276,'[1]REP DISEÑO'!$D$9:$D$1508,0)),"")</f>
        <v/>
      </c>
      <c r="J276" s="53" t="str">
        <f>IF(C276="","",IF(ISNUMBER(FIND("AMU",$C$14:$C$548)),1,(SUMIF('[1]REP PRODUCCIÓN'!$H$6:$H$1505,"*"&amp;C276&amp;"*",'[1]REP PRODUCCIÓN'!$E$6:$E$1505))))</f>
        <v/>
      </c>
      <c r="K276" s="53">
        <f t="shared" si="13"/>
        <v>0</v>
      </c>
      <c r="M276" s="54" t="str">
        <f>IFERROR(INDEX('[1]REP DISEÑO'!$BA$9:$BA$1008,MATCH('INDIC-DIS2'!C276,'[1]REP DISEÑO'!$D$9:$D$1008,0)),"")</f>
        <v/>
      </c>
      <c r="N276" s="55"/>
      <c r="O276" s="55"/>
      <c r="P276" s="55"/>
      <c r="R276" s="57" t="str">
        <f t="shared" si="14"/>
        <v/>
      </c>
    </row>
    <row r="277" spans="2:18" ht="26.25" customHeight="1" x14ac:dyDescent="0.25">
      <c r="B277" s="49">
        <f t="shared" si="12"/>
        <v>0</v>
      </c>
      <c r="C277" s="50" t="str">
        <f t="array" ref="C277">IFERROR(INDEX('[1]REP DISEÑO'!$D$9:$D$1008,SMALL(IF('[1]REP DISEÑO'!$AW$9:$AW$1008=$J$1,ROW('[1]REP DISEÑO'!$N$9:$N$1008)-ROW('[1]REP DISEÑO'!$N$9),""),ROWS(C$14:C277))+1),"")</f>
        <v/>
      </c>
      <c r="D277" s="51" t="str">
        <f>IFERROR(INDEX('[1]REP DISEÑO'!$N$9:$N$1508,MATCH(C277,'[1]REP DISEÑO'!$D$9:$D$1508,0)),"")</f>
        <v/>
      </c>
      <c r="E277" s="51" t="str">
        <f>IFERROR(INDEX('[1]REP DISEÑO'!$G$9:$G$1508,MATCH(C277,'[1]REP DISEÑO'!$D$9:$D$1508,0)),"")</f>
        <v/>
      </c>
      <c r="F277" s="51" t="str">
        <f>IFERROR(INDEX('[1]REP DISEÑO'!$I$9:$I$1508,MATCH(C277,'[1]REP DISEÑO'!$D$9:$D$1508,0)),"")</f>
        <v/>
      </c>
      <c r="G277" s="51" t="str">
        <f>IFERROR(INDEX('[1]REP DISEÑO'!$M$9:$M$1508,MATCH(C277,'[1]REP DISEÑO'!$D$9:$D$1508,0)),"")</f>
        <v/>
      </c>
      <c r="H277" s="51" t="str">
        <f>IFERROR(INDEX('[1]REP DISEÑO'!$J$9:$J$1508,MATCH(C277,'[1]REP DISEÑO'!$D$9:$D$1508,0)),"")</f>
        <v/>
      </c>
      <c r="I277" s="52" t="str">
        <f>IFERROR(INDEX('[1]REP DISEÑO'!$C$9:$C$1508,MATCH(C277,'[1]REP DISEÑO'!$D$9:$D$1508,0)),"")</f>
        <v/>
      </c>
      <c r="J277" s="53" t="str">
        <f>IF(C277="","",IF(ISNUMBER(FIND("AMU",$C$14:$C$548)),1,(SUMIF('[1]REP PRODUCCIÓN'!$H$6:$H$1505,"*"&amp;C277&amp;"*",'[1]REP PRODUCCIÓN'!$E$6:$E$1505))))</f>
        <v/>
      </c>
      <c r="K277" s="53">
        <f t="shared" si="13"/>
        <v>0</v>
      </c>
      <c r="M277" s="54" t="str">
        <f>IFERROR(INDEX('[1]REP DISEÑO'!$BA$9:$BA$1008,MATCH('INDIC-DIS2'!C277,'[1]REP DISEÑO'!$D$9:$D$1008,0)),"")</f>
        <v/>
      </c>
      <c r="N277" s="55"/>
      <c r="O277" s="55"/>
      <c r="P277" s="55"/>
      <c r="R277" s="57" t="str">
        <f t="shared" si="14"/>
        <v/>
      </c>
    </row>
    <row r="278" spans="2:18" ht="26.25" customHeight="1" x14ac:dyDescent="0.25">
      <c r="B278" s="49">
        <f t="shared" si="12"/>
        <v>0</v>
      </c>
      <c r="C278" s="50" t="str">
        <f t="array" ref="C278">IFERROR(INDEX('[1]REP DISEÑO'!$D$9:$D$1008,SMALL(IF('[1]REP DISEÑO'!$AW$9:$AW$1008=$J$1,ROW('[1]REP DISEÑO'!$N$9:$N$1008)-ROW('[1]REP DISEÑO'!$N$9),""),ROWS(C$14:C278))+1),"")</f>
        <v/>
      </c>
      <c r="D278" s="51" t="str">
        <f>IFERROR(INDEX('[1]REP DISEÑO'!$N$9:$N$1508,MATCH(C278,'[1]REP DISEÑO'!$D$9:$D$1508,0)),"")</f>
        <v/>
      </c>
      <c r="E278" s="51" t="str">
        <f>IFERROR(INDEX('[1]REP DISEÑO'!$G$9:$G$1508,MATCH(C278,'[1]REP DISEÑO'!$D$9:$D$1508,0)),"")</f>
        <v/>
      </c>
      <c r="F278" s="51" t="str">
        <f>IFERROR(INDEX('[1]REP DISEÑO'!$I$9:$I$1508,MATCH(C278,'[1]REP DISEÑO'!$D$9:$D$1508,0)),"")</f>
        <v/>
      </c>
      <c r="G278" s="51" t="str">
        <f>IFERROR(INDEX('[1]REP DISEÑO'!$M$9:$M$1508,MATCH(C278,'[1]REP DISEÑO'!$D$9:$D$1508,0)),"")</f>
        <v/>
      </c>
      <c r="H278" s="51" t="str">
        <f>IFERROR(INDEX('[1]REP DISEÑO'!$J$9:$J$1508,MATCH(C278,'[1]REP DISEÑO'!$D$9:$D$1508,0)),"")</f>
        <v/>
      </c>
      <c r="I278" s="52" t="str">
        <f>IFERROR(INDEX('[1]REP DISEÑO'!$C$9:$C$1508,MATCH(C278,'[1]REP DISEÑO'!$D$9:$D$1508,0)),"")</f>
        <v/>
      </c>
      <c r="J278" s="53" t="str">
        <f>IF(C278="","",IF(ISNUMBER(FIND("AMU",$C$14:$C$548)),1,(SUMIF('[1]REP PRODUCCIÓN'!$H$6:$H$1505,"*"&amp;C278&amp;"*",'[1]REP PRODUCCIÓN'!$E$6:$E$1505))))</f>
        <v/>
      </c>
      <c r="K278" s="53">
        <f t="shared" si="13"/>
        <v>0</v>
      </c>
      <c r="M278" s="54" t="str">
        <f>IFERROR(INDEX('[1]REP DISEÑO'!$BA$9:$BA$1008,MATCH('INDIC-DIS2'!C278,'[1]REP DISEÑO'!$D$9:$D$1008,0)),"")</f>
        <v/>
      </c>
      <c r="N278" s="55"/>
      <c r="O278" s="55"/>
      <c r="P278" s="55"/>
      <c r="R278" s="57" t="str">
        <f t="shared" si="14"/>
        <v/>
      </c>
    </row>
    <row r="279" spans="2:18" ht="26.25" customHeight="1" x14ac:dyDescent="0.25">
      <c r="B279" s="49">
        <f t="shared" si="12"/>
        <v>0</v>
      </c>
      <c r="C279" s="50" t="str">
        <f t="array" ref="C279">IFERROR(INDEX('[1]REP DISEÑO'!$D$9:$D$1008,SMALL(IF('[1]REP DISEÑO'!$AW$9:$AW$1008=$J$1,ROW('[1]REP DISEÑO'!$N$9:$N$1008)-ROW('[1]REP DISEÑO'!$N$9),""),ROWS(C$14:C279))+1),"")</f>
        <v/>
      </c>
      <c r="D279" s="51" t="str">
        <f>IFERROR(INDEX('[1]REP DISEÑO'!$N$9:$N$1508,MATCH(C279,'[1]REP DISEÑO'!$D$9:$D$1508,0)),"")</f>
        <v/>
      </c>
      <c r="E279" s="51" t="str">
        <f>IFERROR(INDEX('[1]REP DISEÑO'!$G$9:$G$1508,MATCH(C279,'[1]REP DISEÑO'!$D$9:$D$1508,0)),"")</f>
        <v/>
      </c>
      <c r="F279" s="51" t="str">
        <f>IFERROR(INDEX('[1]REP DISEÑO'!$I$9:$I$1508,MATCH(C279,'[1]REP DISEÑO'!$D$9:$D$1508,0)),"")</f>
        <v/>
      </c>
      <c r="G279" s="51" t="str">
        <f>IFERROR(INDEX('[1]REP DISEÑO'!$M$9:$M$1508,MATCH(C279,'[1]REP DISEÑO'!$D$9:$D$1508,0)),"")</f>
        <v/>
      </c>
      <c r="H279" s="51" t="str">
        <f>IFERROR(INDEX('[1]REP DISEÑO'!$J$9:$J$1508,MATCH(C279,'[1]REP DISEÑO'!$D$9:$D$1508,0)),"")</f>
        <v/>
      </c>
      <c r="I279" s="52" t="str">
        <f>IFERROR(INDEX('[1]REP DISEÑO'!$C$9:$C$1508,MATCH(C279,'[1]REP DISEÑO'!$D$9:$D$1508,0)),"")</f>
        <v/>
      </c>
      <c r="J279" s="53" t="str">
        <f>IF(C279="","",IF(ISNUMBER(FIND("AMU",$C$14:$C$548)),1,(SUMIF('[1]REP PRODUCCIÓN'!$H$6:$H$1505,"*"&amp;C279&amp;"*",'[1]REP PRODUCCIÓN'!$E$6:$E$1505))))</f>
        <v/>
      </c>
      <c r="K279" s="53">
        <f t="shared" si="13"/>
        <v>0</v>
      </c>
      <c r="M279" s="54" t="str">
        <f>IFERROR(INDEX('[1]REP DISEÑO'!$BA$9:$BA$1008,MATCH('INDIC-DIS2'!C279,'[1]REP DISEÑO'!$D$9:$D$1008,0)),"")</f>
        <v/>
      </c>
      <c r="N279" s="55"/>
      <c r="O279" s="55"/>
      <c r="P279" s="55"/>
      <c r="R279" s="57" t="str">
        <f t="shared" si="14"/>
        <v/>
      </c>
    </row>
    <row r="280" spans="2:18" ht="26.25" customHeight="1" x14ac:dyDescent="0.25">
      <c r="B280" s="49">
        <f t="shared" si="12"/>
        <v>0</v>
      </c>
      <c r="C280" s="50" t="str">
        <f t="array" ref="C280">IFERROR(INDEX('[1]REP DISEÑO'!$D$9:$D$1008,SMALL(IF('[1]REP DISEÑO'!$AW$9:$AW$1008=$J$1,ROW('[1]REP DISEÑO'!$N$9:$N$1008)-ROW('[1]REP DISEÑO'!$N$9),""),ROWS(C$14:C280))+1),"")</f>
        <v/>
      </c>
      <c r="D280" s="51" t="str">
        <f>IFERROR(INDEX('[1]REP DISEÑO'!$N$9:$N$1508,MATCH(C280,'[1]REP DISEÑO'!$D$9:$D$1508,0)),"")</f>
        <v/>
      </c>
      <c r="E280" s="51" t="str">
        <f>IFERROR(INDEX('[1]REP DISEÑO'!$G$9:$G$1508,MATCH(C280,'[1]REP DISEÑO'!$D$9:$D$1508,0)),"")</f>
        <v/>
      </c>
      <c r="F280" s="51" t="str">
        <f>IFERROR(INDEX('[1]REP DISEÑO'!$I$9:$I$1508,MATCH(C280,'[1]REP DISEÑO'!$D$9:$D$1508,0)),"")</f>
        <v/>
      </c>
      <c r="G280" s="51" t="str">
        <f>IFERROR(INDEX('[1]REP DISEÑO'!$M$9:$M$1508,MATCH(C280,'[1]REP DISEÑO'!$D$9:$D$1508,0)),"")</f>
        <v/>
      </c>
      <c r="H280" s="51" t="str">
        <f>IFERROR(INDEX('[1]REP DISEÑO'!$J$9:$J$1508,MATCH(C280,'[1]REP DISEÑO'!$D$9:$D$1508,0)),"")</f>
        <v/>
      </c>
      <c r="I280" s="52" t="str">
        <f>IFERROR(INDEX('[1]REP DISEÑO'!$C$9:$C$1508,MATCH(C280,'[1]REP DISEÑO'!$D$9:$D$1508,0)),"")</f>
        <v/>
      </c>
      <c r="J280" s="53" t="str">
        <f>IF(C280="","",IF(ISNUMBER(FIND("AMU",$C$14:$C$548)),1,(SUMIF('[1]REP PRODUCCIÓN'!$H$6:$H$1505,"*"&amp;C280&amp;"*",'[1]REP PRODUCCIÓN'!$E$6:$E$1505))))</f>
        <v/>
      </c>
      <c r="K280" s="53">
        <f t="shared" si="13"/>
        <v>0</v>
      </c>
      <c r="M280" s="54" t="str">
        <f>IFERROR(INDEX('[1]REP DISEÑO'!$BA$9:$BA$1008,MATCH('INDIC-DIS2'!C280,'[1]REP DISEÑO'!$D$9:$D$1008,0)),"")</f>
        <v/>
      </c>
      <c r="N280" s="55"/>
      <c r="O280" s="55"/>
      <c r="P280" s="55"/>
      <c r="R280" s="57" t="str">
        <f t="shared" si="14"/>
        <v/>
      </c>
    </row>
    <row r="281" spans="2:18" ht="26.25" customHeight="1" x14ac:dyDescent="0.25">
      <c r="B281" s="49">
        <f t="shared" si="12"/>
        <v>0</v>
      </c>
      <c r="C281" s="50" t="str">
        <f t="array" ref="C281">IFERROR(INDEX('[1]REP DISEÑO'!$D$9:$D$1008,SMALL(IF('[1]REP DISEÑO'!$AW$9:$AW$1008=$J$1,ROW('[1]REP DISEÑO'!$N$9:$N$1008)-ROW('[1]REP DISEÑO'!$N$9),""),ROWS(C$14:C281))+1),"")</f>
        <v/>
      </c>
      <c r="D281" s="51" t="str">
        <f>IFERROR(INDEX('[1]REP DISEÑO'!$N$9:$N$1508,MATCH(C281,'[1]REP DISEÑO'!$D$9:$D$1508,0)),"")</f>
        <v/>
      </c>
      <c r="E281" s="51" t="str">
        <f>IFERROR(INDEX('[1]REP DISEÑO'!$G$9:$G$1508,MATCH(C281,'[1]REP DISEÑO'!$D$9:$D$1508,0)),"")</f>
        <v/>
      </c>
      <c r="F281" s="51" t="str">
        <f>IFERROR(INDEX('[1]REP DISEÑO'!$I$9:$I$1508,MATCH(C281,'[1]REP DISEÑO'!$D$9:$D$1508,0)),"")</f>
        <v/>
      </c>
      <c r="G281" s="51" t="str">
        <f>IFERROR(INDEX('[1]REP DISEÑO'!$M$9:$M$1508,MATCH(C281,'[1]REP DISEÑO'!$D$9:$D$1508,0)),"")</f>
        <v/>
      </c>
      <c r="H281" s="51" t="str">
        <f>IFERROR(INDEX('[1]REP DISEÑO'!$J$9:$J$1508,MATCH(C281,'[1]REP DISEÑO'!$D$9:$D$1508,0)),"")</f>
        <v/>
      </c>
      <c r="I281" s="52" t="str">
        <f>IFERROR(INDEX('[1]REP DISEÑO'!$C$9:$C$1508,MATCH(C281,'[1]REP DISEÑO'!$D$9:$D$1508,0)),"")</f>
        <v/>
      </c>
      <c r="J281" s="53" t="str">
        <f>IF(C281="","",IF(ISNUMBER(FIND("AMU",$C$14:$C$548)),1,(SUMIF('[1]REP PRODUCCIÓN'!$H$6:$H$1505,"*"&amp;C281&amp;"*",'[1]REP PRODUCCIÓN'!$E$6:$E$1505))))</f>
        <v/>
      </c>
      <c r="K281" s="53">
        <f t="shared" si="13"/>
        <v>0</v>
      </c>
      <c r="M281" s="54" t="str">
        <f>IFERROR(INDEX('[1]REP DISEÑO'!$BA$9:$BA$1008,MATCH('INDIC-DIS2'!C281,'[1]REP DISEÑO'!$D$9:$D$1008,0)),"")</f>
        <v/>
      </c>
      <c r="N281" s="55"/>
      <c r="O281" s="55"/>
      <c r="P281" s="55"/>
      <c r="R281" s="57" t="str">
        <f t="shared" si="14"/>
        <v/>
      </c>
    </row>
    <row r="282" spans="2:18" ht="26.25" customHeight="1" x14ac:dyDescent="0.25">
      <c r="B282" s="49">
        <f t="shared" si="12"/>
        <v>0</v>
      </c>
      <c r="C282" s="50" t="str">
        <f t="array" ref="C282">IFERROR(INDEX('[1]REP DISEÑO'!$D$9:$D$1008,SMALL(IF('[1]REP DISEÑO'!$AW$9:$AW$1008=$J$1,ROW('[1]REP DISEÑO'!$N$9:$N$1008)-ROW('[1]REP DISEÑO'!$N$9),""),ROWS(C$14:C282))+1),"")</f>
        <v/>
      </c>
      <c r="D282" s="51" t="str">
        <f>IFERROR(INDEX('[1]REP DISEÑO'!$N$9:$N$1508,MATCH(C282,'[1]REP DISEÑO'!$D$9:$D$1508,0)),"")</f>
        <v/>
      </c>
      <c r="E282" s="51" t="str">
        <f>IFERROR(INDEX('[1]REP DISEÑO'!$G$9:$G$1508,MATCH(C282,'[1]REP DISEÑO'!$D$9:$D$1508,0)),"")</f>
        <v/>
      </c>
      <c r="F282" s="51" t="str">
        <f>IFERROR(INDEX('[1]REP DISEÑO'!$I$9:$I$1508,MATCH(C282,'[1]REP DISEÑO'!$D$9:$D$1508,0)),"")</f>
        <v/>
      </c>
      <c r="G282" s="51" t="str">
        <f>IFERROR(INDEX('[1]REP DISEÑO'!$M$9:$M$1508,MATCH(C282,'[1]REP DISEÑO'!$D$9:$D$1508,0)),"")</f>
        <v/>
      </c>
      <c r="H282" s="51" t="str">
        <f>IFERROR(INDEX('[1]REP DISEÑO'!$J$9:$J$1508,MATCH(C282,'[1]REP DISEÑO'!$D$9:$D$1508,0)),"")</f>
        <v/>
      </c>
      <c r="I282" s="52" t="str">
        <f>IFERROR(INDEX('[1]REP DISEÑO'!$C$9:$C$1508,MATCH(C282,'[1]REP DISEÑO'!$D$9:$D$1508,0)),"")</f>
        <v/>
      </c>
      <c r="J282" s="53" t="str">
        <f>IF(C282="","",IF(ISNUMBER(FIND("AMU",$C$14:$C$548)),1,(SUMIF('[1]REP PRODUCCIÓN'!$H$6:$H$1505,"*"&amp;C282&amp;"*",'[1]REP PRODUCCIÓN'!$E$6:$E$1505))))</f>
        <v/>
      </c>
      <c r="K282" s="53">
        <f t="shared" si="13"/>
        <v>0</v>
      </c>
      <c r="M282" s="54" t="str">
        <f>IFERROR(INDEX('[1]REP DISEÑO'!$BA$9:$BA$1008,MATCH('INDIC-DIS2'!C282,'[1]REP DISEÑO'!$D$9:$D$1008,0)),"")</f>
        <v/>
      </c>
      <c r="N282" s="55"/>
      <c r="O282" s="55"/>
      <c r="P282" s="55"/>
      <c r="R282" s="57" t="str">
        <f t="shared" si="14"/>
        <v/>
      </c>
    </row>
    <row r="283" spans="2:18" ht="26.25" customHeight="1" x14ac:dyDescent="0.25">
      <c r="B283" s="49">
        <f t="shared" si="12"/>
        <v>0</v>
      </c>
      <c r="C283" s="50" t="str">
        <f t="array" ref="C283">IFERROR(INDEX('[1]REP DISEÑO'!$D$9:$D$1008,SMALL(IF('[1]REP DISEÑO'!$AW$9:$AW$1008=$J$1,ROW('[1]REP DISEÑO'!$N$9:$N$1008)-ROW('[1]REP DISEÑO'!$N$9),""),ROWS(C$14:C283))+1),"")</f>
        <v/>
      </c>
      <c r="D283" s="51" t="str">
        <f>IFERROR(INDEX('[1]REP DISEÑO'!$N$9:$N$1508,MATCH(C283,'[1]REP DISEÑO'!$D$9:$D$1508,0)),"")</f>
        <v/>
      </c>
      <c r="E283" s="51" t="str">
        <f>IFERROR(INDEX('[1]REP DISEÑO'!$G$9:$G$1508,MATCH(C283,'[1]REP DISEÑO'!$D$9:$D$1508,0)),"")</f>
        <v/>
      </c>
      <c r="F283" s="51" t="str">
        <f>IFERROR(INDEX('[1]REP DISEÑO'!$I$9:$I$1508,MATCH(C283,'[1]REP DISEÑO'!$D$9:$D$1508,0)),"")</f>
        <v/>
      </c>
      <c r="G283" s="51" t="str">
        <f>IFERROR(INDEX('[1]REP DISEÑO'!$M$9:$M$1508,MATCH(C283,'[1]REP DISEÑO'!$D$9:$D$1508,0)),"")</f>
        <v/>
      </c>
      <c r="H283" s="51" t="str">
        <f>IFERROR(INDEX('[1]REP DISEÑO'!$J$9:$J$1508,MATCH(C283,'[1]REP DISEÑO'!$D$9:$D$1508,0)),"")</f>
        <v/>
      </c>
      <c r="I283" s="52" t="str">
        <f>IFERROR(INDEX('[1]REP DISEÑO'!$C$9:$C$1508,MATCH(C283,'[1]REP DISEÑO'!$D$9:$D$1508,0)),"")</f>
        <v/>
      </c>
      <c r="J283" s="53" t="str">
        <f>IF(C283="","",IF(ISNUMBER(FIND("AMU",$C$14:$C$548)),1,(SUMIF('[1]REP PRODUCCIÓN'!$H$6:$H$1505,"*"&amp;C283&amp;"*",'[1]REP PRODUCCIÓN'!$E$6:$E$1505))))</f>
        <v/>
      </c>
      <c r="K283" s="53">
        <f t="shared" si="13"/>
        <v>0</v>
      </c>
      <c r="M283" s="54" t="str">
        <f>IFERROR(INDEX('[1]REP DISEÑO'!$BA$9:$BA$1008,MATCH('INDIC-DIS2'!C283,'[1]REP DISEÑO'!$D$9:$D$1008,0)),"")</f>
        <v/>
      </c>
      <c r="N283" s="55"/>
      <c r="O283" s="55"/>
      <c r="P283" s="55"/>
      <c r="R283" s="57" t="str">
        <f t="shared" si="14"/>
        <v/>
      </c>
    </row>
    <row r="284" spans="2:18" ht="26.25" customHeight="1" x14ac:dyDescent="0.25">
      <c r="B284" s="49">
        <f t="shared" si="12"/>
        <v>0</v>
      </c>
      <c r="C284" s="50" t="str">
        <f t="array" ref="C284">IFERROR(INDEX('[1]REP DISEÑO'!$D$9:$D$1008,SMALL(IF('[1]REP DISEÑO'!$AW$9:$AW$1008=$J$1,ROW('[1]REP DISEÑO'!$N$9:$N$1008)-ROW('[1]REP DISEÑO'!$N$9),""),ROWS(C$14:C284))+1),"")</f>
        <v/>
      </c>
      <c r="D284" s="51" t="str">
        <f>IFERROR(INDEX('[1]REP DISEÑO'!$N$9:$N$1508,MATCH(C284,'[1]REP DISEÑO'!$D$9:$D$1508,0)),"")</f>
        <v/>
      </c>
      <c r="E284" s="51" t="str">
        <f>IFERROR(INDEX('[1]REP DISEÑO'!$G$9:$G$1508,MATCH(C284,'[1]REP DISEÑO'!$D$9:$D$1508,0)),"")</f>
        <v/>
      </c>
      <c r="F284" s="51" t="str">
        <f>IFERROR(INDEX('[1]REP DISEÑO'!$I$9:$I$1508,MATCH(C284,'[1]REP DISEÑO'!$D$9:$D$1508,0)),"")</f>
        <v/>
      </c>
      <c r="G284" s="51" t="str">
        <f>IFERROR(INDEX('[1]REP DISEÑO'!$M$9:$M$1508,MATCH(C284,'[1]REP DISEÑO'!$D$9:$D$1508,0)),"")</f>
        <v/>
      </c>
      <c r="H284" s="51" t="str">
        <f>IFERROR(INDEX('[1]REP DISEÑO'!$J$9:$J$1508,MATCH(C284,'[1]REP DISEÑO'!$D$9:$D$1508,0)),"")</f>
        <v/>
      </c>
      <c r="I284" s="52" t="str">
        <f>IFERROR(INDEX('[1]REP DISEÑO'!$C$9:$C$1508,MATCH(C284,'[1]REP DISEÑO'!$D$9:$D$1508,0)),"")</f>
        <v/>
      </c>
      <c r="J284" s="53" t="str">
        <f>IF(C284="","",IF(ISNUMBER(FIND("AMU",$C$14:$C$548)),1,(SUMIF('[1]REP PRODUCCIÓN'!$H$6:$H$1505,"*"&amp;C284&amp;"*",'[1]REP PRODUCCIÓN'!$E$6:$E$1505))))</f>
        <v/>
      </c>
      <c r="K284" s="53">
        <f t="shared" si="13"/>
        <v>0</v>
      </c>
      <c r="M284" s="54" t="str">
        <f>IFERROR(INDEX('[1]REP DISEÑO'!$BA$9:$BA$1008,MATCH('INDIC-DIS2'!C284,'[1]REP DISEÑO'!$D$9:$D$1008,0)),"")</f>
        <v/>
      </c>
      <c r="N284" s="55"/>
      <c r="O284" s="55"/>
      <c r="P284" s="55"/>
      <c r="R284" s="57" t="str">
        <f t="shared" si="14"/>
        <v/>
      </c>
    </row>
    <row r="285" spans="2:18" ht="26.25" customHeight="1" x14ac:dyDescent="0.25">
      <c r="B285" s="49">
        <f t="shared" si="12"/>
        <v>0</v>
      </c>
      <c r="C285" s="50" t="str">
        <f t="array" ref="C285">IFERROR(INDEX('[1]REP DISEÑO'!$D$9:$D$1008,SMALL(IF('[1]REP DISEÑO'!$AW$9:$AW$1008=$J$1,ROW('[1]REP DISEÑO'!$N$9:$N$1008)-ROW('[1]REP DISEÑO'!$N$9),""),ROWS(C$14:C285))+1),"")</f>
        <v/>
      </c>
      <c r="D285" s="51" t="str">
        <f>IFERROR(INDEX('[1]REP DISEÑO'!$N$9:$N$1508,MATCH(C285,'[1]REP DISEÑO'!$D$9:$D$1508,0)),"")</f>
        <v/>
      </c>
      <c r="E285" s="51" t="str">
        <f>IFERROR(INDEX('[1]REP DISEÑO'!$G$9:$G$1508,MATCH(C285,'[1]REP DISEÑO'!$D$9:$D$1508,0)),"")</f>
        <v/>
      </c>
      <c r="F285" s="51" t="str">
        <f>IFERROR(INDEX('[1]REP DISEÑO'!$I$9:$I$1508,MATCH(C285,'[1]REP DISEÑO'!$D$9:$D$1508,0)),"")</f>
        <v/>
      </c>
      <c r="G285" s="51" t="str">
        <f>IFERROR(INDEX('[1]REP DISEÑO'!$M$9:$M$1508,MATCH(C285,'[1]REP DISEÑO'!$D$9:$D$1508,0)),"")</f>
        <v/>
      </c>
      <c r="H285" s="51" t="str">
        <f>IFERROR(INDEX('[1]REP DISEÑO'!$J$9:$J$1508,MATCH(C285,'[1]REP DISEÑO'!$D$9:$D$1508,0)),"")</f>
        <v/>
      </c>
      <c r="I285" s="52" t="str">
        <f>IFERROR(INDEX('[1]REP DISEÑO'!$C$9:$C$1508,MATCH(C285,'[1]REP DISEÑO'!$D$9:$D$1508,0)),"")</f>
        <v/>
      </c>
      <c r="J285" s="53" t="str">
        <f>IF(C285="","",IF(ISNUMBER(FIND("AMU",$C$14:$C$548)),1,(SUMIF('[1]REP PRODUCCIÓN'!$H$6:$H$1505,"*"&amp;C285&amp;"*",'[1]REP PRODUCCIÓN'!$E$6:$E$1505))))</f>
        <v/>
      </c>
      <c r="K285" s="53">
        <f t="shared" si="13"/>
        <v>0</v>
      </c>
      <c r="M285" s="54" t="str">
        <f>IFERROR(INDEX('[1]REP DISEÑO'!$BA$9:$BA$1008,MATCH('INDIC-DIS2'!C285,'[1]REP DISEÑO'!$D$9:$D$1008,0)),"")</f>
        <v/>
      </c>
      <c r="N285" s="55"/>
      <c r="O285" s="55"/>
      <c r="P285" s="55"/>
      <c r="R285" s="57" t="str">
        <f t="shared" si="14"/>
        <v/>
      </c>
    </row>
    <row r="286" spans="2:18" ht="26.25" customHeight="1" x14ac:dyDescent="0.25">
      <c r="B286" s="49">
        <f t="shared" si="12"/>
        <v>0</v>
      </c>
      <c r="C286" s="50" t="str">
        <f t="array" ref="C286">IFERROR(INDEX('[1]REP DISEÑO'!$D$9:$D$1008,SMALL(IF('[1]REP DISEÑO'!$AW$9:$AW$1008=$J$1,ROW('[1]REP DISEÑO'!$N$9:$N$1008)-ROW('[1]REP DISEÑO'!$N$9),""),ROWS(C$14:C286))+1),"")</f>
        <v/>
      </c>
      <c r="D286" s="51" t="str">
        <f>IFERROR(INDEX('[1]REP DISEÑO'!$N$9:$N$1508,MATCH(C286,'[1]REP DISEÑO'!$D$9:$D$1508,0)),"")</f>
        <v/>
      </c>
      <c r="E286" s="51" t="str">
        <f>IFERROR(INDEX('[1]REP DISEÑO'!$G$9:$G$1508,MATCH(C286,'[1]REP DISEÑO'!$D$9:$D$1508,0)),"")</f>
        <v/>
      </c>
      <c r="F286" s="51" t="str">
        <f>IFERROR(INDEX('[1]REP DISEÑO'!$I$9:$I$1508,MATCH(C286,'[1]REP DISEÑO'!$D$9:$D$1508,0)),"")</f>
        <v/>
      </c>
      <c r="G286" s="51" t="str">
        <f>IFERROR(INDEX('[1]REP DISEÑO'!$M$9:$M$1508,MATCH(C286,'[1]REP DISEÑO'!$D$9:$D$1508,0)),"")</f>
        <v/>
      </c>
      <c r="H286" s="51" t="str">
        <f>IFERROR(INDEX('[1]REP DISEÑO'!$J$9:$J$1508,MATCH(C286,'[1]REP DISEÑO'!$D$9:$D$1508,0)),"")</f>
        <v/>
      </c>
      <c r="I286" s="52" t="str">
        <f>IFERROR(INDEX('[1]REP DISEÑO'!$C$9:$C$1508,MATCH(C286,'[1]REP DISEÑO'!$D$9:$D$1508,0)),"")</f>
        <v/>
      </c>
      <c r="J286" s="53" t="str">
        <f>IF(C286="","",IF(ISNUMBER(FIND("AMU",$C$14:$C$548)),1,(SUMIF('[1]REP PRODUCCIÓN'!$H$6:$H$1505,"*"&amp;C286&amp;"*",'[1]REP PRODUCCIÓN'!$E$6:$E$1505))))</f>
        <v/>
      </c>
      <c r="K286" s="53">
        <f t="shared" si="13"/>
        <v>0</v>
      </c>
      <c r="M286" s="54" t="str">
        <f>IFERROR(INDEX('[1]REP DISEÑO'!$BA$9:$BA$1008,MATCH('INDIC-DIS2'!C286,'[1]REP DISEÑO'!$D$9:$D$1008,0)),"")</f>
        <v/>
      </c>
      <c r="N286" s="55"/>
      <c r="O286" s="55"/>
      <c r="P286" s="55"/>
      <c r="R286" s="57" t="str">
        <f t="shared" si="14"/>
        <v/>
      </c>
    </row>
    <row r="287" spans="2:18" ht="26.25" customHeight="1" x14ac:dyDescent="0.25">
      <c r="B287" s="49">
        <f t="shared" si="12"/>
        <v>0</v>
      </c>
      <c r="C287" s="50" t="str">
        <f t="array" ref="C287">IFERROR(INDEX('[1]REP DISEÑO'!$D$9:$D$1008,SMALL(IF('[1]REP DISEÑO'!$AW$9:$AW$1008=$J$1,ROW('[1]REP DISEÑO'!$N$9:$N$1008)-ROW('[1]REP DISEÑO'!$N$9),""),ROWS(C$14:C287))+1),"")</f>
        <v/>
      </c>
      <c r="D287" s="51" t="str">
        <f>IFERROR(INDEX('[1]REP DISEÑO'!$N$9:$N$1508,MATCH(C287,'[1]REP DISEÑO'!$D$9:$D$1508,0)),"")</f>
        <v/>
      </c>
      <c r="E287" s="51" t="str">
        <f>IFERROR(INDEX('[1]REP DISEÑO'!$G$9:$G$1508,MATCH(C287,'[1]REP DISEÑO'!$D$9:$D$1508,0)),"")</f>
        <v/>
      </c>
      <c r="F287" s="51" t="str">
        <f>IFERROR(INDEX('[1]REP DISEÑO'!$I$9:$I$1508,MATCH(C287,'[1]REP DISEÑO'!$D$9:$D$1508,0)),"")</f>
        <v/>
      </c>
      <c r="G287" s="51" t="str">
        <f>IFERROR(INDEX('[1]REP DISEÑO'!$M$9:$M$1508,MATCH(C287,'[1]REP DISEÑO'!$D$9:$D$1508,0)),"")</f>
        <v/>
      </c>
      <c r="H287" s="51" t="str">
        <f>IFERROR(INDEX('[1]REP DISEÑO'!$J$9:$J$1508,MATCH(C287,'[1]REP DISEÑO'!$D$9:$D$1508,0)),"")</f>
        <v/>
      </c>
      <c r="I287" s="52" t="str">
        <f>IFERROR(INDEX('[1]REP DISEÑO'!$C$9:$C$1508,MATCH(C287,'[1]REP DISEÑO'!$D$9:$D$1508,0)),"")</f>
        <v/>
      </c>
      <c r="J287" s="53" t="str">
        <f>IF(C287="","",IF(ISNUMBER(FIND("AMU",$C$14:$C$548)),1,(SUMIF('[1]REP PRODUCCIÓN'!$H$6:$H$1505,"*"&amp;C287&amp;"*",'[1]REP PRODUCCIÓN'!$E$6:$E$1505))))</f>
        <v/>
      </c>
      <c r="K287" s="53">
        <f t="shared" si="13"/>
        <v>0</v>
      </c>
      <c r="M287" s="54" t="str">
        <f>IFERROR(INDEX('[1]REP DISEÑO'!$BA$9:$BA$1008,MATCH('INDIC-DIS2'!C287,'[1]REP DISEÑO'!$D$9:$D$1008,0)),"")</f>
        <v/>
      </c>
      <c r="N287" s="55"/>
      <c r="O287" s="55"/>
      <c r="P287" s="55"/>
      <c r="R287" s="57" t="str">
        <f t="shared" si="14"/>
        <v/>
      </c>
    </row>
    <row r="288" spans="2:18" ht="26.25" customHeight="1" x14ac:dyDescent="0.25">
      <c r="B288" s="49">
        <f t="shared" si="12"/>
        <v>0</v>
      </c>
      <c r="C288" s="50" t="str">
        <f t="array" ref="C288">IFERROR(INDEX('[1]REP DISEÑO'!$D$9:$D$1008,SMALL(IF('[1]REP DISEÑO'!$AW$9:$AW$1008=$J$1,ROW('[1]REP DISEÑO'!$N$9:$N$1008)-ROW('[1]REP DISEÑO'!$N$9),""),ROWS(C$14:C288))+1),"")</f>
        <v/>
      </c>
      <c r="D288" s="51" t="str">
        <f>IFERROR(INDEX('[1]REP DISEÑO'!$N$9:$N$1508,MATCH(C288,'[1]REP DISEÑO'!$D$9:$D$1508,0)),"")</f>
        <v/>
      </c>
      <c r="E288" s="51" t="str">
        <f>IFERROR(INDEX('[1]REP DISEÑO'!$G$9:$G$1508,MATCH(C288,'[1]REP DISEÑO'!$D$9:$D$1508,0)),"")</f>
        <v/>
      </c>
      <c r="F288" s="51" t="str">
        <f>IFERROR(INDEX('[1]REP DISEÑO'!$I$9:$I$1508,MATCH(C288,'[1]REP DISEÑO'!$D$9:$D$1508,0)),"")</f>
        <v/>
      </c>
      <c r="G288" s="51" t="str">
        <f>IFERROR(INDEX('[1]REP DISEÑO'!$M$9:$M$1508,MATCH(C288,'[1]REP DISEÑO'!$D$9:$D$1508,0)),"")</f>
        <v/>
      </c>
      <c r="H288" s="51" t="str">
        <f>IFERROR(INDEX('[1]REP DISEÑO'!$J$9:$J$1508,MATCH(C288,'[1]REP DISEÑO'!$D$9:$D$1508,0)),"")</f>
        <v/>
      </c>
      <c r="I288" s="52" t="str">
        <f>IFERROR(INDEX('[1]REP DISEÑO'!$C$9:$C$1508,MATCH(C288,'[1]REP DISEÑO'!$D$9:$D$1508,0)),"")</f>
        <v/>
      </c>
      <c r="J288" s="53" t="str">
        <f>IF(C288="","",IF(ISNUMBER(FIND("AMU",$C$14:$C$548)),1,(SUMIF('[1]REP PRODUCCIÓN'!$H$6:$H$1505,"*"&amp;C288&amp;"*",'[1]REP PRODUCCIÓN'!$E$6:$E$1505))))</f>
        <v/>
      </c>
      <c r="K288" s="53">
        <f t="shared" si="13"/>
        <v>0</v>
      </c>
      <c r="M288" s="54" t="str">
        <f>IFERROR(INDEX('[1]REP DISEÑO'!$BA$9:$BA$1008,MATCH('INDIC-DIS2'!C288,'[1]REP DISEÑO'!$D$9:$D$1008,0)),"")</f>
        <v/>
      </c>
      <c r="N288" s="55"/>
      <c r="O288" s="55"/>
      <c r="P288" s="55"/>
      <c r="R288" s="57" t="str">
        <f t="shared" si="14"/>
        <v/>
      </c>
    </row>
    <row r="289" spans="2:18" ht="26.25" customHeight="1" x14ac:dyDescent="0.25">
      <c r="B289" s="49">
        <f t="shared" si="12"/>
        <v>0</v>
      </c>
      <c r="C289" s="50" t="str">
        <f t="array" ref="C289">IFERROR(INDEX('[1]REP DISEÑO'!$D$9:$D$1008,SMALL(IF('[1]REP DISEÑO'!$AW$9:$AW$1008=$J$1,ROW('[1]REP DISEÑO'!$N$9:$N$1008)-ROW('[1]REP DISEÑO'!$N$9),""),ROWS(C$14:C289))+1),"")</f>
        <v/>
      </c>
      <c r="D289" s="51" t="str">
        <f>IFERROR(INDEX('[1]REP DISEÑO'!$N$9:$N$1508,MATCH(C289,'[1]REP DISEÑO'!$D$9:$D$1508,0)),"")</f>
        <v/>
      </c>
      <c r="E289" s="51" t="str">
        <f>IFERROR(INDEX('[1]REP DISEÑO'!$G$9:$G$1508,MATCH(C289,'[1]REP DISEÑO'!$D$9:$D$1508,0)),"")</f>
        <v/>
      </c>
      <c r="F289" s="51" t="str">
        <f>IFERROR(INDEX('[1]REP DISEÑO'!$I$9:$I$1508,MATCH(C289,'[1]REP DISEÑO'!$D$9:$D$1508,0)),"")</f>
        <v/>
      </c>
      <c r="G289" s="51" t="str">
        <f>IFERROR(INDEX('[1]REP DISEÑO'!$M$9:$M$1508,MATCH(C289,'[1]REP DISEÑO'!$D$9:$D$1508,0)),"")</f>
        <v/>
      </c>
      <c r="H289" s="51" t="str">
        <f>IFERROR(INDEX('[1]REP DISEÑO'!$J$9:$J$1508,MATCH(C289,'[1]REP DISEÑO'!$D$9:$D$1508,0)),"")</f>
        <v/>
      </c>
      <c r="I289" s="52" t="str">
        <f>IFERROR(INDEX('[1]REP DISEÑO'!$C$9:$C$1508,MATCH(C289,'[1]REP DISEÑO'!$D$9:$D$1508,0)),"")</f>
        <v/>
      </c>
      <c r="J289" s="53" t="str">
        <f>IF(C289="","",IF(ISNUMBER(FIND("AMU",$C$14:$C$548)),1,(SUMIF('[1]REP PRODUCCIÓN'!$H$6:$H$1505,"*"&amp;C289&amp;"*",'[1]REP PRODUCCIÓN'!$E$6:$E$1505))))</f>
        <v/>
      </c>
      <c r="K289" s="53">
        <f t="shared" si="13"/>
        <v>0</v>
      </c>
      <c r="M289" s="54" t="str">
        <f>IFERROR(INDEX('[1]REP DISEÑO'!$BA$9:$BA$1008,MATCH('INDIC-DIS2'!C289,'[1]REP DISEÑO'!$D$9:$D$1008,0)),"")</f>
        <v/>
      </c>
      <c r="N289" s="55"/>
      <c r="O289" s="55"/>
      <c r="P289" s="55"/>
      <c r="R289" s="57" t="str">
        <f t="shared" si="14"/>
        <v/>
      </c>
    </row>
    <row r="290" spans="2:18" ht="26.25" customHeight="1" x14ac:dyDescent="0.25">
      <c r="B290" s="49">
        <f t="shared" si="12"/>
        <v>0</v>
      </c>
      <c r="C290" s="50" t="str">
        <f t="array" ref="C290">IFERROR(INDEX('[1]REP DISEÑO'!$D$9:$D$1008,SMALL(IF('[1]REP DISEÑO'!$AW$9:$AW$1008=$J$1,ROW('[1]REP DISEÑO'!$N$9:$N$1008)-ROW('[1]REP DISEÑO'!$N$9),""),ROWS(C$14:C290))+1),"")</f>
        <v/>
      </c>
      <c r="D290" s="51" t="str">
        <f>IFERROR(INDEX('[1]REP DISEÑO'!$N$9:$N$1508,MATCH(C290,'[1]REP DISEÑO'!$D$9:$D$1508,0)),"")</f>
        <v/>
      </c>
      <c r="E290" s="51" t="str">
        <f>IFERROR(INDEX('[1]REP DISEÑO'!$G$9:$G$1508,MATCH(C290,'[1]REP DISEÑO'!$D$9:$D$1508,0)),"")</f>
        <v/>
      </c>
      <c r="F290" s="51" t="str">
        <f>IFERROR(INDEX('[1]REP DISEÑO'!$I$9:$I$1508,MATCH(C290,'[1]REP DISEÑO'!$D$9:$D$1508,0)),"")</f>
        <v/>
      </c>
      <c r="G290" s="51" t="str">
        <f>IFERROR(INDEX('[1]REP DISEÑO'!$M$9:$M$1508,MATCH(C290,'[1]REP DISEÑO'!$D$9:$D$1508,0)),"")</f>
        <v/>
      </c>
      <c r="H290" s="51" t="str">
        <f>IFERROR(INDEX('[1]REP DISEÑO'!$J$9:$J$1508,MATCH(C290,'[1]REP DISEÑO'!$D$9:$D$1508,0)),"")</f>
        <v/>
      </c>
      <c r="I290" s="52" t="str">
        <f>IFERROR(INDEX('[1]REP DISEÑO'!$C$9:$C$1508,MATCH(C290,'[1]REP DISEÑO'!$D$9:$D$1508,0)),"")</f>
        <v/>
      </c>
      <c r="J290" s="53" t="str">
        <f>IF(C290="","",IF(ISNUMBER(FIND("AMU",$C$14:$C$548)),1,(SUMIF('[1]REP PRODUCCIÓN'!$H$6:$H$1505,"*"&amp;C290&amp;"*",'[1]REP PRODUCCIÓN'!$E$6:$E$1505))))</f>
        <v/>
      </c>
      <c r="K290" s="53">
        <f t="shared" si="13"/>
        <v>0</v>
      </c>
      <c r="M290" s="54" t="str">
        <f>IFERROR(INDEX('[1]REP DISEÑO'!$BA$9:$BA$1008,MATCH('INDIC-DIS2'!C290,'[1]REP DISEÑO'!$D$9:$D$1008,0)),"")</f>
        <v/>
      </c>
      <c r="N290" s="55"/>
      <c r="O290" s="55"/>
      <c r="P290" s="55"/>
      <c r="R290" s="57" t="str">
        <f t="shared" si="14"/>
        <v/>
      </c>
    </row>
    <row r="291" spans="2:18" ht="26.25" customHeight="1" x14ac:dyDescent="0.25">
      <c r="B291" s="49">
        <f t="shared" si="12"/>
        <v>0</v>
      </c>
      <c r="C291" s="50" t="str">
        <f t="array" ref="C291">IFERROR(INDEX('[1]REP DISEÑO'!$D$9:$D$1008,SMALL(IF('[1]REP DISEÑO'!$AW$9:$AW$1008=$J$1,ROW('[1]REP DISEÑO'!$N$9:$N$1008)-ROW('[1]REP DISEÑO'!$N$9),""),ROWS(C$14:C291))+1),"")</f>
        <v/>
      </c>
      <c r="D291" s="51" t="str">
        <f>IFERROR(INDEX('[1]REP DISEÑO'!$N$9:$N$1508,MATCH(C291,'[1]REP DISEÑO'!$D$9:$D$1508,0)),"")</f>
        <v/>
      </c>
      <c r="E291" s="51" t="str">
        <f>IFERROR(INDEX('[1]REP DISEÑO'!$G$9:$G$1508,MATCH(C291,'[1]REP DISEÑO'!$D$9:$D$1508,0)),"")</f>
        <v/>
      </c>
      <c r="F291" s="51" t="str">
        <f>IFERROR(INDEX('[1]REP DISEÑO'!$I$9:$I$1508,MATCH(C291,'[1]REP DISEÑO'!$D$9:$D$1508,0)),"")</f>
        <v/>
      </c>
      <c r="G291" s="51" t="str">
        <f>IFERROR(INDEX('[1]REP DISEÑO'!$M$9:$M$1508,MATCH(C291,'[1]REP DISEÑO'!$D$9:$D$1508,0)),"")</f>
        <v/>
      </c>
      <c r="H291" s="51" t="str">
        <f>IFERROR(INDEX('[1]REP DISEÑO'!$J$9:$J$1508,MATCH(C291,'[1]REP DISEÑO'!$D$9:$D$1508,0)),"")</f>
        <v/>
      </c>
      <c r="I291" s="52" t="str">
        <f>IFERROR(INDEX('[1]REP DISEÑO'!$C$9:$C$1508,MATCH(C291,'[1]REP DISEÑO'!$D$9:$D$1508,0)),"")</f>
        <v/>
      </c>
      <c r="J291" s="53" t="str">
        <f>IF(C291="","",IF(ISNUMBER(FIND("AMU",$C$14:$C$548)),1,(SUMIF('[1]REP PRODUCCIÓN'!$H$6:$H$1505,"*"&amp;C291&amp;"*",'[1]REP PRODUCCIÓN'!$E$6:$E$1505))))</f>
        <v/>
      </c>
      <c r="K291" s="53">
        <f t="shared" si="13"/>
        <v>0</v>
      </c>
      <c r="M291" s="54" t="str">
        <f>IFERROR(INDEX('[1]REP DISEÑO'!$BA$9:$BA$1008,MATCH('INDIC-DIS2'!C291,'[1]REP DISEÑO'!$D$9:$D$1008,0)),"")</f>
        <v/>
      </c>
      <c r="N291" s="55"/>
      <c r="O291" s="55"/>
      <c r="P291" s="55"/>
      <c r="R291" s="57" t="str">
        <f t="shared" si="14"/>
        <v/>
      </c>
    </row>
    <row r="292" spans="2:18" ht="26.25" customHeight="1" x14ac:dyDescent="0.25">
      <c r="B292" s="49">
        <f t="shared" si="12"/>
        <v>0</v>
      </c>
      <c r="C292" s="50" t="str">
        <f t="array" ref="C292">IFERROR(INDEX('[1]REP DISEÑO'!$D$9:$D$1008,SMALL(IF('[1]REP DISEÑO'!$AW$9:$AW$1008=$J$1,ROW('[1]REP DISEÑO'!$N$9:$N$1008)-ROW('[1]REP DISEÑO'!$N$9),""),ROWS(C$14:C292))+1),"")</f>
        <v/>
      </c>
      <c r="D292" s="51" t="str">
        <f>IFERROR(INDEX('[1]REP DISEÑO'!$N$9:$N$1508,MATCH(C292,'[1]REP DISEÑO'!$D$9:$D$1508,0)),"")</f>
        <v/>
      </c>
      <c r="E292" s="51" t="str">
        <f>IFERROR(INDEX('[1]REP DISEÑO'!$G$9:$G$1508,MATCH(C292,'[1]REP DISEÑO'!$D$9:$D$1508,0)),"")</f>
        <v/>
      </c>
      <c r="F292" s="51" t="str">
        <f>IFERROR(INDEX('[1]REP DISEÑO'!$I$9:$I$1508,MATCH(C292,'[1]REP DISEÑO'!$D$9:$D$1508,0)),"")</f>
        <v/>
      </c>
      <c r="G292" s="51" t="str">
        <f>IFERROR(INDEX('[1]REP DISEÑO'!$M$9:$M$1508,MATCH(C292,'[1]REP DISEÑO'!$D$9:$D$1508,0)),"")</f>
        <v/>
      </c>
      <c r="H292" s="51" t="str">
        <f>IFERROR(INDEX('[1]REP DISEÑO'!$J$9:$J$1508,MATCH(C292,'[1]REP DISEÑO'!$D$9:$D$1508,0)),"")</f>
        <v/>
      </c>
      <c r="I292" s="52" t="str">
        <f>IFERROR(INDEX('[1]REP DISEÑO'!$C$9:$C$1508,MATCH(C292,'[1]REP DISEÑO'!$D$9:$D$1508,0)),"")</f>
        <v/>
      </c>
      <c r="J292" s="53" t="str">
        <f>IF(C292="","",IF(ISNUMBER(FIND("AMU",$C$14:$C$548)),1,(SUMIF('[1]REP PRODUCCIÓN'!$H$6:$H$1505,"*"&amp;C292&amp;"*",'[1]REP PRODUCCIÓN'!$E$6:$E$1505))))</f>
        <v/>
      </c>
      <c r="K292" s="53">
        <f t="shared" si="13"/>
        <v>0</v>
      </c>
      <c r="M292" s="54" t="str">
        <f>IFERROR(INDEX('[1]REP DISEÑO'!$BA$9:$BA$1008,MATCH('INDIC-DIS2'!C292,'[1]REP DISEÑO'!$D$9:$D$1008,0)),"")</f>
        <v/>
      </c>
      <c r="N292" s="55"/>
      <c r="O292" s="55"/>
      <c r="P292" s="55"/>
      <c r="R292" s="57" t="str">
        <f t="shared" si="14"/>
        <v/>
      </c>
    </row>
    <row r="293" spans="2:18" ht="26.25" customHeight="1" x14ac:dyDescent="0.25">
      <c r="B293" s="49">
        <f t="shared" si="12"/>
        <v>0</v>
      </c>
      <c r="C293" s="50" t="str">
        <f t="array" ref="C293">IFERROR(INDEX('[1]REP DISEÑO'!$D$9:$D$1008,SMALL(IF('[1]REP DISEÑO'!$AW$9:$AW$1008=$J$1,ROW('[1]REP DISEÑO'!$N$9:$N$1008)-ROW('[1]REP DISEÑO'!$N$9),""),ROWS(C$14:C293))+1),"")</f>
        <v/>
      </c>
      <c r="D293" s="51" t="str">
        <f>IFERROR(INDEX('[1]REP DISEÑO'!$N$9:$N$1508,MATCH(C293,'[1]REP DISEÑO'!$D$9:$D$1508,0)),"")</f>
        <v/>
      </c>
      <c r="E293" s="51" t="str">
        <f>IFERROR(INDEX('[1]REP DISEÑO'!$G$9:$G$1508,MATCH(C293,'[1]REP DISEÑO'!$D$9:$D$1508,0)),"")</f>
        <v/>
      </c>
      <c r="F293" s="51" t="str">
        <f>IFERROR(INDEX('[1]REP DISEÑO'!$I$9:$I$1508,MATCH(C293,'[1]REP DISEÑO'!$D$9:$D$1508,0)),"")</f>
        <v/>
      </c>
      <c r="G293" s="51" t="str">
        <f>IFERROR(INDEX('[1]REP DISEÑO'!$M$9:$M$1508,MATCH(C293,'[1]REP DISEÑO'!$D$9:$D$1508,0)),"")</f>
        <v/>
      </c>
      <c r="H293" s="51" t="str">
        <f>IFERROR(INDEX('[1]REP DISEÑO'!$J$9:$J$1508,MATCH(C293,'[1]REP DISEÑO'!$D$9:$D$1508,0)),"")</f>
        <v/>
      </c>
      <c r="I293" s="52" t="str">
        <f>IFERROR(INDEX('[1]REP DISEÑO'!$C$9:$C$1508,MATCH(C293,'[1]REP DISEÑO'!$D$9:$D$1508,0)),"")</f>
        <v/>
      </c>
      <c r="J293" s="53" t="str">
        <f>IF(C293="","",IF(ISNUMBER(FIND("AMU",$C$14:$C$548)),1,(SUMIF('[1]REP PRODUCCIÓN'!$H$6:$H$1505,"*"&amp;C293&amp;"*",'[1]REP PRODUCCIÓN'!$E$6:$E$1505))))</f>
        <v/>
      </c>
      <c r="K293" s="53">
        <f t="shared" si="13"/>
        <v>0</v>
      </c>
      <c r="M293" s="54" t="str">
        <f>IFERROR(INDEX('[1]REP DISEÑO'!$BA$9:$BA$1008,MATCH('INDIC-DIS2'!C293,'[1]REP DISEÑO'!$D$9:$D$1008,0)),"")</f>
        <v/>
      </c>
      <c r="N293" s="55"/>
      <c r="O293" s="55"/>
      <c r="P293" s="55"/>
      <c r="R293" s="57" t="str">
        <f t="shared" si="14"/>
        <v/>
      </c>
    </row>
    <row r="294" spans="2:18" ht="26.25" customHeight="1" x14ac:dyDescent="0.25">
      <c r="B294" s="49">
        <f t="shared" si="12"/>
        <v>0</v>
      </c>
      <c r="C294" s="50" t="str">
        <f t="array" ref="C294">IFERROR(INDEX('[1]REP DISEÑO'!$D$9:$D$1008,SMALL(IF('[1]REP DISEÑO'!$AW$9:$AW$1008=$J$1,ROW('[1]REP DISEÑO'!$N$9:$N$1008)-ROW('[1]REP DISEÑO'!$N$9),""),ROWS(C$14:C294))+1),"")</f>
        <v/>
      </c>
      <c r="D294" s="51" t="str">
        <f>IFERROR(INDEX('[1]REP DISEÑO'!$N$9:$N$1508,MATCH(C294,'[1]REP DISEÑO'!$D$9:$D$1508,0)),"")</f>
        <v/>
      </c>
      <c r="E294" s="51" t="str">
        <f>IFERROR(INDEX('[1]REP DISEÑO'!$G$9:$G$1508,MATCH(C294,'[1]REP DISEÑO'!$D$9:$D$1508,0)),"")</f>
        <v/>
      </c>
      <c r="F294" s="51" t="str">
        <f>IFERROR(INDEX('[1]REP DISEÑO'!$I$9:$I$1508,MATCH(C294,'[1]REP DISEÑO'!$D$9:$D$1508,0)),"")</f>
        <v/>
      </c>
      <c r="G294" s="51" t="str">
        <f>IFERROR(INDEX('[1]REP DISEÑO'!$M$9:$M$1508,MATCH(C294,'[1]REP DISEÑO'!$D$9:$D$1508,0)),"")</f>
        <v/>
      </c>
      <c r="H294" s="51" t="str">
        <f>IFERROR(INDEX('[1]REP DISEÑO'!$J$9:$J$1508,MATCH(C294,'[1]REP DISEÑO'!$D$9:$D$1508,0)),"")</f>
        <v/>
      </c>
      <c r="I294" s="52" t="str">
        <f>IFERROR(INDEX('[1]REP DISEÑO'!$C$9:$C$1508,MATCH(C294,'[1]REP DISEÑO'!$D$9:$D$1508,0)),"")</f>
        <v/>
      </c>
      <c r="J294" s="53" t="str">
        <f>IF(C294="","",IF(ISNUMBER(FIND("AMU",$C$14:$C$548)),1,(SUMIF('[1]REP PRODUCCIÓN'!$H$6:$H$1505,"*"&amp;C294&amp;"*",'[1]REP PRODUCCIÓN'!$E$6:$E$1505))))</f>
        <v/>
      </c>
      <c r="K294" s="53">
        <f t="shared" si="13"/>
        <v>0</v>
      </c>
      <c r="M294" s="54" t="str">
        <f>IFERROR(INDEX('[1]REP DISEÑO'!$BA$9:$BA$1008,MATCH('INDIC-DIS2'!C294,'[1]REP DISEÑO'!$D$9:$D$1008,0)),"")</f>
        <v/>
      </c>
      <c r="N294" s="55"/>
      <c r="O294" s="55"/>
      <c r="P294" s="55"/>
      <c r="R294" s="57" t="str">
        <f t="shared" si="14"/>
        <v/>
      </c>
    </row>
    <row r="295" spans="2:18" ht="26.25" customHeight="1" x14ac:dyDescent="0.25">
      <c r="B295" s="49">
        <f t="shared" si="12"/>
        <v>0</v>
      </c>
      <c r="C295" s="50" t="str">
        <f t="array" ref="C295">IFERROR(INDEX('[1]REP DISEÑO'!$D$9:$D$1008,SMALL(IF('[1]REP DISEÑO'!$AW$9:$AW$1008=$J$1,ROW('[1]REP DISEÑO'!$N$9:$N$1008)-ROW('[1]REP DISEÑO'!$N$9),""),ROWS(C$14:C295))+1),"")</f>
        <v/>
      </c>
      <c r="D295" s="51" t="str">
        <f>IFERROR(INDEX('[1]REP DISEÑO'!$N$9:$N$1508,MATCH(C295,'[1]REP DISEÑO'!$D$9:$D$1508,0)),"")</f>
        <v/>
      </c>
      <c r="E295" s="51" t="str">
        <f>IFERROR(INDEX('[1]REP DISEÑO'!$G$9:$G$1508,MATCH(C295,'[1]REP DISEÑO'!$D$9:$D$1508,0)),"")</f>
        <v/>
      </c>
      <c r="F295" s="51" t="str">
        <f>IFERROR(INDEX('[1]REP DISEÑO'!$I$9:$I$1508,MATCH(C295,'[1]REP DISEÑO'!$D$9:$D$1508,0)),"")</f>
        <v/>
      </c>
      <c r="G295" s="51" t="str">
        <f>IFERROR(INDEX('[1]REP DISEÑO'!$M$9:$M$1508,MATCH(C295,'[1]REP DISEÑO'!$D$9:$D$1508,0)),"")</f>
        <v/>
      </c>
      <c r="H295" s="51" t="str">
        <f>IFERROR(INDEX('[1]REP DISEÑO'!$J$9:$J$1508,MATCH(C295,'[1]REP DISEÑO'!$D$9:$D$1508,0)),"")</f>
        <v/>
      </c>
      <c r="I295" s="52" t="str">
        <f>IFERROR(INDEX('[1]REP DISEÑO'!$C$9:$C$1508,MATCH(C295,'[1]REP DISEÑO'!$D$9:$D$1508,0)),"")</f>
        <v/>
      </c>
      <c r="J295" s="53" t="str">
        <f>IF(C295="","",IF(ISNUMBER(FIND("AMU",$C$14:$C$548)),1,(SUMIF('[1]REP PRODUCCIÓN'!$H$6:$H$1505,"*"&amp;C295&amp;"*",'[1]REP PRODUCCIÓN'!$E$6:$E$1505))))</f>
        <v/>
      </c>
      <c r="K295" s="53">
        <f t="shared" si="13"/>
        <v>0</v>
      </c>
      <c r="M295" s="54" t="str">
        <f>IFERROR(INDEX('[1]REP DISEÑO'!$BA$9:$BA$1008,MATCH('INDIC-DIS2'!C295,'[1]REP DISEÑO'!$D$9:$D$1008,0)),"")</f>
        <v/>
      </c>
      <c r="N295" s="55"/>
      <c r="O295" s="55"/>
      <c r="P295" s="55"/>
      <c r="R295" s="57" t="str">
        <f t="shared" si="14"/>
        <v/>
      </c>
    </row>
    <row r="296" spans="2:18" ht="26.25" customHeight="1" x14ac:dyDescent="0.25">
      <c r="B296" s="49">
        <f t="shared" si="12"/>
        <v>0</v>
      </c>
      <c r="C296" s="50" t="str">
        <f t="array" ref="C296">IFERROR(INDEX('[1]REP DISEÑO'!$D$9:$D$1008,SMALL(IF('[1]REP DISEÑO'!$AW$9:$AW$1008=$J$1,ROW('[1]REP DISEÑO'!$N$9:$N$1008)-ROW('[1]REP DISEÑO'!$N$9),""),ROWS(C$14:C296))+1),"")</f>
        <v/>
      </c>
      <c r="D296" s="51" t="str">
        <f>IFERROR(INDEX('[1]REP DISEÑO'!$N$9:$N$1508,MATCH(C296,'[1]REP DISEÑO'!$D$9:$D$1508,0)),"")</f>
        <v/>
      </c>
      <c r="E296" s="51" t="str">
        <f>IFERROR(INDEX('[1]REP DISEÑO'!$G$9:$G$1508,MATCH(C296,'[1]REP DISEÑO'!$D$9:$D$1508,0)),"")</f>
        <v/>
      </c>
      <c r="F296" s="51" t="str">
        <f>IFERROR(INDEX('[1]REP DISEÑO'!$I$9:$I$1508,MATCH(C296,'[1]REP DISEÑO'!$D$9:$D$1508,0)),"")</f>
        <v/>
      </c>
      <c r="G296" s="51" t="str">
        <f>IFERROR(INDEX('[1]REP DISEÑO'!$M$9:$M$1508,MATCH(C296,'[1]REP DISEÑO'!$D$9:$D$1508,0)),"")</f>
        <v/>
      </c>
      <c r="H296" s="51" t="str">
        <f>IFERROR(INDEX('[1]REP DISEÑO'!$J$9:$J$1508,MATCH(C296,'[1]REP DISEÑO'!$D$9:$D$1508,0)),"")</f>
        <v/>
      </c>
      <c r="I296" s="52" t="str">
        <f>IFERROR(INDEX('[1]REP DISEÑO'!$C$9:$C$1508,MATCH(C296,'[1]REP DISEÑO'!$D$9:$D$1508,0)),"")</f>
        <v/>
      </c>
      <c r="J296" s="53" t="str">
        <f>IF(C296="","",IF(ISNUMBER(FIND("AMU",$C$14:$C$548)),1,(SUMIF('[1]REP PRODUCCIÓN'!$H$6:$H$1505,"*"&amp;C296&amp;"*",'[1]REP PRODUCCIÓN'!$E$6:$E$1505))))</f>
        <v/>
      </c>
      <c r="K296" s="53">
        <f t="shared" si="13"/>
        <v>0</v>
      </c>
      <c r="M296" s="54" t="str">
        <f>IFERROR(INDEX('[1]REP DISEÑO'!$BA$9:$BA$1008,MATCH('INDIC-DIS2'!C296,'[1]REP DISEÑO'!$D$9:$D$1008,0)),"")</f>
        <v/>
      </c>
      <c r="N296" s="55"/>
      <c r="O296" s="55"/>
      <c r="P296" s="55"/>
      <c r="R296" s="57" t="str">
        <f t="shared" si="14"/>
        <v/>
      </c>
    </row>
    <row r="297" spans="2:18" ht="26.25" customHeight="1" x14ac:dyDescent="0.25">
      <c r="B297" s="49">
        <f t="shared" si="12"/>
        <v>0</v>
      </c>
      <c r="C297" s="50" t="str">
        <f t="array" ref="C297">IFERROR(INDEX('[1]REP DISEÑO'!$D$9:$D$1008,SMALL(IF('[1]REP DISEÑO'!$AW$9:$AW$1008=$J$1,ROW('[1]REP DISEÑO'!$N$9:$N$1008)-ROW('[1]REP DISEÑO'!$N$9),""),ROWS(C$14:C297))+1),"")</f>
        <v/>
      </c>
      <c r="D297" s="51" t="str">
        <f>IFERROR(INDEX('[1]REP DISEÑO'!$N$9:$N$1508,MATCH(C297,'[1]REP DISEÑO'!$D$9:$D$1508,0)),"")</f>
        <v/>
      </c>
      <c r="E297" s="51" t="str">
        <f>IFERROR(INDEX('[1]REP DISEÑO'!$G$9:$G$1508,MATCH(C297,'[1]REP DISEÑO'!$D$9:$D$1508,0)),"")</f>
        <v/>
      </c>
      <c r="F297" s="51" t="str">
        <f>IFERROR(INDEX('[1]REP DISEÑO'!$I$9:$I$1508,MATCH(C297,'[1]REP DISEÑO'!$D$9:$D$1508,0)),"")</f>
        <v/>
      </c>
      <c r="G297" s="51" t="str">
        <f>IFERROR(INDEX('[1]REP DISEÑO'!$M$9:$M$1508,MATCH(C297,'[1]REP DISEÑO'!$D$9:$D$1508,0)),"")</f>
        <v/>
      </c>
      <c r="H297" s="51" t="str">
        <f>IFERROR(INDEX('[1]REP DISEÑO'!$J$9:$J$1508,MATCH(C297,'[1]REP DISEÑO'!$D$9:$D$1508,0)),"")</f>
        <v/>
      </c>
      <c r="I297" s="52" t="str">
        <f>IFERROR(INDEX('[1]REP DISEÑO'!$C$9:$C$1508,MATCH(C297,'[1]REP DISEÑO'!$D$9:$D$1508,0)),"")</f>
        <v/>
      </c>
      <c r="J297" s="53" t="str">
        <f>IF(C297="","",IF(ISNUMBER(FIND("AMU",$C$14:$C$548)),1,(SUMIF('[1]REP PRODUCCIÓN'!$H$6:$H$1505,"*"&amp;C297&amp;"*",'[1]REP PRODUCCIÓN'!$E$6:$E$1505))))</f>
        <v/>
      </c>
      <c r="K297" s="53">
        <f t="shared" si="13"/>
        <v>0</v>
      </c>
      <c r="M297" s="54" t="str">
        <f>IFERROR(INDEX('[1]REP DISEÑO'!$BA$9:$BA$1008,MATCH('INDIC-DIS2'!C297,'[1]REP DISEÑO'!$D$9:$D$1008,0)),"")</f>
        <v/>
      </c>
      <c r="N297" s="55"/>
      <c r="O297" s="55"/>
      <c r="P297" s="55"/>
      <c r="R297" s="57" t="str">
        <f t="shared" si="14"/>
        <v/>
      </c>
    </row>
    <row r="298" spans="2:18" ht="26.25" customHeight="1" x14ac:dyDescent="0.25">
      <c r="B298" s="49">
        <f t="shared" si="12"/>
        <v>0</v>
      </c>
      <c r="C298" s="50" t="str">
        <f t="array" ref="C298">IFERROR(INDEX('[1]REP DISEÑO'!$D$9:$D$1008,SMALL(IF('[1]REP DISEÑO'!$AW$9:$AW$1008=$J$1,ROW('[1]REP DISEÑO'!$N$9:$N$1008)-ROW('[1]REP DISEÑO'!$N$9),""),ROWS(C$14:C298))+1),"")</f>
        <v/>
      </c>
      <c r="D298" s="51" t="str">
        <f>IFERROR(INDEX('[1]REP DISEÑO'!$N$9:$N$1508,MATCH(C298,'[1]REP DISEÑO'!$D$9:$D$1508,0)),"")</f>
        <v/>
      </c>
      <c r="E298" s="51" t="str">
        <f>IFERROR(INDEX('[1]REP DISEÑO'!$G$9:$G$1508,MATCH(C298,'[1]REP DISEÑO'!$D$9:$D$1508,0)),"")</f>
        <v/>
      </c>
      <c r="F298" s="51" t="str">
        <f>IFERROR(INDEX('[1]REP DISEÑO'!$I$9:$I$1508,MATCH(C298,'[1]REP DISEÑO'!$D$9:$D$1508,0)),"")</f>
        <v/>
      </c>
      <c r="G298" s="51" t="str">
        <f>IFERROR(INDEX('[1]REP DISEÑO'!$M$9:$M$1508,MATCH(C298,'[1]REP DISEÑO'!$D$9:$D$1508,0)),"")</f>
        <v/>
      </c>
      <c r="H298" s="51" t="str">
        <f>IFERROR(INDEX('[1]REP DISEÑO'!$J$9:$J$1508,MATCH(C298,'[1]REP DISEÑO'!$D$9:$D$1508,0)),"")</f>
        <v/>
      </c>
      <c r="I298" s="52" t="str">
        <f>IFERROR(INDEX('[1]REP DISEÑO'!$C$9:$C$1508,MATCH(C298,'[1]REP DISEÑO'!$D$9:$D$1508,0)),"")</f>
        <v/>
      </c>
      <c r="J298" s="53" t="str">
        <f>IF(C298="","",IF(ISNUMBER(FIND("AMU",$C$14:$C$548)),1,(SUMIF('[1]REP PRODUCCIÓN'!$H$6:$H$1505,"*"&amp;C298&amp;"*",'[1]REP PRODUCCIÓN'!$E$6:$E$1505))))</f>
        <v/>
      </c>
      <c r="K298" s="53">
        <f t="shared" si="13"/>
        <v>0</v>
      </c>
      <c r="M298" s="54" t="str">
        <f>IFERROR(INDEX('[1]REP DISEÑO'!$BA$9:$BA$1008,MATCH('INDIC-DIS2'!C298,'[1]REP DISEÑO'!$D$9:$D$1008,0)),"")</f>
        <v/>
      </c>
      <c r="N298" s="55"/>
      <c r="O298" s="55"/>
      <c r="P298" s="55"/>
      <c r="R298" s="57" t="str">
        <f t="shared" si="14"/>
        <v/>
      </c>
    </row>
    <row r="299" spans="2:18" ht="26.25" customHeight="1" x14ac:dyDescent="0.25">
      <c r="B299" s="49">
        <f t="shared" si="12"/>
        <v>0</v>
      </c>
      <c r="C299" s="50" t="str">
        <f t="array" ref="C299">IFERROR(INDEX('[1]REP DISEÑO'!$D$9:$D$1008,SMALL(IF('[1]REP DISEÑO'!$AW$9:$AW$1008=$J$1,ROW('[1]REP DISEÑO'!$N$9:$N$1008)-ROW('[1]REP DISEÑO'!$N$9),""),ROWS(C$14:C299))+1),"")</f>
        <v/>
      </c>
      <c r="D299" s="51" t="str">
        <f>IFERROR(INDEX('[1]REP DISEÑO'!$N$9:$N$1508,MATCH(C299,'[1]REP DISEÑO'!$D$9:$D$1508,0)),"")</f>
        <v/>
      </c>
      <c r="E299" s="51" t="str">
        <f>IFERROR(INDEX('[1]REP DISEÑO'!$G$9:$G$1508,MATCH(C299,'[1]REP DISEÑO'!$D$9:$D$1508,0)),"")</f>
        <v/>
      </c>
      <c r="F299" s="51" t="str">
        <f>IFERROR(INDEX('[1]REP DISEÑO'!$I$9:$I$1508,MATCH(C299,'[1]REP DISEÑO'!$D$9:$D$1508,0)),"")</f>
        <v/>
      </c>
      <c r="G299" s="51" t="str">
        <f>IFERROR(INDEX('[1]REP DISEÑO'!$M$9:$M$1508,MATCH(C299,'[1]REP DISEÑO'!$D$9:$D$1508,0)),"")</f>
        <v/>
      </c>
      <c r="H299" s="51" t="str">
        <f>IFERROR(INDEX('[1]REP DISEÑO'!$J$9:$J$1508,MATCH(C299,'[1]REP DISEÑO'!$D$9:$D$1508,0)),"")</f>
        <v/>
      </c>
      <c r="I299" s="52" t="str">
        <f>IFERROR(INDEX('[1]REP DISEÑO'!$C$9:$C$1508,MATCH(C299,'[1]REP DISEÑO'!$D$9:$D$1508,0)),"")</f>
        <v/>
      </c>
      <c r="J299" s="53" t="str">
        <f>IF(C299="","",IF(ISNUMBER(FIND("AMU",$C$14:$C$548)),1,(SUMIF('[1]REP PRODUCCIÓN'!$H$6:$H$1505,"*"&amp;C299&amp;"*",'[1]REP PRODUCCIÓN'!$E$6:$E$1505))))</f>
        <v/>
      </c>
      <c r="K299" s="53">
        <f t="shared" si="13"/>
        <v>0</v>
      </c>
      <c r="M299" s="54" t="str">
        <f>IFERROR(INDEX('[1]REP DISEÑO'!$BA$9:$BA$1008,MATCH('INDIC-DIS2'!C299,'[1]REP DISEÑO'!$D$9:$D$1008,0)),"")</f>
        <v/>
      </c>
      <c r="N299" s="55"/>
      <c r="O299" s="55"/>
      <c r="P299" s="55"/>
      <c r="R299" s="57" t="str">
        <f t="shared" si="14"/>
        <v/>
      </c>
    </row>
    <row r="300" spans="2:18" ht="26.25" customHeight="1" x14ac:dyDescent="0.25">
      <c r="B300" s="49">
        <f t="shared" si="12"/>
        <v>0</v>
      </c>
      <c r="C300" s="50" t="str">
        <f t="array" ref="C300">IFERROR(INDEX('[1]REP DISEÑO'!$D$9:$D$1008,SMALL(IF('[1]REP DISEÑO'!$AW$9:$AW$1008=$J$1,ROW('[1]REP DISEÑO'!$N$9:$N$1008)-ROW('[1]REP DISEÑO'!$N$9),""),ROWS(C$14:C300))+1),"")</f>
        <v/>
      </c>
      <c r="D300" s="51" t="str">
        <f>IFERROR(INDEX('[1]REP DISEÑO'!$N$9:$N$1508,MATCH(C300,'[1]REP DISEÑO'!$D$9:$D$1508,0)),"")</f>
        <v/>
      </c>
      <c r="E300" s="51" t="str">
        <f>IFERROR(INDEX('[1]REP DISEÑO'!$G$9:$G$1508,MATCH(C300,'[1]REP DISEÑO'!$D$9:$D$1508,0)),"")</f>
        <v/>
      </c>
      <c r="F300" s="51" t="str">
        <f>IFERROR(INDEX('[1]REP DISEÑO'!$I$9:$I$1508,MATCH(C300,'[1]REP DISEÑO'!$D$9:$D$1508,0)),"")</f>
        <v/>
      </c>
      <c r="G300" s="51" t="str">
        <f>IFERROR(INDEX('[1]REP DISEÑO'!$M$9:$M$1508,MATCH(C300,'[1]REP DISEÑO'!$D$9:$D$1508,0)),"")</f>
        <v/>
      </c>
      <c r="H300" s="51" t="str">
        <f>IFERROR(INDEX('[1]REP DISEÑO'!$J$9:$J$1508,MATCH(C300,'[1]REP DISEÑO'!$D$9:$D$1508,0)),"")</f>
        <v/>
      </c>
      <c r="I300" s="52" t="str">
        <f>IFERROR(INDEX('[1]REP DISEÑO'!$C$9:$C$1508,MATCH(C300,'[1]REP DISEÑO'!$D$9:$D$1508,0)),"")</f>
        <v/>
      </c>
      <c r="J300" s="53" t="str">
        <f>IF(C300="","",IF(ISNUMBER(FIND("AMU",$C$14:$C$548)),1,(SUMIF('[1]REP PRODUCCIÓN'!$H$6:$H$1505,"*"&amp;C300&amp;"*",'[1]REP PRODUCCIÓN'!$E$6:$E$1505))))</f>
        <v/>
      </c>
      <c r="K300" s="53">
        <f t="shared" si="13"/>
        <v>0</v>
      </c>
      <c r="M300" s="54" t="str">
        <f>IFERROR(INDEX('[1]REP DISEÑO'!$BA$9:$BA$1008,MATCH('INDIC-DIS2'!C300,'[1]REP DISEÑO'!$D$9:$D$1008,0)),"")</f>
        <v/>
      </c>
      <c r="N300" s="55"/>
      <c r="O300" s="55"/>
      <c r="P300" s="55"/>
      <c r="R300" s="57" t="str">
        <f t="shared" si="14"/>
        <v/>
      </c>
    </row>
    <row r="301" spans="2:18" ht="26.25" customHeight="1" x14ac:dyDescent="0.25">
      <c r="B301" s="49">
        <f t="shared" si="12"/>
        <v>0</v>
      </c>
      <c r="C301" s="50" t="str">
        <f t="array" ref="C301">IFERROR(INDEX('[1]REP DISEÑO'!$D$9:$D$1008,SMALL(IF('[1]REP DISEÑO'!$AW$9:$AW$1008=$J$1,ROW('[1]REP DISEÑO'!$N$9:$N$1008)-ROW('[1]REP DISEÑO'!$N$9),""),ROWS(C$14:C301))+1),"")</f>
        <v/>
      </c>
      <c r="D301" s="51" t="str">
        <f>IFERROR(INDEX('[1]REP DISEÑO'!$N$9:$N$1508,MATCH(C301,'[1]REP DISEÑO'!$D$9:$D$1508,0)),"")</f>
        <v/>
      </c>
      <c r="E301" s="51" t="str">
        <f>IFERROR(INDEX('[1]REP DISEÑO'!$G$9:$G$1508,MATCH(C301,'[1]REP DISEÑO'!$D$9:$D$1508,0)),"")</f>
        <v/>
      </c>
      <c r="F301" s="51" t="str">
        <f>IFERROR(INDEX('[1]REP DISEÑO'!$I$9:$I$1508,MATCH(C301,'[1]REP DISEÑO'!$D$9:$D$1508,0)),"")</f>
        <v/>
      </c>
      <c r="G301" s="51" t="str">
        <f>IFERROR(INDEX('[1]REP DISEÑO'!$M$9:$M$1508,MATCH(C301,'[1]REP DISEÑO'!$D$9:$D$1508,0)),"")</f>
        <v/>
      </c>
      <c r="H301" s="51" t="str">
        <f>IFERROR(INDEX('[1]REP DISEÑO'!$J$9:$J$1508,MATCH(C301,'[1]REP DISEÑO'!$D$9:$D$1508,0)),"")</f>
        <v/>
      </c>
      <c r="I301" s="52" t="str">
        <f>IFERROR(INDEX('[1]REP DISEÑO'!$C$9:$C$1508,MATCH(C301,'[1]REP DISEÑO'!$D$9:$D$1508,0)),"")</f>
        <v/>
      </c>
      <c r="J301" s="53" t="str">
        <f>IF(C301="","",IF(ISNUMBER(FIND("AMU",$C$14:$C$548)),1,(SUMIF('[1]REP PRODUCCIÓN'!$H$6:$H$1505,"*"&amp;C301&amp;"*",'[1]REP PRODUCCIÓN'!$E$6:$E$1505))))</f>
        <v/>
      </c>
      <c r="K301" s="53">
        <f t="shared" si="13"/>
        <v>0</v>
      </c>
      <c r="M301" s="54" t="str">
        <f>IFERROR(INDEX('[1]REP DISEÑO'!$BA$9:$BA$1008,MATCH('INDIC-DIS2'!C301,'[1]REP DISEÑO'!$D$9:$D$1008,0)),"")</f>
        <v/>
      </c>
      <c r="N301" s="55"/>
      <c r="O301" s="55"/>
      <c r="P301" s="55"/>
      <c r="R301" s="57" t="str">
        <f t="shared" si="14"/>
        <v/>
      </c>
    </row>
    <row r="302" spans="2:18" ht="26.25" customHeight="1" x14ac:dyDescent="0.25">
      <c r="B302" s="49">
        <f t="shared" si="12"/>
        <v>0</v>
      </c>
      <c r="C302" s="50" t="str">
        <f t="array" ref="C302">IFERROR(INDEX('[1]REP DISEÑO'!$D$9:$D$1008,SMALL(IF('[1]REP DISEÑO'!$AW$9:$AW$1008=$J$1,ROW('[1]REP DISEÑO'!$N$9:$N$1008)-ROW('[1]REP DISEÑO'!$N$9),""),ROWS(C$14:C302))+1),"")</f>
        <v/>
      </c>
      <c r="D302" s="51" t="str">
        <f>IFERROR(INDEX('[1]REP DISEÑO'!$N$9:$N$1508,MATCH(C302,'[1]REP DISEÑO'!$D$9:$D$1508,0)),"")</f>
        <v/>
      </c>
      <c r="E302" s="51" t="str">
        <f>IFERROR(INDEX('[1]REP DISEÑO'!$G$9:$G$1508,MATCH(C302,'[1]REP DISEÑO'!$D$9:$D$1508,0)),"")</f>
        <v/>
      </c>
      <c r="F302" s="51" t="str">
        <f>IFERROR(INDEX('[1]REP DISEÑO'!$I$9:$I$1508,MATCH(C302,'[1]REP DISEÑO'!$D$9:$D$1508,0)),"")</f>
        <v/>
      </c>
      <c r="G302" s="51" t="str">
        <f>IFERROR(INDEX('[1]REP DISEÑO'!$M$9:$M$1508,MATCH(C302,'[1]REP DISEÑO'!$D$9:$D$1508,0)),"")</f>
        <v/>
      </c>
      <c r="H302" s="51" t="str">
        <f>IFERROR(INDEX('[1]REP DISEÑO'!$J$9:$J$1508,MATCH(C302,'[1]REP DISEÑO'!$D$9:$D$1508,0)),"")</f>
        <v/>
      </c>
      <c r="I302" s="52" t="str">
        <f>IFERROR(INDEX('[1]REP DISEÑO'!$C$9:$C$1508,MATCH(C302,'[1]REP DISEÑO'!$D$9:$D$1508,0)),"")</f>
        <v/>
      </c>
      <c r="J302" s="53" t="str">
        <f>IF(C302="","",IF(ISNUMBER(FIND("AMU",$C$14:$C$548)),1,(SUMIF('[1]REP PRODUCCIÓN'!$H$6:$H$1505,"*"&amp;C302&amp;"*",'[1]REP PRODUCCIÓN'!$E$6:$E$1505))))</f>
        <v/>
      </c>
      <c r="K302" s="53">
        <f t="shared" si="13"/>
        <v>0</v>
      </c>
      <c r="M302" s="54" t="str">
        <f>IFERROR(INDEX('[1]REP DISEÑO'!$BA$9:$BA$1008,MATCH('INDIC-DIS2'!C302,'[1]REP DISEÑO'!$D$9:$D$1008,0)),"")</f>
        <v/>
      </c>
      <c r="N302" s="55"/>
      <c r="O302" s="55"/>
      <c r="P302" s="55"/>
      <c r="R302" s="57" t="str">
        <f t="shared" si="14"/>
        <v/>
      </c>
    </row>
    <row r="303" spans="2:18" ht="26.25" customHeight="1" x14ac:dyDescent="0.25">
      <c r="B303" s="49">
        <f t="shared" si="12"/>
        <v>0</v>
      </c>
      <c r="C303" s="50" t="str">
        <f t="array" ref="C303">IFERROR(INDEX('[1]REP DISEÑO'!$D$9:$D$1008,SMALL(IF('[1]REP DISEÑO'!$AW$9:$AW$1008=$J$1,ROW('[1]REP DISEÑO'!$N$9:$N$1008)-ROW('[1]REP DISEÑO'!$N$9),""),ROWS(C$14:C303))+1),"")</f>
        <v/>
      </c>
      <c r="D303" s="51" t="str">
        <f>IFERROR(INDEX('[1]REP DISEÑO'!$N$9:$N$1508,MATCH(C303,'[1]REP DISEÑO'!$D$9:$D$1508,0)),"")</f>
        <v/>
      </c>
      <c r="E303" s="51" t="str">
        <f>IFERROR(INDEX('[1]REP DISEÑO'!$G$9:$G$1508,MATCH(C303,'[1]REP DISEÑO'!$D$9:$D$1508,0)),"")</f>
        <v/>
      </c>
      <c r="F303" s="51" t="str">
        <f>IFERROR(INDEX('[1]REP DISEÑO'!$I$9:$I$1508,MATCH(C303,'[1]REP DISEÑO'!$D$9:$D$1508,0)),"")</f>
        <v/>
      </c>
      <c r="G303" s="51" t="str">
        <f>IFERROR(INDEX('[1]REP DISEÑO'!$M$9:$M$1508,MATCH(C303,'[1]REP DISEÑO'!$D$9:$D$1508,0)),"")</f>
        <v/>
      </c>
      <c r="H303" s="51" t="str">
        <f>IFERROR(INDEX('[1]REP DISEÑO'!$J$9:$J$1508,MATCH(C303,'[1]REP DISEÑO'!$D$9:$D$1508,0)),"")</f>
        <v/>
      </c>
      <c r="I303" s="52" t="str">
        <f>IFERROR(INDEX('[1]REP DISEÑO'!$C$9:$C$1508,MATCH(C303,'[1]REP DISEÑO'!$D$9:$D$1508,0)),"")</f>
        <v/>
      </c>
      <c r="J303" s="53" t="str">
        <f>IF(C303="","",IF(ISNUMBER(FIND("AMU",$C$14:$C$548)),1,(SUMIF('[1]REP PRODUCCIÓN'!$H$6:$H$1505,"*"&amp;C303&amp;"*",'[1]REP PRODUCCIÓN'!$E$6:$E$1505))))</f>
        <v/>
      </c>
      <c r="K303" s="53">
        <f t="shared" si="13"/>
        <v>0</v>
      </c>
      <c r="M303" s="54" t="str">
        <f>IFERROR(INDEX('[1]REP DISEÑO'!$BA$9:$BA$1008,MATCH('INDIC-DIS2'!C303,'[1]REP DISEÑO'!$D$9:$D$1008,0)),"")</f>
        <v/>
      </c>
      <c r="N303" s="55"/>
      <c r="O303" s="55"/>
      <c r="P303" s="55"/>
      <c r="R303" s="57" t="str">
        <f t="shared" si="14"/>
        <v/>
      </c>
    </row>
    <row r="304" spans="2:18" ht="26.25" customHeight="1" x14ac:dyDescent="0.25">
      <c r="B304" s="49">
        <f t="shared" si="12"/>
        <v>0</v>
      </c>
      <c r="C304" s="50" t="str">
        <f t="array" ref="C304">IFERROR(INDEX('[1]REP DISEÑO'!$D$9:$D$1008,SMALL(IF('[1]REP DISEÑO'!$AW$9:$AW$1008=$J$1,ROW('[1]REP DISEÑO'!$N$9:$N$1008)-ROW('[1]REP DISEÑO'!$N$9),""),ROWS(C$14:C304))+1),"")</f>
        <v/>
      </c>
      <c r="D304" s="51" t="str">
        <f>IFERROR(INDEX('[1]REP DISEÑO'!$N$9:$N$1508,MATCH(C304,'[1]REP DISEÑO'!$D$9:$D$1508,0)),"")</f>
        <v/>
      </c>
      <c r="E304" s="51" t="str">
        <f>IFERROR(INDEX('[1]REP DISEÑO'!$G$9:$G$1508,MATCH(C304,'[1]REP DISEÑO'!$D$9:$D$1508,0)),"")</f>
        <v/>
      </c>
      <c r="F304" s="51" t="str">
        <f>IFERROR(INDEX('[1]REP DISEÑO'!$I$9:$I$1508,MATCH(C304,'[1]REP DISEÑO'!$D$9:$D$1508,0)),"")</f>
        <v/>
      </c>
      <c r="G304" s="51" t="str">
        <f>IFERROR(INDEX('[1]REP DISEÑO'!$M$9:$M$1508,MATCH(C304,'[1]REP DISEÑO'!$D$9:$D$1508,0)),"")</f>
        <v/>
      </c>
      <c r="H304" s="51" t="str">
        <f>IFERROR(INDEX('[1]REP DISEÑO'!$J$9:$J$1508,MATCH(C304,'[1]REP DISEÑO'!$D$9:$D$1508,0)),"")</f>
        <v/>
      </c>
      <c r="I304" s="52" t="str">
        <f>IFERROR(INDEX('[1]REP DISEÑO'!$C$9:$C$1508,MATCH(C304,'[1]REP DISEÑO'!$D$9:$D$1508,0)),"")</f>
        <v/>
      </c>
      <c r="J304" s="53" t="str">
        <f>IF(C304="","",IF(ISNUMBER(FIND("AMU",$C$14:$C$548)),1,(SUMIF('[1]REP PRODUCCIÓN'!$H$6:$H$1505,"*"&amp;C304&amp;"*",'[1]REP PRODUCCIÓN'!$E$6:$E$1505))))</f>
        <v/>
      </c>
      <c r="K304" s="53">
        <f t="shared" si="13"/>
        <v>0</v>
      </c>
      <c r="M304" s="54" t="str">
        <f>IFERROR(INDEX('[1]REP DISEÑO'!$BA$9:$BA$1008,MATCH('INDIC-DIS2'!C304,'[1]REP DISEÑO'!$D$9:$D$1008,0)),"")</f>
        <v/>
      </c>
      <c r="N304" s="55"/>
      <c r="O304" s="55"/>
      <c r="P304" s="55"/>
      <c r="R304" s="57" t="str">
        <f t="shared" si="14"/>
        <v/>
      </c>
    </row>
    <row r="305" spans="2:18" ht="26.25" customHeight="1" x14ac:dyDescent="0.25">
      <c r="B305" s="49">
        <f t="shared" si="12"/>
        <v>0</v>
      </c>
      <c r="C305" s="50" t="str">
        <f t="array" ref="C305">IFERROR(INDEX('[1]REP DISEÑO'!$D$9:$D$1008,SMALL(IF('[1]REP DISEÑO'!$AW$9:$AW$1008=$J$1,ROW('[1]REP DISEÑO'!$N$9:$N$1008)-ROW('[1]REP DISEÑO'!$N$9),""),ROWS(C$14:C305))+1),"")</f>
        <v/>
      </c>
      <c r="D305" s="51" t="str">
        <f>IFERROR(INDEX('[1]REP DISEÑO'!$N$9:$N$1508,MATCH(C305,'[1]REP DISEÑO'!$D$9:$D$1508,0)),"")</f>
        <v/>
      </c>
      <c r="E305" s="51" t="str">
        <f>IFERROR(INDEX('[1]REP DISEÑO'!$G$9:$G$1508,MATCH(C305,'[1]REP DISEÑO'!$D$9:$D$1508,0)),"")</f>
        <v/>
      </c>
      <c r="F305" s="51" t="str">
        <f>IFERROR(INDEX('[1]REP DISEÑO'!$I$9:$I$1508,MATCH(C305,'[1]REP DISEÑO'!$D$9:$D$1508,0)),"")</f>
        <v/>
      </c>
      <c r="G305" s="51" t="str">
        <f>IFERROR(INDEX('[1]REP DISEÑO'!$M$9:$M$1508,MATCH(C305,'[1]REP DISEÑO'!$D$9:$D$1508,0)),"")</f>
        <v/>
      </c>
      <c r="H305" s="51" t="str">
        <f>IFERROR(INDEX('[1]REP DISEÑO'!$J$9:$J$1508,MATCH(C305,'[1]REP DISEÑO'!$D$9:$D$1508,0)),"")</f>
        <v/>
      </c>
      <c r="I305" s="52" t="str">
        <f>IFERROR(INDEX('[1]REP DISEÑO'!$C$9:$C$1508,MATCH(C305,'[1]REP DISEÑO'!$D$9:$D$1508,0)),"")</f>
        <v/>
      </c>
      <c r="J305" s="53" t="str">
        <f>IF(C305="","",IF(ISNUMBER(FIND("AMU",$C$14:$C$548)),1,(SUMIF('[1]REP PRODUCCIÓN'!$H$6:$H$1505,"*"&amp;C305&amp;"*",'[1]REP PRODUCCIÓN'!$E$6:$E$1505))))</f>
        <v/>
      </c>
      <c r="K305" s="53">
        <f t="shared" si="13"/>
        <v>0</v>
      </c>
      <c r="M305" s="54" t="str">
        <f>IFERROR(INDEX('[1]REP DISEÑO'!$BA$9:$BA$1008,MATCH('INDIC-DIS2'!C305,'[1]REP DISEÑO'!$D$9:$D$1008,0)),"")</f>
        <v/>
      </c>
      <c r="N305" s="55"/>
      <c r="O305" s="55"/>
      <c r="P305" s="55"/>
      <c r="R305" s="57" t="str">
        <f t="shared" si="14"/>
        <v/>
      </c>
    </row>
    <row r="306" spans="2:18" ht="26.25" customHeight="1" x14ac:dyDescent="0.25">
      <c r="B306" s="49">
        <f t="shared" si="12"/>
        <v>0</v>
      </c>
      <c r="C306" s="50" t="str">
        <f t="array" ref="C306">IFERROR(INDEX('[1]REP DISEÑO'!$D$9:$D$1008,SMALL(IF('[1]REP DISEÑO'!$AW$9:$AW$1008=$J$1,ROW('[1]REP DISEÑO'!$N$9:$N$1008)-ROW('[1]REP DISEÑO'!$N$9),""),ROWS(C$14:C306))+1),"")</f>
        <v/>
      </c>
      <c r="D306" s="51" t="str">
        <f>IFERROR(INDEX('[1]REP DISEÑO'!$N$9:$N$1508,MATCH(C306,'[1]REP DISEÑO'!$D$9:$D$1508,0)),"")</f>
        <v/>
      </c>
      <c r="E306" s="51" t="str">
        <f>IFERROR(INDEX('[1]REP DISEÑO'!$G$9:$G$1508,MATCH(C306,'[1]REP DISEÑO'!$D$9:$D$1508,0)),"")</f>
        <v/>
      </c>
      <c r="F306" s="51" t="str">
        <f>IFERROR(INDEX('[1]REP DISEÑO'!$I$9:$I$1508,MATCH(C306,'[1]REP DISEÑO'!$D$9:$D$1508,0)),"")</f>
        <v/>
      </c>
      <c r="G306" s="51" t="str">
        <f>IFERROR(INDEX('[1]REP DISEÑO'!$M$9:$M$1508,MATCH(C306,'[1]REP DISEÑO'!$D$9:$D$1508,0)),"")</f>
        <v/>
      </c>
      <c r="H306" s="51" t="str">
        <f>IFERROR(INDEX('[1]REP DISEÑO'!$J$9:$J$1508,MATCH(C306,'[1]REP DISEÑO'!$D$9:$D$1508,0)),"")</f>
        <v/>
      </c>
      <c r="I306" s="52" t="str">
        <f>IFERROR(INDEX('[1]REP DISEÑO'!$C$9:$C$1508,MATCH(C306,'[1]REP DISEÑO'!$D$9:$D$1508,0)),"")</f>
        <v/>
      </c>
      <c r="J306" s="53" t="str">
        <f>IF(C306="","",IF(ISNUMBER(FIND("AMU",$C$14:$C$548)),1,(SUMIF('[1]REP PRODUCCIÓN'!$H$6:$H$1505,"*"&amp;C306&amp;"*",'[1]REP PRODUCCIÓN'!$E$6:$E$1505))))</f>
        <v/>
      </c>
      <c r="K306" s="53">
        <f t="shared" si="13"/>
        <v>0</v>
      </c>
      <c r="M306" s="54" t="str">
        <f>IFERROR(INDEX('[1]REP DISEÑO'!$BA$9:$BA$1008,MATCH('INDIC-DIS2'!C306,'[1]REP DISEÑO'!$D$9:$D$1008,0)),"")</f>
        <v/>
      </c>
      <c r="N306" s="55"/>
      <c r="O306" s="55"/>
      <c r="P306" s="55"/>
      <c r="R306" s="57" t="str">
        <f t="shared" si="14"/>
        <v/>
      </c>
    </row>
    <row r="307" spans="2:18" ht="26.25" customHeight="1" x14ac:dyDescent="0.25">
      <c r="B307" s="49">
        <f t="shared" si="12"/>
        <v>0</v>
      </c>
      <c r="C307" s="50" t="str">
        <f t="array" ref="C307">IFERROR(INDEX('[1]REP DISEÑO'!$D$9:$D$1008,SMALL(IF('[1]REP DISEÑO'!$AW$9:$AW$1008=$J$1,ROW('[1]REP DISEÑO'!$N$9:$N$1008)-ROW('[1]REP DISEÑO'!$N$9),""),ROWS(C$14:C307))+1),"")</f>
        <v/>
      </c>
      <c r="D307" s="51" t="str">
        <f>IFERROR(INDEX('[1]REP DISEÑO'!$N$9:$N$1508,MATCH(C307,'[1]REP DISEÑO'!$D$9:$D$1508,0)),"")</f>
        <v/>
      </c>
      <c r="E307" s="51" t="str">
        <f>IFERROR(INDEX('[1]REP DISEÑO'!$G$9:$G$1508,MATCH(C307,'[1]REP DISEÑO'!$D$9:$D$1508,0)),"")</f>
        <v/>
      </c>
      <c r="F307" s="51" t="str">
        <f>IFERROR(INDEX('[1]REP DISEÑO'!$I$9:$I$1508,MATCH(C307,'[1]REP DISEÑO'!$D$9:$D$1508,0)),"")</f>
        <v/>
      </c>
      <c r="G307" s="51" t="str">
        <f>IFERROR(INDEX('[1]REP DISEÑO'!$M$9:$M$1508,MATCH(C307,'[1]REP DISEÑO'!$D$9:$D$1508,0)),"")</f>
        <v/>
      </c>
      <c r="H307" s="51" t="str">
        <f>IFERROR(INDEX('[1]REP DISEÑO'!$J$9:$J$1508,MATCH(C307,'[1]REP DISEÑO'!$D$9:$D$1508,0)),"")</f>
        <v/>
      </c>
      <c r="I307" s="52" t="str">
        <f>IFERROR(INDEX('[1]REP DISEÑO'!$C$9:$C$1508,MATCH(C307,'[1]REP DISEÑO'!$D$9:$D$1508,0)),"")</f>
        <v/>
      </c>
      <c r="J307" s="53" t="str">
        <f>IF(C307="","",IF(ISNUMBER(FIND("AMU",$C$14:$C$548)),1,(SUMIF('[1]REP PRODUCCIÓN'!$H$6:$H$1505,"*"&amp;C307&amp;"*",'[1]REP PRODUCCIÓN'!$E$6:$E$1505))))</f>
        <v/>
      </c>
      <c r="K307" s="53">
        <f t="shared" si="13"/>
        <v>0</v>
      </c>
      <c r="M307" s="54" t="str">
        <f>IFERROR(INDEX('[1]REP DISEÑO'!$BA$9:$BA$1008,MATCH('INDIC-DIS2'!C307,'[1]REP DISEÑO'!$D$9:$D$1008,0)),"")</f>
        <v/>
      </c>
      <c r="N307" s="55"/>
      <c r="O307" s="55"/>
      <c r="P307" s="55"/>
      <c r="R307" s="57" t="str">
        <f t="shared" si="14"/>
        <v/>
      </c>
    </row>
    <row r="308" spans="2:18" ht="26.25" customHeight="1" x14ac:dyDescent="0.25">
      <c r="B308" s="49">
        <f t="shared" si="12"/>
        <v>0</v>
      </c>
      <c r="C308" s="50" t="str">
        <f t="array" ref="C308">IFERROR(INDEX('[1]REP DISEÑO'!$D$9:$D$1008,SMALL(IF('[1]REP DISEÑO'!$AW$9:$AW$1008=$J$1,ROW('[1]REP DISEÑO'!$N$9:$N$1008)-ROW('[1]REP DISEÑO'!$N$9),""),ROWS(C$14:C308))+1),"")</f>
        <v/>
      </c>
      <c r="D308" s="51" t="str">
        <f>IFERROR(INDEX('[1]REP DISEÑO'!$N$9:$N$1508,MATCH(C308,'[1]REP DISEÑO'!$D$9:$D$1508,0)),"")</f>
        <v/>
      </c>
      <c r="E308" s="51" t="str">
        <f>IFERROR(INDEX('[1]REP DISEÑO'!$G$9:$G$1508,MATCH(C308,'[1]REP DISEÑO'!$D$9:$D$1508,0)),"")</f>
        <v/>
      </c>
      <c r="F308" s="51" t="str">
        <f>IFERROR(INDEX('[1]REP DISEÑO'!$I$9:$I$1508,MATCH(C308,'[1]REP DISEÑO'!$D$9:$D$1508,0)),"")</f>
        <v/>
      </c>
      <c r="G308" s="51" t="str">
        <f>IFERROR(INDEX('[1]REP DISEÑO'!$M$9:$M$1508,MATCH(C308,'[1]REP DISEÑO'!$D$9:$D$1508,0)),"")</f>
        <v/>
      </c>
      <c r="H308" s="51" t="str">
        <f>IFERROR(INDEX('[1]REP DISEÑO'!$J$9:$J$1508,MATCH(C308,'[1]REP DISEÑO'!$D$9:$D$1508,0)),"")</f>
        <v/>
      </c>
      <c r="I308" s="52" t="str">
        <f>IFERROR(INDEX('[1]REP DISEÑO'!$C$9:$C$1508,MATCH(C308,'[1]REP DISEÑO'!$D$9:$D$1508,0)),"")</f>
        <v/>
      </c>
      <c r="J308" s="53" t="str">
        <f>IF(C308="","",IF(ISNUMBER(FIND("AMU",$C$14:$C$548)),1,(SUMIF('[1]REP PRODUCCIÓN'!$H$6:$H$1505,"*"&amp;C308&amp;"*",'[1]REP PRODUCCIÓN'!$E$6:$E$1505))))</f>
        <v/>
      </c>
      <c r="K308" s="53">
        <f t="shared" si="13"/>
        <v>0</v>
      </c>
      <c r="M308" s="54" t="str">
        <f>IFERROR(INDEX('[1]REP DISEÑO'!$BA$9:$BA$1008,MATCH('INDIC-DIS2'!C308,'[1]REP DISEÑO'!$D$9:$D$1008,0)),"")</f>
        <v/>
      </c>
      <c r="N308" s="55"/>
      <c r="O308" s="55"/>
      <c r="P308" s="55"/>
      <c r="R308" s="57" t="str">
        <f t="shared" si="14"/>
        <v/>
      </c>
    </row>
    <row r="309" spans="2:18" ht="26.25" customHeight="1" x14ac:dyDescent="0.25">
      <c r="B309" s="49">
        <f t="shared" si="12"/>
        <v>0</v>
      </c>
      <c r="C309" s="50" t="str">
        <f t="array" ref="C309">IFERROR(INDEX('[1]REP DISEÑO'!$D$9:$D$1008,SMALL(IF('[1]REP DISEÑO'!$AW$9:$AW$1008=$J$1,ROW('[1]REP DISEÑO'!$N$9:$N$1008)-ROW('[1]REP DISEÑO'!$N$9),""),ROWS(C$14:C309))+1),"")</f>
        <v/>
      </c>
      <c r="D309" s="51" t="str">
        <f>IFERROR(INDEX('[1]REP DISEÑO'!$N$9:$N$1508,MATCH(C309,'[1]REP DISEÑO'!$D$9:$D$1508,0)),"")</f>
        <v/>
      </c>
      <c r="E309" s="51" t="str">
        <f>IFERROR(INDEX('[1]REP DISEÑO'!$G$9:$G$1508,MATCH(C309,'[1]REP DISEÑO'!$D$9:$D$1508,0)),"")</f>
        <v/>
      </c>
      <c r="F309" s="51" t="str">
        <f>IFERROR(INDEX('[1]REP DISEÑO'!$I$9:$I$1508,MATCH(C309,'[1]REP DISEÑO'!$D$9:$D$1508,0)),"")</f>
        <v/>
      </c>
      <c r="G309" s="51" t="str">
        <f>IFERROR(INDEX('[1]REP DISEÑO'!$M$9:$M$1508,MATCH(C309,'[1]REP DISEÑO'!$D$9:$D$1508,0)),"")</f>
        <v/>
      </c>
      <c r="H309" s="51" t="str">
        <f>IFERROR(INDEX('[1]REP DISEÑO'!$J$9:$J$1508,MATCH(C309,'[1]REP DISEÑO'!$D$9:$D$1508,0)),"")</f>
        <v/>
      </c>
      <c r="I309" s="52" t="str">
        <f>IFERROR(INDEX('[1]REP DISEÑO'!$C$9:$C$1508,MATCH(C309,'[1]REP DISEÑO'!$D$9:$D$1508,0)),"")</f>
        <v/>
      </c>
      <c r="J309" s="53" t="str">
        <f>IF(C309="","",IF(ISNUMBER(FIND("AMU",$C$14:$C$548)),1,(SUMIF('[1]REP PRODUCCIÓN'!$H$6:$H$1505,"*"&amp;C309&amp;"*",'[1]REP PRODUCCIÓN'!$E$6:$E$1505))))</f>
        <v/>
      </c>
      <c r="K309" s="53">
        <f t="shared" si="13"/>
        <v>0</v>
      </c>
      <c r="M309" s="54" t="str">
        <f>IFERROR(INDEX('[1]REP DISEÑO'!$BA$9:$BA$1008,MATCH('INDIC-DIS2'!C309,'[1]REP DISEÑO'!$D$9:$D$1008,0)),"")</f>
        <v/>
      </c>
      <c r="N309" s="55"/>
      <c r="O309" s="55"/>
      <c r="P309" s="55"/>
      <c r="R309" s="57" t="str">
        <f t="shared" si="14"/>
        <v/>
      </c>
    </row>
    <row r="310" spans="2:18" ht="26.25" customHeight="1" x14ac:dyDescent="0.25">
      <c r="B310" s="49">
        <f t="shared" si="12"/>
        <v>0</v>
      </c>
      <c r="C310" s="50" t="str">
        <f t="array" ref="C310">IFERROR(INDEX('[1]REP DISEÑO'!$D$9:$D$1008,SMALL(IF('[1]REP DISEÑO'!$AW$9:$AW$1008=$J$1,ROW('[1]REP DISEÑO'!$N$9:$N$1008)-ROW('[1]REP DISEÑO'!$N$9),""),ROWS(C$14:C310))+1),"")</f>
        <v/>
      </c>
      <c r="D310" s="51" t="str">
        <f>IFERROR(INDEX('[1]REP DISEÑO'!$N$9:$N$1508,MATCH(C310,'[1]REP DISEÑO'!$D$9:$D$1508,0)),"")</f>
        <v/>
      </c>
      <c r="E310" s="51" t="str">
        <f>IFERROR(INDEX('[1]REP DISEÑO'!$G$9:$G$1508,MATCH(C310,'[1]REP DISEÑO'!$D$9:$D$1508,0)),"")</f>
        <v/>
      </c>
      <c r="F310" s="51" t="str">
        <f>IFERROR(INDEX('[1]REP DISEÑO'!$I$9:$I$1508,MATCH(C310,'[1]REP DISEÑO'!$D$9:$D$1508,0)),"")</f>
        <v/>
      </c>
      <c r="G310" s="51" t="str">
        <f>IFERROR(INDEX('[1]REP DISEÑO'!$M$9:$M$1508,MATCH(C310,'[1]REP DISEÑO'!$D$9:$D$1508,0)),"")</f>
        <v/>
      </c>
      <c r="H310" s="51" t="str">
        <f>IFERROR(INDEX('[1]REP DISEÑO'!$J$9:$J$1508,MATCH(C310,'[1]REP DISEÑO'!$D$9:$D$1508,0)),"")</f>
        <v/>
      </c>
      <c r="I310" s="52" t="str">
        <f>IFERROR(INDEX('[1]REP DISEÑO'!$C$9:$C$1508,MATCH(C310,'[1]REP DISEÑO'!$D$9:$D$1508,0)),"")</f>
        <v/>
      </c>
      <c r="J310" s="53" t="str">
        <f>IF(C310="","",IF(ISNUMBER(FIND("AMU",$C$14:$C$548)),1,(SUMIF('[1]REP PRODUCCIÓN'!$H$6:$H$1505,"*"&amp;C310&amp;"*",'[1]REP PRODUCCIÓN'!$E$6:$E$1505))))</f>
        <v/>
      </c>
      <c r="K310" s="53">
        <f t="shared" si="13"/>
        <v>0</v>
      </c>
      <c r="M310" s="54" t="str">
        <f>IFERROR(INDEX('[1]REP DISEÑO'!$BA$9:$BA$1008,MATCH('INDIC-DIS2'!C310,'[1]REP DISEÑO'!$D$9:$D$1008,0)),"")</f>
        <v/>
      </c>
      <c r="N310" s="55"/>
      <c r="O310" s="55"/>
      <c r="P310" s="55"/>
      <c r="R310" s="57" t="str">
        <f t="shared" si="14"/>
        <v/>
      </c>
    </row>
    <row r="311" spans="2:18" ht="26.25" customHeight="1" x14ac:dyDescent="0.25">
      <c r="B311" s="49">
        <f t="shared" si="12"/>
        <v>0</v>
      </c>
      <c r="C311" s="50" t="str">
        <f t="array" ref="C311">IFERROR(INDEX('[1]REP DISEÑO'!$D$9:$D$1008,SMALL(IF('[1]REP DISEÑO'!$AW$9:$AW$1008=$J$1,ROW('[1]REP DISEÑO'!$N$9:$N$1008)-ROW('[1]REP DISEÑO'!$N$9),""),ROWS(C$14:C311))+1),"")</f>
        <v/>
      </c>
      <c r="D311" s="51" t="str">
        <f>IFERROR(INDEX('[1]REP DISEÑO'!$N$9:$N$1508,MATCH(C311,'[1]REP DISEÑO'!$D$9:$D$1508,0)),"")</f>
        <v/>
      </c>
      <c r="E311" s="51" t="str">
        <f>IFERROR(INDEX('[1]REP DISEÑO'!$G$9:$G$1508,MATCH(C311,'[1]REP DISEÑO'!$D$9:$D$1508,0)),"")</f>
        <v/>
      </c>
      <c r="F311" s="51" t="str">
        <f>IFERROR(INDEX('[1]REP DISEÑO'!$I$9:$I$1508,MATCH(C311,'[1]REP DISEÑO'!$D$9:$D$1508,0)),"")</f>
        <v/>
      </c>
      <c r="G311" s="51" t="str">
        <f>IFERROR(INDEX('[1]REP DISEÑO'!$M$9:$M$1508,MATCH(C311,'[1]REP DISEÑO'!$D$9:$D$1508,0)),"")</f>
        <v/>
      </c>
      <c r="H311" s="51" t="str">
        <f>IFERROR(INDEX('[1]REP DISEÑO'!$J$9:$J$1508,MATCH(C311,'[1]REP DISEÑO'!$D$9:$D$1508,0)),"")</f>
        <v/>
      </c>
      <c r="I311" s="52" t="str">
        <f>IFERROR(INDEX('[1]REP DISEÑO'!$C$9:$C$1508,MATCH(C311,'[1]REP DISEÑO'!$D$9:$D$1508,0)),"")</f>
        <v/>
      </c>
      <c r="J311" s="53" t="str">
        <f>IF(C311="","",IF(ISNUMBER(FIND("AMU",$C$14:$C$548)),1,(SUMIF('[1]REP PRODUCCIÓN'!$H$6:$H$1505,"*"&amp;C311&amp;"*",'[1]REP PRODUCCIÓN'!$E$6:$E$1505))))</f>
        <v/>
      </c>
      <c r="K311" s="53">
        <f t="shared" si="13"/>
        <v>0</v>
      </c>
      <c r="M311" s="54" t="str">
        <f>IFERROR(INDEX('[1]REP DISEÑO'!$BA$9:$BA$1008,MATCH('INDIC-DIS2'!C311,'[1]REP DISEÑO'!$D$9:$D$1008,0)),"")</f>
        <v/>
      </c>
      <c r="N311" s="55"/>
      <c r="O311" s="55"/>
      <c r="P311" s="55"/>
      <c r="R311" s="57" t="str">
        <f t="shared" si="14"/>
        <v/>
      </c>
    </row>
    <row r="312" spans="2:18" ht="26.25" customHeight="1" x14ac:dyDescent="0.25">
      <c r="B312" s="49">
        <f t="shared" si="12"/>
        <v>0</v>
      </c>
      <c r="C312" s="50" t="str">
        <f t="array" ref="C312">IFERROR(INDEX('[1]REP DISEÑO'!$D$9:$D$1008,SMALL(IF('[1]REP DISEÑO'!$AW$9:$AW$1008=$J$1,ROW('[1]REP DISEÑO'!$N$9:$N$1008)-ROW('[1]REP DISEÑO'!$N$9),""),ROWS(C$14:C312))+1),"")</f>
        <v/>
      </c>
      <c r="D312" s="51" t="str">
        <f>IFERROR(INDEX('[1]REP DISEÑO'!$N$9:$N$1508,MATCH(C312,'[1]REP DISEÑO'!$D$9:$D$1508,0)),"")</f>
        <v/>
      </c>
      <c r="E312" s="51" t="str">
        <f>IFERROR(INDEX('[1]REP DISEÑO'!$G$9:$G$1508,MATCH(C312,'[1]REP DISEÑO'!$D$9:$D$1508,0)),"")</f>
        <v/>
      </c>
      <c r="F312" s="51" t="str">
        <f>IFERROR(INDEX('[1]REP DISEÑO'!$I$9:$I$1508,MATCH(C312,'[1]REP DISEÑO'!$D$9:$D$1508,0)),"")</f>
        <v/>
      </c>
      <c r="G312" s="51" t="str">
        <f>IFERROR(INDEX('[1]REP DISEÑO'!$M$9:$M$1508,MATCH(C312,'[1]REP DISEÑO'!$D$9:$D$1508,0)),"")</f>
        <v/>
      </c>
      <c r="H312" s="51" t="str">
        <f>IFERROR(INDEX('[1]REP DISEÑO'!$J$9:$J$1508,MATCH(C312,'[1]REP DISEÑO'!$D$9:$D$1508,0)),"")</f>
        <v/>
      </c>
      <c r="I312" s="52" t="str">
        <f>IFERROR(INDEX('[1]REP DISEÑO'!$C$9:$C$1508,MATCH(C312,'[1]REP DISEÑO'!$D$9:$D$1508,0)),"")</f>
        <v/>
      </c>
      <c r="J312" s="53" t="str">
        <f>IF(C312="","",IF(ISNUMBER(FIND("AMU",$C$14:$C$548)),1,(SUMIF('[1]REP PRODUCCIÓN'!$H$6:$H$1505,"*"&amp;C312&amp;"*",'[1]REP PRODUCCIÓN'!$E$6:$E$1505))))</f>
        <v/>
      </c>
      <c r="K312" s="53">
        <f t="shared" si="13"/>
        <v>0</v>
      </c>
      <c r="M312" s="54" t="str">
        <f>IFERROR(INDEX('[1]REP DISEÑO'!$BA$9:$BA$1008,MATCH('INDIC-DIS2'!C312,'[1]REP DISEÑO'!$D$9:$D$1008,0)),"")</f>
        <v/>
      </c>
      <c r="N312" s="55"/>
      <c r="O312" s="55"/>
      <c r="P312" s="55"/>
      <c r="R312" s="57" t="str">
        <f t="shared" si="14"/>
        <v/>
      </c>
    </row>
    <row r="313" spans="2:18" ht="26.25" customHeight="1" x14ac:dyDescent="0.25">
      <c r="B313" s="49">
        <f t="shared" si="12"/>
        <v>0</v>
      </c>
      <c r="C313" s="50" t="str">
        <f t="array" ref="C313">IFERROR(INDEX('[1]REP DISEÑO'!$D$9:$D$1008,SMALL(IF('[1]REP DISEÑO'!$AW$9:$AW$1008=$J$1,ROW('[1]REP DISEÑO'!$N$9:$N$1008)-ROW('[1]REP DISEÑO'!$N$9),""),ROWS(C$14:C313))+1),"")</f>
        <v/>
      </c>
      <c r="D313" s="51" t="str">
        <f>IFERROR(INDEX('[1]REP DISEÑO'!$N$9:$N$1508,MATCH(C313,'[1]REP DISEÑO'!$D$9:$D$1508,0)),"")</f>
        <v/>
      </c>
      <c r="E313" s="51" t="str">
        <f>IFERROR(INDEX('[1]REP DISEÑO'!$G$9:$G$1508,MATCH(C313,'[1]REP DISEÑO'!$D$9:$D$1508,0)),"")</f>
        <v/>
      </c>
      <c r="F313" s="51" t="str">
        <f>IFERROR(INDEX('[1]REP DISEÑO'!$I$9:$I$1508,MATCH(C313,'[1]REP DISEÑO'!$D$9:$D$1508,0)),"")</f>
        <v/>
      </c>
      <c r="G313" s="51" t="str">
        <f>IFERROR(INDEX('[1]REP DISEÑO'!$M$9:$M$1508,MATCH(C313,'[1]REP DISEÑO'!$D$9:$D$1508,0)),"")</f>
        <v/>
      </c>
      <c r="H313" s="51" t="str">
        <f>IFERROR(INDEX('[1]REP DISEÑO'!$J$9:$J$1508,MATCH(C313,'[1]REP DISEÑO'!$D$9:$D$1508,0)),"")</f>
        <v/>
      </c>
      <c r="I313" s="52" t="str">
        <f>IFERROR(INDEX('[1]REP DISEÑO'!$C$9:$C$1508,MATCH(C313,'[1]REP DISEÑO'!$D$9:$D$1508,0)),"")</f>
        <v/>
      </c>
      <c r="J313" s="53" t="str">
        <f>IF(C313="","",IF(ISNUMBER(FIND("AMU",$C$14:$C$548)),1,(SUMIF('[1]REP PRODUCCIÓN'!$H$6:$H$1505,"*"&amp;C313&amp;"*",'[1]REP PRODUCCIÓN'!$E$6:$E$1505))))</f>
        <v/>
      </c>
      <c r="K313" s="53">
        <f t="shared" si="13"/>
        <v>0</v>
      </c>
      <c r="M313" s="54" t="str">
        <f>IFERROR(INDEX('[1]REP DISEÑO'!$BA$9:$BA$1008,MATCH('INDIC-DIS2'!C313,'[1]REP DISEÑO'!$D$9:$D$1008,0)),"")</f>
        <v/>
      </c>
      <c r="N313" s="55"/>
      <c r="O313" s="55"/>
      <c r="P313" s="55"/>
      <c r="R313" s="57" t="str">
        <f t="shared" si="14"/>
        <v/>
      </c>
    </row>
    <row r="314" spans="2:18" ht="26.25" customHeight="1" x14ac:dyDescent="0.25">
      <c r="B314" s="49">
        <f t="shared" si="12"/>
        <v>0</v>
      </c>
      <c r="C314" s="50" t="str">
        <f t="array" ref="C314">IFERROR(INDEX('[1]REP DISEÑO'!$D$9:$D$1008,SMALL(IF('[1]REP DISEÑO'!$AW$9:$AW$1008=$J$1,ROW('[1]REP DISEÑO'!$N$9:$N$1008)-ROW('[1]REP DISEÑO'!$N$9),""),ROWS(C$14:C314))+1),"")</f>
        <v/>
      </c>
      <c r="D314" s="51" t="str">
        <f>IFERROR(INDEX('[1]REP DISEÑO'!$N$9:$N$1508,MATCH(C314,'[1]REP DISEÑO'!$D$9:$D$1508,0)),"")</f>
        <v/>
      </c>
      <c r="E314" s="51" t="str">
        <f>IFERROR(INDEX('[1]REP DISEÑO'!$G$9:$G$1508,MATCH(C314,'[1]REP DISEÑO'!$D$9:$D$1508,0)),"")</f>
        <v/>
      </c>
      <c r="F314" s="51" t="str">
        <f>IFERROR(INDEX('[1]REP DISEÑO'!$I$9:$I$1508,MATCH(C314,'[1]REP DISEÑO'!$D$9:$D$1508,0)),"")</f>
        <v/>
      </c>
      <c r="G314" s="51" t="str">
        <f>IFERROR(INDEX('[1]REP DISEÑO'!$M$9:$M$1508,MATCH(C314,'[1]REP DISEÑO'!$D$9:$D$1508,0)),"")</f>
        <v/>
      </c>
      <c r="H314" s="51" t="str">
        <f>IFERROR(INDEX('[1]REP DISEÑO'!$J$9:$J$1508,MATCH(C314,'[1]REP DISEÑO'!$D$9:$D$1508,0)),"")</f>
        <v/>
      </c>
      <c r="I314" s="52" t="str">
        <f>IFERROR(INDEX('[1]REP DISEÑO'!$C$9:$C$1508,MATCH(C314,'[1]REP DISEÑO'!$D$9:$D$1508,0)),"")</f>
        <v/>
      </c>
      <c r="J314" s="53" t="str">
        <f>IF(C314="","",IF(ISNUMBER(FIND("AMU",$C$14:$C$548)),1,(SUMIF('[1]REP PRODUCCIÓN'!$H$6:$H$1505,"*"&amp;C314&amp;"*",'[1]REP PRODUCCIÓN'!$E$6:$E$1505))))</f>
        <v/>
      </c>
      <c r="K314" s="53">
        <f t="shared" si="13"/>
        <v>0</v>
      </c>
      <c r="M314" s="54" t="str">
        <f>IFERROR(INDEX('[1]REP DISEÑO'!$BA$9:$BA$1008,MATCH('INDIC-DIS2'!C314,'[1]REP DISEÑO'!$D$9:$D$1008,0)),"")</f>
        <v/>
      </c>
      <c r="N314" s="55"/>
      <c r="O314" s="55"/>
      <c r="P314" s="55"/>
      <c r="R314" s="57" t="str">
        <f t="shared" si="14"/>
        <v/>
      </c>
    </row>
    <row r="315" spans="2:18" ht="26.25" customHeight="1" x14ac:dyDescent="0.25">
      <c r="B315" s="49">
        <f t="shared" si="12"/>
        <v>0</v>
      </c>
      <c r="C315" s="50" t="str">
        <f t="array" ref="C315">IFERROR(INDEX('[1]REP DISEÑO'!$D$9:$D$1008,SMALL(IF('[1]REP DISEÑO'!$AW$9:$AW$1008=$J$1,ROW('[1]REP DISEÑO'!$N$9:$N$1008)-ROW('[1]REP DISEÑO'!$N$9),""),ROWS(C$14:C315))+1),"")</f>
        <v/>
      </c>
      <c r="D315" s="51" t="str">
        <f>IFERROR(INDEX('[1]REP DISEÑO'!$N$9:$N$1508,MATCH(C315,'[1]REP DISEÑO'!$D$9:$D$1508,0)),"")</f>
        <v/>
      </c>
      <c r="E315" s="51" t="str">
        <f>IFERROR(INDEX('[1]REP DISEÑO'!$G$9:$G$1508,MATCH(C315,'[1]REP DISEÑO'!$D$9:$D$1508,0)),"")</f>
        <v/>
      </c>
      <c r="F315" s="51" t="str">
        <f>IFERROR(INDEX('[1]REP DISEÑO'!$I$9:$I$1508,MATCH(C315,'[1]REP DISEÑO'!$D$9:$D$1508,0)),"")</f>
        <v/>
      </c>
      <c r="G315" s="51" t="str">
        <f>IFERROR(INDEX('[1]REP DISEÑO'!$M$9:$M$1508,MATCH(C315,'[1]REP DISEÑO'!$D$9:$D$1508,0)),"")</f>
        <v/>
      </c>
      <c r="H315" s="51" t="str">
        <f>IFERROR(INDEX('[1]REP DISEÑO'!$J$9:$J$1508,MATCH(C315,'[1]REP DISEÑO'!$D$9:$D$1508,0)),"")</f>
        <v/>
      </c>
      <c r="I315" s="52" t="str">
        <f>IFERROR(INDEX('[1]REP DISEÑO'!$C$9:$C$1508,MATCH(C315,'[1]REP DISEÑO'!$D$9:$D$1508,0)),"")</f>
        <v/>
      </c>
      <c r="J315" s="53" t="str">
        <f>IF(C315="","",IF(ISNUMBER(FIND("AMU",$C$14:$C$548)),1,(SUMIF('[1]REP PRODUCCIÓN'!$H$6:$H$1505,"*"&amp;C315&amp;"*",'[1]REP PRODUCCIÓN'!$E$6:$E$1505))))</f>
        <v/>
      </c>
      <c r="K315" s="53">
        <f t="shared" si="13"/>
        <v>0</v>
      </c>
      <c r="M315" s="54" t="str">
        <f>IFERROR(INDEX('[1]REP DISEÑO'!$BA$9:$BA$1008,MATCH('INDIC-DIS2'!C315,'[1]REP DISEÑO'!$D$9:$D$1008,0)),"")</f>
        <v/>
      </c>
      <c r="N315" s="55"/>
      <c r="O315" s="55"/>
      <c r="P315" s="55"/>
      <c r="R315" s="57" t="str">
        <f t="shared" si="14"/>
        <v/>
      </c>
    </row>
    <row r="316" spans="2:18" ht="26.25" customHeight="1" x14ac:dyDescent="0.25">
      <c r="B316" s="49">
        <f t="shared" si="12"/>
        <v>0</v>
      </c>
      <c r="C316" s="50" t="str">
        <f t="array" ref="C316">IFERROR(INDEX('[1]REP DISEÑO'!$D$9:$D$1008,SMALL(IF('[1]REP DISEÑO'!$AW$9:$AW$1008=$J$1,ROW('[1]REP DISEÑO'!$N$9:$N$1008)-ROW('[1]REP DISEÑO'!$N$9),""),ROWS(C$14:C316))+1),"")</f>
        <v/>
      </c>
      <c r="D316" s="51" t="str">
        <f>IFERROR(INDEX('[1]REP DISEÑO'!$N$9:$N$1508,MATCH(C316,'[1]REP DISEÑO'!$D$9:$D$1508,0)),"")</f>
        <v/>
      </c>
      <c r="E316" s="51" t="str">
        <f>IFERROR(INDEX('[1]REP DISEÑO'!$G$9:$G$1508,MATCH(C316,'[1]REP DISEÑO'!$D$9:$D$1508,0)),"")</f>
        <v/>
      </c>
      <c r="F316" s="51" t="str">
        <f>IFERROR(INDEX('[1]REP DISEÑO'!$I$9:$I$1508,MATCH(C316,'[1]REP DISEÑO'!$D$9:$D$1508,0)),"")</f>
        <v/>
      </c>
      <c r="G316" s="51" t="str">
        <f>IFERROR(INDEX('[1]REP DISEÑO'!$M$9:$M$1508,MATCH(C316,'[1]REP DISEÑO'!$D$9:$D$1508,0)),"")</f>
        <v/>
      </c>
      <c r="H316" s="51" t="str">
        <f>IFERROR(INDEX('[1]REP DISEÑO'!$J$9:$J$1508,MATCH(C316,'[1]REP DISEÑO'!$D$9:$D$1508,0)),"")</f>
        <v/>
      </c>
      <c r="I316" s="52" t="str">
        <f>IFERROR(INDEX('[1]REP DISEÑO'!$C$9:$C$1508,MATCH(C316,'[1]REP DISEÑO'!$D$9:$D$1508,0)),"")</f>
        <v/>
      </c>
      <c r="J316" s="53" t="str">
        <f>IF(C316="","",IF(ISNUMBER(FIND("AMU",$C$14:$C$548)),1,(SUMIF('[1]REP PRODUCCIÓN'!$H$6:$H$1505,"*"&amp;C316&amp;"*",'[1]REP PRODUCCIÓN'!$E$6:$E$1505))))</f>
        <v/>
      </c>
      <c r="K316" s="53">
        <f t="shared" si="13"/>
        <v>0</v>
      </c>
      <c r="M316" s="54" t="str">
        <f>IFERROR(INDEX('[1]REP DISEÑO'!$BA$9:$BA$1008,MATCH('INDIC-DIS2'!C316,'[1]REP DISEÑO'!$D$9:$D$1008,0)),"")</f>
        <v/>
      </c>
      <c r="N316" s="55"/>
      <c r="O316" s="55"/>
      <c r="P316" s="55"/>
      <c r="R316" s="57" t="str">
        <f t="shared" si="14"/>
        <v/>
      </c>
    </row>
    <row r="317" spans="2:18" ht="26.25" customHeight="1" x14ac:dyDescent="0.25">
      <c r="B317" s="49">
        <f t="shared" si="12"/>
        <v>0</v>
      </c>
      <c r="C317" s="50" t="str">
        <f t="array" ref="C317">IFERROR(INDEX('[1]REP DISEÑO'!$D$9:$D$1008,SMALL(IF('[1]REP DISEÑO'!$AW$9:$AW$1008=$J$1,ROW('[1]REP DISEÑO'!$N$9:$N$1008)-ROW('[1]REP DISEÑO'!$N$9),""),ROWS(C$14:C317))+1),"")</f>
        <v/>
      </c>
      <c r="D317" s="51" t="str">
        <f>IFERROR(INDEX('[1]REP DISEÑO'!$N$9:$N$1508,MATCH(C317,'[1]REP DISEÑO'!$D$9:$D$1508,0)),"")</f>
        <v/>
      </c>
      <c r="E317" s="51" t="str">
        <f>IFERROR(INDEX('[1]REP DISEÑO'!$G$9:$G$1508,MATCH(C317,'[1]REP DISEÑO'!$D$9:$D$1508,0)),"")</f>
        <v/>
      </c>
      <c r="F317" s="51" t="str">
        <f>IFERROR(INDEX('[1]REP DISEÑO'!$I$9:$I$1508,MATCH(C317,'[1]REP DISEÑO'!$D$9:$D$1508,0)),"")</f>
        <v/>
      </c>
      <c r="G317" s="51" t="str">
        <f>IFERROR(INDEX('[1]REP DISEÑO'!$M$9:$M$1508,MATCH(C317,'[1]REP DISEÑO'!$D$9:$D$1508,0)),"")</f>
        <v/>
      </c>
      <c r="H317" s="51" t="str">
        <f>IFERROR(INDEX('[1]REP DISEÑO'!$J$9:$J$1508,MATCH(C317,'[1]REP DISEÑO'!$D$9:$D$1508,0)),"")</f>
        <v/>
      </c>
      <c r="I317" s="52" t="str">
        <f>IFERROR(INDEX('[1]REP DISEÑO'!$C$9:$C$1508,MATCH(C317,'[1]REP DISEÑO'!$D$9:$D$1508,0)),"")</f>
        <v/>
      </c>
      <c r="J317" s="53" t="str">
        <f>IF(C317="","",IF(ISNUMBER(FIND("AMU",$C$14:$C$548)),1,(SUMIF('[1]REP PRODUCCIÓN'!$H$6:$H$1505,"*"&amp;C317&amp;"*",'[1]REP PRODUCCIÓN'!$E$6:$E$1505))))</f>
        <v/>
      </c>
      <c r="K317" s="53">
        <f t="shared" si="13"/>
        <v>0</v>
      </c>
      <c r="M317" s="54" t="str">
        <f>IFERROR(INDEX('[1]REP DISEÑO'!$BA$9:$BA$1008,MATCH('INDIC-DIS2'!C317,'[1]REP DISEÑO'!$D$9:$D$1008,0)),"")</f>
        <v/>
      </c>
      <c r="N317" s="55"/>
      <c r="O317" s="55"/>
      <c r="P317" s="55"/>
      <c r="R317" s="57" t="str">
        <f t="shared" si="14"/>
        <v/>
      </c>
    </row>
    <row r="318" spans="2:18" ht="26.25" customHeight="1" x14ac:dyDescent="0.25">
      <c r="B318" s="49">
        <f t="shared" si="12"/>
        <v>0</v>
      </c>
      <c r="C318" s="50" t="str">
        <f t="array" ref="C318">IFERROR(INDEX('[1]REP DISEÑO'!$D$9:$D$1008,SMALL(IF('[1]REP DISEÑO'!$AW$9:$AW$1008=$J$1,ROW('[1]REP DISEÑO'!$N$9:$N$1008)-ROW('[1]REP DISEÑO'!$N$9),""),ROWS(C$14:C318))+1),"")</f>
        <v/>
      </c>
      <c r="D318" s="51" t="str">
        <f>IFERROR(INDEX('[1]REP DISEÑO'!$N$9:$N$1508,MATCH(C318,'[1]REP DISEÑO'!$D$9:$D$1508,0)),"")</f>
        <v/>
      </c>
      <c r="E318" s="51" t="str">
        <f>IFERROR(INDEX('[1]REP DISEÑO'!$G$9:$G$1508,MATCH(C318,'[1]REP DISEÑO'!$D$9:$D$1508,0)),"")</f>
        <v/>
      </c>
      <c r="F318" s="51" t="str">
        <f>IFERROR(INDEX('[1]REP DISEÑO'!$I$9:$I$1508,MATCH(C318,'[1]REP DISEÑO'!$D$9:$D$1508,0)),"")</f>
        <v/>
      </c>
      <c r="G318" s="51" t="str">
        <f>IFERROR(INDEX('[1]REP DISEÑO'!$M$9:$M$1508,MATCH(C318,'[1]REP DISEÑO'!$D$9:$D$1508,0)),"")</f>
        <v/>
      </c>
      <c r="H318" s="51" t="str">
        <f>IFERROR(INDEX('[1]REP DISEÑO'!$J$9:$J$1508,MATCH(C318,'[1]REP DISEÑO'!$D$9:$D$1508,0)),"")</f>
        <v/>
      </c>
      <c r="I318" s="52" t="str">
        <f>IFERROR(INDEX('[1]REP DISEÑO'!$C$9:$C$1508,MATCH(C318,'[1]REP DISEÑO'!$D$9:$D$1508,0)),"")</f>
        <v/>
      </c>
      <c r="J318" s="53" t="str">
        <f>IF(C318="","",IF(ISNUMBER(FIND("AMU",$C$14:$C$548)),1,(SUMIF('[1]REP PRODUCCIÓN'!$H$6:$H$1505,"*"&amp;C318&amp;"*",'[1]REP PRODUCCIÓN'!$E$6:$E$1505))))</f>
        <v/>
      </c>
      <c r="K318" s="53">
        <f t="shared" si="13"/>
        <v>0</v>
      </c>
      <c r="M318" s="54" t="str">
        <f>IFERROR(INDEX('[1]REP DISEÑO'!$BA$9:$BA$1008,MATCH('INDIC-DIS2'!C318,'[1]REP DISEÑO'!$D$9:$D$1008,0)),"")</f>
        <v/>
      </c>
      <c r="N318" s="55"/>
      <c r="O318" s="55"/>
      <c r="P318" s="55"/>
      <c r="R318" s="57" t="str">
        <f t="shared" si="14"/>
        <v/>
      </c>
    </row>
    <row r="319" spans="2:18" ht="26.25" customHeight="1" x14ac:dyDescent="0.25">
      <c r="B319" s="49">
        <f t="shared" si="12"/>
        <v>0</v>
      </c>
      <c r="C319" s="50" t="str">
        <f t="array" ref="C319">IFERROR(INDEX('[1]REP DISEÑO'!$D$9:$D$1008,SMALL(IF('[1]REP DISEÑO'!$AW$9:$AW$1008=$J$1,ROW('[1]REP DISEÑO'!$N$9:$N$1008)-ROW('[1]REP DISEÑO'!$N$9),""),ROWS(C$14:C319))+1),"")</f>
        <v/>
      </c>
      <c r="D319" s="51" t="str">
        <f>IFERROR(INDEX('[1]REP DISEÑO'!$N$9:$N$1508,MATCH(C319,'[1]REP DISEÑO'!$D$9:$D$1508,0)),"")</f>
        <v/>
      </c>
      <c r="E319" s="51" t="str">
        <f>IFERROR(INDEX('[1]REP DISEÑO'!$G$9:$G$1508,MATCH(C319,'[1]REP DISEÑO'!$D$9:$D$1508,0)),"")</f>
        <v/>
      </c>
      <c r="F319" s="51" t="str">
        <f>IFERROR(INDEX('[1]REP DISEÑO'!$I$9:$I$1508,MATCH(C319,'[1]REP DISEÑO'!$D$9:$D$1508,0)),"")</f>
        <v/>
      </c>
      <c r="G319" s="51" t="str">
        <f>IFERROR(INDEX('[1]REP DISEÑO'!$M$9:$M$1508,MATCH(C319,'[1]REP DISEÑO'!$D$9:$D$1508,0)),"")</f>
        <v/>
      </c>
      <c r="H319" s="51" t="str">
        <f>IFERROR(INDEX('[1]REP DISEÑO'!$J$9:$J$1508,MATCH(C319,'[1]REP DISEÑO'!$D$9:$D$1508,0)),"")</f>
        <v/>
      </c>
      <c r="I319" s="52" t="str">
        <f>IFERROR(INDEX('[1]REP DISEÑO'!$C$9:$C$1508,MATCH(C319,'[1]REP DISEÑO'!$D$9:$D$1508,0)),"")</f>
        <v/>
      </c>
      <c r="J319" s="53" t="str">
        <f>IF(C319="","",IF(ISNUMBER(FIND("AMU",$C$14:$C$548)),1,(SUMIF('[1]REP PRODUCCIÓN'!$H$6:$H$1505,"*"&amp;C319&amp;"*",'[1]REP PRODUCCIÓN'!$E$6:$E$1505))))</f>
        <v/>
      </c>
      <c r="K319" s="53">
        <f t="shared" si="13"/>
        <v>0</v>
      </c>
      <c r="M319" s="54" t="str">
        <f>IFERROR(INDEX('[1]REP DISEÑO'!$BA$9:$BA$1008,MATCH('INDIC-DIS2'!C319,'[1]REP DISEÑO'!$D$9:$D$1008,0)),"")</f>
        <v/>
      </c>
      <c r="N319" s="55"/>
      <c r="O319" s="55"/>
      <c r="P319" s="55"/>
      <c r="R319" s="57" t="str">
        <f t="shared" si="14"/>
        <v/>
      </c>
    </row>
    <row r="320" spans="2:18" ht="26.25" customHeight="1" x14ac:dyDescent="0.25">
      <c r="B320" s="49">
        <f t="shared" si="12"/>
        <v>0</v>
      </c>
      <c r="C320" s="50" t="str">
        <f t="array" ref="C320">IFERROR(INDEX('[1]REP DISEÑO'!$D$9:$D$1008,SMALL(IF('[1]REP DISEÑO'!$AW$9:$AW$1008=$J$1,ROW('[1]REP DISEÑO'!$N$9:$N$1008)-ROW('[1]REP DISEÑO'!$N$9),""),ROWS(C$14:C320))+1),"")</f>
        <v/>
      </c>
      <c r="D320" s="51" t="str">
        <f>IFERROR(INDEX('[1]REP DISEÑO'!$N$9:$N$1508,MATCH(C320,'[1]REP DISEÑO'!$D$9:$D$1508,0)),"")</f>
        <v/>
      </c>
      <c r="E320" s="51" t="str">
        <f>IFERROR(INDEX('[1]REP DISEÑO'!$G$9:$G$1508,MATCH(C320,'[1]REP DISEÑO'!$D$9:$D$1508,0)),"")</f>
        <v/>
      </c>
      <c r="F320" s="51" t="str">
        <f>IFERROR(INDEX('[1]REP DISEÑO'!$I$9:$I$1508,MATCH(C320,'[1]REP DISEÑO'!$D$9:$D$1508,0)),"")</f>
        <v/>
      </c>
      <c r="G320" s="51" t="str">
        <f>IFERROR(INDEX('[1]REP DISEÑO'!$M$9:$M$1508,MATCH(C320,'[1]REP DISEÑO'!$D$9:$D$1508,0)),"")</f>
        <v/>
      </c>
      <c r="H320" s="51" t="str">
        <f>IFERROR(INDEX('[1]REP DISEÑO'!$J$9:$J$1508,MATCH(C320,'[1]REP DISEÑO'!$D$9:$D$1508,0)),"")</f>
        <v/>
      </c>
      <c r="I320" s="52" t="str">
        <f>IFERROR(INDEX('[1]REP DISEÑO'!$C$9:$C$1508,MATCH(C320,'[1]REP DISEÑO'!$D$9:$D$1508,0)),"")</f>
        <v/>
      </c>
      <c r="J320" s="53" t="str">
        <f>IF(C320="","",IF(ISNUMBER(FIND("AMU",$C$14:$C$548)),1,(SUMIF('[1]REP PRODUCCIÓN'!$H$6:$H$1505,"*"&amp;C320&amp;"*",'[1]REP PRODUCCIÓN'!$E$6:$E$1505))))</f>
        <v/>
      </c>
      <c r="K320" s="53">
        <f t="shared" si="13"/>
        <v>0</v>
      </c>
      <c r="M320" s="54" t="str">
        <f>IFERROR(INDEX('[1]REP DISEÑO'!$BA$9:$BA$1008,MATCH('INDIC-DIS2'!C320,'[1]REP DISEÑO'!$D$9:$D$1008,0)),"")</f>
        <v/>
      </c>
      <c r="N320" s="55"/>
      <c r="O320" s="55"/>
      <c r="P320" s="55"/>
      <c r="R320" s="57" t="str">
        <f t="shared" si="14"/>
        <v/>
      </c>
    </row>
    <row r="321" spans="2:18" ht="26.25" customHeight="1" x14ac:dyDescent="0.25">
      <c r="B321" s="49">
        <f t="shared" si="12"/>
        <v>0</v>
      </c>
      <c r="C321" s="50" t="str">
        <f t="array" ref="C321">IFERROR(INDEX('[1]REP DISEÑO'!$D$9:$D$1008,SMALL(IF('[1]REP DISEÑO'!$AW$9:$AW$1008=$J$1,ROW('[1]REP DISEÑO'!$N$9:$N$1008)-ROW('[1]REP DISEÑO'!$N$9),""),ROWS(C$14:C321))+1),"")</f>
        <v/>
      </c>
      <c r="D321" s="51" t="str">
        <f>IFERROR(INDEX('[1]REP DISEÑO'!$N$9:$N$1508,MATCH(C321,'[1]REP DISEÑO'!$D$9:$D$1508,0)),"")</f>
        <v/>
      </c>
      <c r="E321" s="51" t="str">
        <f>IFERROR(INDEX('[1]REP DISEÑO'!$G$9:$G$1508,MATCH(C321,'[1]REP DISEÑO'!$D$9:$D$1508,0)),"")</f>
        <v/>
      </c>
      <c r="F321" s="51" t="str">
        <f>IFERROR(INDEX('[1]REP DISEÑO'!$I$9:$I$1508,MATCH(C321,'[1]REP DISEÑO'!$D$9:$D$1508,0)),"")</f>
        <v/>
      </c>
      <c r="G321" s="51" t="str">
        <f>IFERROR(INDEX('[1]REP DISEÑO'!$M$9:$M$1508,MATCH(C321,'[1]REP DISEÑO'!$D$9:$D$1508,0)),"")</f>
        <v/>
      </c>
      <c r="H321" s="51" t="str">
        <f>IFERROR(INDEX('[1]REP DISEÑO'!$J$9:$J$1508,MATCH(C321,'[1]REP DISEÑO'!$D$9:$D$1508,0)),"")</f>
        <v/>
      </c>
      <c r="I321" s="52" t="str">
        <f>IFERROR(INDEX('[1]REP DISEÑO'!$C$9:$C$1508,MATCH(C321,'[1]REP DISEÑO'!$D$9:$D$1508,0)),"")</f>
        <v/>
      </c>
      <c r="J321" s="53" t="str">
        <f>IF(C321="","",IF(ISNUMBER(FIND("AMU",$C$14:$C$548)),1,(SUMIF('[1]REP PRODUCCIÓN'!$H$6:$H$1505,"*"&amp;C321&amp;"*",'[1]REP PRODUCCIÓN'!$E$6:$E$1505))))</f>
        <v/>
      </c>
      <c r="K321" s="53">
        <f t="shared" si="13"/>
        <v>0</v>
      </c>
      <c r="M321" s="54" t="str">
        <f>IFERROR(INDEX('[1]REP DISEÑO'!$BA$9:$BA$1008,MATCH('INDIC-DIS2'!C321,'[1]REP DISEÑO'!$D$9:$D$1008,0)),"")</f>
        <v/>
      </c>
      <c r="N321" s="55"/>
      <c r="O321" s="55"/>
      <c r="P321" s="55"/>
      <c r="R321" s="57" t="str">
        <f t="shared" si="14"/>
        <v/>
      </c>
    </row>
    <row r="322" spans="2:18" ht="26.25" customHeight="1" x14ac:dyDescent="0.25">
      <c r="B322" s="49">
        <f t="shared" si="12"/>
        <v>0</v>
      </c>
      <c r="C322" s="50" t="str">
        <f t="array" ref="C322">IFERROR(INDEX('[1]REP DISEÑO'!$D$9:$D$1008,SMALL(IF('[1]REP DISEÑO'!$AW$9:$AW$1008=$J$1,ROW('[1]REP DISEÑO'!$N$9:$N$1008)-ROW('[1]REP DISEÑO'!$N$9),""),ROWS(C$14:C322))+1),"")</f>
        <v/>
      </c>
      <c r="D322" s="51" t="str">
        <f>IFERROR(INDEX('[1]REP DISEÑO'!$N$9:$N$1508,MATCH(C322,'[1]REP DISEÑO'!$D$9:$D$1508,0)),"")</f>
        <v/>
      </c>
      <c r="E322" s="51" t="str">
        <f>IFERROR(INDEX('[1]REP DISEÑO'!$G$9:$G$1508,MATCH(C322,'[1]REP DISEÑO'!$D$9:$D$1508,0)),"")</f>
        <v/>
      </c>
      <c r="F322" s="51" t="str">
        <f>IFERROR(INDEX('[1]REP DISEÑO'!$I$9:$I$1508,MATCH(C322,'[1]REP DISEÑO'!$D$9:$D$1508,0)),"")</f>
        <v/>
      </c>
      <c r="G322" s="51" t="str">
        <f>IFERROR(INDEX('[1]REP DISEÑO'!$M$9:$M$1508,MATCH(C322,'[1]REP DISEÑO'!$D$9:$D$1508,0)),"")</f>
        <v/>
      </c>
      <c r="H322" s="51" t="str">
        <f>IFERROR(INDEX('[1]REP DISEÑO'!$J$9:$J$1508,MATCH(C322,'[1]REP DISEÑO'!$D$9:$D$1508,0)),"")</f>
        <v/>
      </c>
      <c r="I322" s="52" t="str">
        <f>IFERROR(INDEX('[1]REP DISEÑO'!$C$9:$C$1508,MATCH(C322,'[1]REP DISEÑO'!$D$9:$D$1508,0)),"")</f>
        <v/>
      </c>
      <c r="J322" s="53" t="str">
        <f>IF(C322="","",IF(ISNUMBER(FIND("AMU",$C$14:$C$548)),1,(SUMIF('[1]REP PRODUCCIÓN'!$H$6:$H$1505,"*"&amp;C322&amp;"*",'[1]REP PRODUCCIÓN'!$E$6:$E$1505))))</f>
        <v/>
      </c>
      <c r="K322" s="53">
        <f t="shared" si="13"/>
        <v>0</v>
      </c>
      <c r="M322" s="54" t="str">
        <f>IFERROR(INDEX('[1]REP DISEÑO'!$BA$9:$BA$1008,MATCH('INDIC-DIS2'!C322,'[1]REP DISEÑO'!$D$9:$D$1008,0)),"")</f>
        <v/>
      </c>
      <c r="N322" s="55"/>
      <c r="O322" s="55"/>
      <c r="P322" s="55"/>
      <c r="R322" s="57" t="str">
        <f t="shared" si="14"/>
        <v/>
      </c>
    </row>
    <row r="323" spans="2:18" ht="26.25" customHeight="1" x14ac:dyDescent="0.25">
      <c r="B323" s="49">
        <f t="shared" si="12"/>
        <v>0</v>
      </c>
      <c r="C323" s="50" t="str">
        <f t="array" ref="C323">IFERROR(INDEX('[1]REP DISEÑO'!$D$9:$D$1008,SMALL(IF('[1]REP DISEÑO'!$AW$9:$AW$1008=$J$1,ROW('[1]REP DISEÑO'!$N$9:$N$1008)-ROW('[1]REP DISEÑO'!$N$9),""),ROWS(C$14:C323))+1),"")</f>
        <v/>
      </c>
      <c r="D323" s="51" t="str">
        <f>IFERROR(INDEX('[1]REP DISEÑO'!$N$9:$N$1508,MATCH(C323,'[1]REP DISEÑO'!$D$9:$D$1508,0)),"")</f>
        <v/>
      </c>
      <c r="E323" s="51" t="str">
        <f>IFERROR(INDEX('[1]REP DISEÑO'!$G$9:$G$1508,MATCH(C323,'[1]REP DISEÑO'!$D$9:$D$1508,0)),"")</f>
        <v/>
      </c>
      <c r="F323" s="51" t="str">
        <f>IFERROR(INDEX('[1]REP DISEÑO'!$I$9:$I$1508,MATCH(C323,'[1]REP DISEÑO'!$D$9:$D$1508,0)),"")</f>
        <v/>
      </c>
      <c r="G323" s="51" t="str">
        <f>IFERROR(INDEX('[1]REP DISEÑO'!$M$9:$M$1508,MATCH(C323,'[1]REP DISEÑO'!$D$9:$D$1508,0)),"")</f>
        <v/>
      </c>
      <c r="H323" s="51" t="str">
        <f>IFERROR(INDEX('[1]REP DISEÑO'!$J$9:$J$1508,MATCH(C323,'[1]REP DISEÑO'!$D$9:$D$1508,0)),"")</f>
        <v/>
      </c>
      <c r="I323" s="52" t="str">
        <f>IFERROR(INDEX('[1]REP DISEÑO'!$C$9:$C$1508,MATCH(C323,'[1]REP DISEÑO'!$D$9:$D$1508,0)),"")</f>
        <v/>
      </c>
      <c r="J323" s="53" t="str">
        <f>IF(C323="","",IF(ISNUMBER(FIND("AMU",$C$14:$C$548)),1,(SUMIF('[1]REP PRODUCCIÓN'!$H$6:$H$1505,"*"&amp;C323&amp;"*",'[1]REP PRODUCCIÓN'!$E$6:$E$1505))))</f>
        <v/>
      </c>
      <c r="K323" s="53">
        <f t="shared" si="13"/>
        <v>0</v>
      </c>
      <c r="M323" s="54" t="str">
        <f>IFERROR(INDEX('[1]REP DISEÑO'!$BA$9:$BA$1008,MATCH('INDIC-DIS2'!C323,'[1]REP DISEÑO'!$D$9:$D$1008,0)),"")</f>
        <v/>
      </c>
      <c r="N323" s="55"/>
      <c r="O323" s="55"/>
      <c r="P323" s="55"/>
      <c r="R323" s="57" t="str">
        <f t="shared" si="14"/>
        <v/>
      </c>
    </row>
    <row r="324" spans="2:18" ht="26.25" customHeight="1" x14ac:dyDescent="0.25">
      <c r="B324" s="49">
        <f t="shared" si="12"/>
        <v>0</v>
      </c>
      <c r="C324" s="50" t="str">
        <f t="array" ref="C324">IFERROR(INDEX('[1]REP DISEÑO'!$D$9:$D$1008,SMALL(IF('[1]REP DISEÑO'!$AW$9:$AW$1008=$J$1,ROW('[1]REP DISEÑO'!$N$9:$N$1008)-ROW('[1]REP DISEÑO'!$N$9),""),ROWS(C$14:C324))+1),"")</f>
        <v/>
      </c>
      <c r="D324" s="51" t="str">
        <f>IFERROR(INDEX('[1]REP DISEÑO'!$N$9:$N$1508,MATCH(C324,'[1]REP DISEÑO'!$D$9:$D$1508,0)),"")</f>
        <v/>
      </c>
      <c r="E324" s="51" t="str">
        <f>IFERROR(INDEX('[1]REP DISEÑO'!$G$9:$G$1508,MATCH(C324,'[1]REP DISEÑO'!$D$9:$D$1508,0)),"")</f>
        <v/>
      </c>
      <c r="F324" s="51" t="str">
        <f>IFERROR(INDEX('[1]REP DISEÑO'!$I$9:$I$1508,MATCH(C324,'[1]REP DISEÑO'!$D$9:$D$1508,0)),"")</f>
        <v/>
      </c>
      <c r="G324" s="51" t="str">
        <f>IFERROR(INDEX('[1]REP DISEÑO'!$M$9:$M$1508,MATCH(C324,'[1]REP DISEÑO'!$D$9:$D$1508,0)),"")</f>
        <v/>
      </c>
      <c r="H324" s="51" t="str">
        <f>IFERROR(INDEX('[1]REP DISEÑO'!$J$9:$J$1508,MATCH(C324,'[1]REP DISEÑO'!$D$9:$D$1508,0)),"")</f>
        <v/>
      </c>
      <c r="I324" s="52" t="str">
        <f>IFERROR(INDEX('[1]REP DISEÑO'!$C$9:$C$1508,MATCH(C324,'[1]REP DISEÑO'!$D$9:$D$1508,0)),"")</f>
        <v/>
      </c>
      <c r="J324" s="53" t="str">
        <f>IF(C324="","",IF(ISNUMBER(FIND("AMU",$C$14:$C$548)),1,(SUMIF('[1]REP PRODUCCIÓN'!$H$6:$H$1505,"*"&amp;C324&amp;"*",'[1]REP PRODUCCIÓN'!$E$6:$E$1505))))</f>
        <v/>
      </c>
      <c r="K324" s="53">
        <f t="shared" si="13"/>
        <v>0</v>
      </c>
      <c r="M324" s="54" t="str">
        <f>IFERROR(INDEX('[1]REP DISEÑO'!$BA$9:$BA$1008,MATCH('INDIC-DIS2'!C324,'[1]REP DISEÑO'!$D$9:$D$1008,0)),"")</f>
        <v/>
      </c>
      <c r="N324" s="55"/>
      <c r="O324" s="55"/>
      <c r="P324" s="55"/>
      <c r="R324" s="57" t="str">
        <f t="shared" si="14"/>
        <v/>
      </c>
    </row>
    <row r="325" spans="2:18" ht="26.25" customHeight="1" x14ac:dyDescent="0.25">
      <c r="B325" s="49">
        <f t="shared" si="12"/>
        <v>0</v>
      </c>
      <c r="C325" s="50" t="str">
        <f t="array" ref="C325">IFERROR(INDEX('[1]REP DISEÑO'!$D$9:$D$1008,SMALL(IF('[1]REP DISEÑO'!$AW$9:$AW$1008=$J$1,ROW('[1]REP DISEÑO'!$N$9:$N$1008)-ROW('[1]REP DISEÑO'!$N$9),""),ROWS(C$14:C325))+1),"")</f>
        <v/>
      </c>
      <c r="D325" s="51" t="str">
        <f>IFERROR(INDEX('[1]REP DISEÑO'!$N$9:$N$1508,MATCH(C325,'[1]REP DISEÑO'!$D$9:$D$1508,0)),"")</f>
        <v/>
      </c>
      <c r="E325" s="51" t="str">
        <f>IFERROR(INDEX('[1]REP DISEÑO'!$G$9:$G$1508,MATCH(C325,'[1]REP DISEÑO'!$D$9:$D$1508,0)),"")</f>
        <v/>
      </c>
      <c r="F325" s="51" t="str">
        <f>IFERROR(INDEX('[1]REP DISEÑO'!$I$9:$I$1508,MATCH(C325,'[1]REP DISEÑO'!$D$9:$D$1508,0)),"")</f>
        <v/>
      </c>
      <c r="G325" s="51" t="str">
        <f>IFERROR(INDEX('[1]REP DISEÑO'!$M$9:$M$1508,MATCH(C325,'[1]REP DISEÑO'!$D$9:$D$1508,0)),"")</f>
        <v/>
      </c>
      <c r="H325" s="51" t="str">
        <f>IFERROR(INDEX('[1]REP DISEÑO'!$J$9:$J$1508,MATCH(C325,'[1]REP DISEÑO'!$D$9:$D$1508,0)),"")</f>
        <v/>
      </c>
      <c r="I325" s="52" t="str">
        <f>IFERROR(INDEX('[1]REP DISEÑO'!$C$9:$C$1508,MATCH(C325,'[1]REP DISEÑO'!$D$9:$D$1508,0)),"")</f>
        <v/>
      </c>
      <c r="J325" s="53" t="str">
        <f>IF(C325="","",IF(ISNUMBER(FIND("AMU",$C$14:$C$548)),1,(SUMIF('[1]REP PRODUCCIÓN'!$H$6:$H$1505,"*"&amp;C325&amp;"*",'[1]REP PRODUCCIÓN'!$E$6:$E$1505))))</f>
        <v/>
      </c>
      <c r="K325" s="53">
        <f t="shared" si="13"/>
        <v>0</v>
      </c>
      <c r="M325" s="54" t="str">
        <f>IFERROR(INDEX('[1]REP DISEÑO'!$BA$9:$BA$1008,MATCH('INDIC-DIS2'!C325,'[1]REP DISEÑO'!$D$9:$D$1008,0)),"")</f>
        <v/>
      </c>
      <c r="N325" s="55"/>
      <c r="O325" s="55"/>
      <c r="P325" s="55"/>
      <c r="R325" s="57" t="str">
        <f t="shared" si="14"/>
        <v/>
      </c>
    </row>
    <row r="326" spans="2:18" ht="26.25" customHeight="1" x14ac:dyDescent="0.25">
      <c r="B326" s="49">
        <f t="shared" si="12"/>
        <v>0</v>
      </c>
      <c r="C326" s="50" t="str">
        <f t="array" ref="C326">IFERROR(INDEX('[1]REP DISEÑO'!$D$9:$D$1008,SMALL(IF('[1]REP DISEÑO'!$AW$9:$AW$1008=$J$1,ROW('[1]REP DISEÑO'!$N$9:$N$1008)-ROW('[1]REP DISEÑO'!$N$9),""),ROWS(C$14:C326))+1),"")</f>
        <v/>
      </c>
      <c r="D326" s="51" t="str">
        <f>IFERROR(INDEX('[1]REP DISEÑO'!$N$9:$N$1508,MATCH(C326,'[1]REP DISEÑO'!$D$9:$D$1508,0)),"")</f>
        <v/>
      </c>
      <c r="E326" s="51" t="str">
        <f>IFERROR(INDEX('[1]REP DISEÑO'!$G$9:$G$1508,MATCH(C326,'[1]REP DISEÑO'!$D$9:$D$1508,0)),"")</f>
        <v/>
      </c>
      <c r="F326" s="51" t="str">
        <f>IFERROR(INDEX('[1]REP DISEÑO'!$I$9:$I$1508,MATCH(C326,'[1]REP DISEÑO'!$D$9:$D$1508,0)),"")</f>
        <v/>
      </c>
      <c r="G326" s="51" t="str">
        <f>IFERROR(INDEX('[1]REP DISEÑO'!$M$9:$M$1508,MATCH(C326,'[1]REP DISEÑO'!$D$9:$D$1508,0)),"")</f>
        <v/>
      </c>
      <c r="H326" s="51" t="str">
        <f>IFERROR(INDEX('[1]REP DISEÑO'!$J$9:$J$1508,MATCH(C326,'[1]REP DISEÑO'!$D$9:$D$1508,0)),"")</f>
        <v/>
      </c>
      <c r="I326" s="52" t="str">
        <f>IFERROR(INDEX('[1]REP DISEÑO'!$C$9:$C$1508,MATCH(C326,'[1]REP DISEÑO'!$D$9:$D$1508,0)),"")</f>
        <v/>
      </c>
      <c r="J326" s="53" t="str">
        <f>IF(C326="","",IF(ISNUMBER(FIND("AMU",$C$14:$C$548)),1,(SUMIF('[1]REP PRODUCCIÓN'!$H$6:$H$1505,"*"&amp;C326&amp;"*",'[1]REP PRODUCCIÓN'!$E$6:$E$1505))))</f>
        <v/>
      </c>
      <c r="K326" s="53">
        <f t="shared" si="13"/>
        <v>0</v>
      </c>
      <c r="M326" s="54" t="str">
        <f>IFERROR(INDEX('[1]REP DISEÑO'!$BA$9:$BA$1008,MATCH('INDIC-DIS2'!C326,'[1]REP DISEÑO'!$D$9:$D$1008,0)),"")</f>
        <v/>
      </c>
      <c r="N326" s="55"/>
      <c r="O326" s="55"/>
      <c r="P326" s="55"/>
      <c r="R326" s="57" t="str">
        <f t="shared" si="14"/>
        <v/>
      </c>
    </row>
    <row r="327" spans="2:18" ht="26.25" customHeight="1" x14ac:dyDescent="0.25">
      <c r="B327" s="49">
        <f t="shared" si="12"/>
        <v>0</v>
      </c>
      <c r="C327" s="50" t="str">
        <f t="array" ref="C327">IFERROR(INDEX('[1]REP DISEÑO'!$D$9:$D$1008,SMALL(IF('[1]REP DISEÑO'!$AW$9:$AW$1008=$J$1,ROW('[1]REP DISEÑO'!$N$9:$N$1008)-ROW('[1]REP DISEÑO'!$N$9),""),ROWS(C$14:C327))+1),"")</f>
        <v/>
      </c>
      <c r="D327" s="51" t="str">
        <f>IFERROR(INDEX('[1]REP DISEÑO'!$N$9:$N$1508,MATCH(C327,'[1]REP DISEÑO'!$D$9:$D$1508,0)),"")</f>
        <v/>
      </c>
      <c r="E327" s="51" t="str">
        <f>IFERROR(INDEX('[1]REP DISEÑO'!$G$9:$G$1508,MATCH(C327,'[1]REP DISEÑO'!$D$9:$D$1508,0)),"")</f>
        <v/>
      </c>
      <c r="F327" s="51" t="str">
        <f>IFERROR(INDEX('[1]REP DISEÑO'!$I$9:$I$1508,MATCH(C327,'[1]REP DISEÑO'!$D$9:$D$1508,0)),"")</f>
        <v/>
      </c>
      <c r="G327" s="51" t="str">
        <f>IFERROR(INDEX('[1]REP DISEÑO'!$M$9:$M$1508,MATCH(C327,'[1]REP DISEÑO'!$D$9:$D$1508,0)),"")</f>
        <v/>
      </c>
      <c r="H327" s="51" t="str">
        <f>IFERROR(INDEX('[1]REP DISEÑO'!$J$9:$J$1508,MATCH(C327,'[1]REP DISEÑO'!$D$9:$D$1508,0)),"")</f>
        <v/>
      </c>
      <c r="I327" s="52" t="str">
        <f>IFERROR(INDEX('[1]REP DISEÑO'!$C$9:$C$1508,MATCH(C327,'[1]REP DISEÑO'!$D$9:$D$1508,0)),"")</f>
        <v/>
      </c>
      <c r="J327" s="53" t="str">
        <f>IF(C327="","",IF(ISNUMBER(FIND("AMU",$C$14:$C$548)),1,(SUMIF('[1]REP PRODUCCIÓN'!$H$6:$H$1505,"*"&amp;C327&amp;"*",'[1]REP PRODUCCIÓN'!$E$6:$E$1505))))</f>
        <v/>
      </c>
      <c r="K327" s="53">
        <f t="shared" si="13"/>
        <v>0</v>
      </c>
      <c r="M327" s="54" t="str">
        <f>IFERROR(INDEX('[1]REP DISEÑO'!$BA$9:$BA$1008,MATCH('INDIC-DIS2'!C327,'[1]REP DISEÑO'!$D$9:$D$1008,0)),"")</f>
        <v/>
      </c>
      <c r="N327" s="55"/>
      <c r="O327" s="55"/>
      <c r="P327" s="55"/>
      <c r="R327" s="57" t="str">
        <f t="shared" si="14"/>
        <v/>
      </c>
    </row>
    <row r="328" spans="2:18" ht="26.25" customHeight="1" x14ac:dyDescent="0.25">
      <c r="B328" s="49">
        <f t="shared" si="12"/>
        <v>0</v>
      </c>
      <c r="C328" s="50" t="str">
        <f t="array" ref="C328">IFERROR(INDEX('[1]REP DISEÑO'!$D$9:$D$1008,SMALL(IF('[1]REP DISEÑO'!$AW$9:$AW$1008=$J$1,ROW('[1]REP DISEÑO'!$N$9:$N$1008)-ROW('[1]REP DISEÑO'!$N$9),""),ROWS(C$14:C328))+1),"")</f>
        <v/>
      </c>
      <c r="D328" s="51" t="str">
        <f>IFERROR(INDEX('[1]REP DISEÑO'!$N$9:$N$1508,MATCH(C328,'[1]REP DISEÑO'!$D$9:$D$1508,0)),"")</f>
        <v/>
      </c>
      <c r="E328" s="51" t="str">
        <f>IFERROR(INDEX('[1]REP DISEÑO'!$G$9:$G$1508,MATCH(C328,'[1]REP DISEÑO'!$D$9:$D$1508,0)),"")</f>
        <v/>
      </c>
      <c r="F328" s="51" t="str">
        <f>IFERROR(INDEX('[1]REP DISEÑO'!$I$9:$I$1508,MATCH(C328,'[1]REP DISEÑO'!$D$9:$D$1508,0)),"")</f>
        <v/>
      </c>
      <c r="G328" s="51" t="str">
        <f>IFERROR(INDEX('[1]REP DISEÑO'!$M$9:$M$1508,MATCH(C328,'[1]REP DISEÑO'!$D$9:$D$1508,0)),"")</f>
        <v/>
      </c>
      <c r="H328" s="51" t="str">
        <f>IFERROR(INDEX('[1]REP DISEÑO'!$J$9:$J$1508,MATCH(C328,'[1]REP DISEÑO'!$D$9:$D$1508,0)),"")</f>
        <v/>
      </c>
      <c r="I328" s="52" t="str">
        <f>IFERROR(INDEX('[1]REP DISEÑO'!$C$9:$C$1508,MATCH(C328,'[1]REP DISEÑO'!$D$9:$D$1508,0)),"")</f>
        <v/>
      </c>
      <c r="J328" s="53" t="str">
        <f>IF(C328="","",IF(ISNUMBER(FIND("AMU",$C$14:$C$548)),1,(SUMIF('[1]REP PRODUCCIÓN'!$H$6:$H$1505,"*"&amp;C328&amp;"*",'[1]REP PRODUCCIÓN'!$E$6:$E$1505))))</f>
        <v/>
      </c>
      <c r="K328" s="53">
        <f t="shared" si="13"/>
        <v>0</v>
      </c>
      <c r="M328" s="54" t="str">
        <f>IFERROR(INDEX('[1]REP DISEÑO'!$BA$9:$BA$1008,MATCH('INDIC-DIS2'!C328,'[1]REP DISEÑO'!$D$9:$D$1008,0)),"")</f>
        <v/>
      </c>
      <c r="N328" s="55"/>
      <c r="O328" s="55"/>
      <c r="P328" s="55"/>
      <c r="R328" s="57" t="str">
        <f t="shared" si="14"/>
        <v/>
      </c>
    </row>
    <row r="329" spans="2:18" ht="26.25" customHeight="1" x14ac:dyDescent="0.25">
      <c r="B329" s="49">
        <f t="shared" si="12"/>
        <v>0</v>
      </c>
      <c r="C329" s="50" t="str">
        <f t="array" ref="C329">IFERROR(INDEX('[1]REP DISEÑO'!$D$9:$D$1008,SMALL(IF('[1]REP DISEÑO'!$AW$9:$AW$1008=$J$1,ROW('[1]REP DISEÑO'!$N$9:$N$1008)-ROW('[1]REP DISEÑO'!$N$9),""),ROWS(C$14:C329))+1),"")</f>
        <v/>
      </c>
      <c r="D329" s="51" t="str">
        <f>IFERROR(INDEX('[1]REP DISEÑO'!$N$9:$N$1508,MATCH(C329,'[1]REP DISEÑO'!$D$9:$D$1508,0)),"")</f>
        <v/>
      </c>
      <c r="E329" s="51" t="str">
        <f>IFERROR(INDEX('[1]REP DISEÑO'!$G$9:$G$1508,MATCH(C329,'[1]REP DISEÑO'!$D$9:$D$1508,0)),"")</f>
        <v/>
      </c>
      <c r="F329" s="51" t="str">
        <f>IFERROR(INDEX('[1]REP DISEÑO'!$I$9:$I$1508,MATCH(C329,'[1]REP DISEÑO'!$D$9:$D$1508,0)),"")</f>
        <v/>
      </c>
      <c r="G329" s="51" t="str">
        <f>IFERROR(INDEX('[1]REP DISEÑO'!$M$9:$M$1508,MATCH(C329,'[1]REP DISEÑO'!$D$9:$D$1508,0)),"")</f>
        <v/>
      </c>
      <c r="H329" s="51" t="str">
        <f>IFERROR(INDEX('[1]REP DISEÑO'!$J$9:$J$1508,MATCH(C329,'[1]REP DISEÑO'!$D$9:$D$1508,0)),"")</f>
        <v/>
      </c>
      <c r="I329" s="52" t="str">
        <f>IFERROR(INDEX('[1]REP DISEÑO'!$C$9:$C$1508,MATCH(C329,'[1]REP DISEÑO'!$D$9:$D$1508,0)),"")</f>
        <v/>
      </c>
      <c r="J329" s="53" t="str">
        <f>IF(C329="","",IF(ISNUMBER(FIND("AMU",$C$14:$C$548)),1,(SUMIF('[1]REP PRODUCCIÓN'!$H$6:$H$1505,"*"&amp;C329&amp;"*",'[1]REP PRODUCCIÓN'!$E$6:$E$1505))))</f>
        <v/>
      </c>
      <c r="K329" s="53">
        <f t="shared" si="13"/>
        <v>0</v>
      </c>
      <c r="M329" s="54" t="str">
        <f>IFERROR(INDEX('[1]REP DISEÑO'!$BA$9:$BA$1008,MATCH('INDIC-DIS2'!C329,'[1]REP DISEÑO'!$D$9:$D$1008,0)),"")</f>
        <v/>
      </c>
      <c r="N329" s="55"/>
      <c r="O329" s="55"/>
      <c r="P329" s="55"/>
      <c r="R329" s="57" t="str">
        <f t="shared" si="14"/>
        <v/>
      </c>
    </row>
    <row r="330" spans="2:18" ht="26.25" customHeight="1" x14ac:dyDescent="0.25">
      <c r="B330" s="49">
        <f t="shared" si="12"/>
        <v>0</v>
      </c>
      <c r="C330" s="50" t="str">
        <f t="array" ref="C330">IFERROR(INDEX('[1]REP DISEÑO'!$D$9:$D$1008,SMALL(IF('[1]REP DISEÑO'!$AW$9:$AW$1008=$J$1,ROW('[1]REP DISEÑO'!$N$9:$N$1008)-ROW('[1]REP DISEÑO'!$N$9),""),ROWS(C$14:C330))+1),"")</f>
        <v/>
      </c>
      <c r="D330" s="51" t="str">
        <f>IFERROR(INDEX('[1]REP DISEÑO'!$N$9:$N$1508,MATCH(C330,'[1]REP DISEÑO'!$D$9:$D$1508,0)),"")</f>
        <v/>
      </c>
      <c r="E330" s="51" t="str">
        <f>IFERROR(INDEX('[1]REP DISEÑO'!$G$9:$G$1508,MATCH(C330,'[1]REP DISEÑO'!$D$9:$D$1508,0)),"")</f>
        <v/>
      </c>
      <c r="F330" s="51" t="str">
        <f>IFERROR(INDEX('[1]REP DISEÑO'!$I$9:$I$1508,MATCH(C330,'[1]REP DISEÑO'!$D$9:$D$1508,0)),"")</f>
        <v/>
      </c>
      <c r="G330" s="51" t="str">
        <f>IFERROR(INDEX('[1]REP DISEÑO'!$M$9:$M$1508,MATCH(C330,'[1]REP DISEÑO'!$D$9:$D$1508,0)),"")</f>
        <v/>
      </c>
      <c r="H330" s="51" t="str">
        <f>IFERROR(INDEX('[1]REP DISEÑO'!$J$9:$J$1508,MATCH(C330,'[1]REP DISEÑO'!$D$9:$D$1508,0)),"")</f>
        <v/>
      </c>
      <c r="I330" s="52" t="str">
        <f>IFERROR(INDEX('[1]REP DISEÑO'!$C$9:$C$1508,MATCH(C330,'[1]REP DISEÑO'!$D$9:$D$1508,0)),"")</f>
        <v/>
      </c>
      <c r="J330" s="53" t="str">
        <f>IF(C330="","",IF(ISNUMBER(FIND("AMU",$C$14:$C$548)),1,(SUMIF('[1]REP PRODUCCIÓN'!$H$6:$H$1505,"*"&amp;C330&amp;"*",'[1]REP PRODUCCIÓN'!$E$6:$E$1505))))</f>
        <v/>
      </c>
      <c r="K330" s="53">
        <f t="shared" si="13"/>
        <v>0</v>
      </c>
      <c r="M330" s="54" t="str">
        <f>IFERROR(INDEX('[1]REP DISEÑO'!$BA$9:$BA$1008,MATCH('INDIC-DIS2'!C330,'[1]REP DISEÑO'!$D$9:$D$1008,0)),"")</f>
        <v/>
      </c>
      <c r="N330" s="55"/>
      <c r="O330" s="55"/>
      <c r="P330" s="55"/>
      <c r="R330" s="57" t="str">
        <f t="shared" si="14"/>
        <v/>
      </c>
    </row>
    <row r="331" spans="2:18" ht="26.25" customHeight="1" x14ac:dyDescent="0.25">
      <c r="B331" s="49">
        <f t="shared" si="12"/>
        <v>0</v>
      </c>
      <c r="C331" s="50" t="str">
        <f t="array" ref="C331">IFERROR(INDEX('[1]REP DISEÑO'!$D$9:$D$1008,SMALL(IF('[1]REP DISEÑO'!$AW$9:$AW$1008=$J$1,ROW('[1]REP DISEÑO'!$N$9:$N$1008)-ROW('[1]REP DISEÑO'!$N$9),""),ROWS(C$14:C331))+1),"")</f>
        <v/>
      </c>
      <c r="D331" s="51" t="str">
        <f>IFERROR(INDEX('[1]REP DISEÑO'!$N$9:$N$1508,MATCH(C331,'[1]REP DISEÑO'!$D$9:$D$1508,0)),"")</f>
        <v/>
      </c>
      <c r="E331" s="51" t="str">
        <f>IFERROR(INDEX('[1]REP DISEÑO'!$G$9:$G$1508,MATCH(C331,'[1]REP DISEÑO'!$D$9:$D$1508,0)),"")</f>
        <v/>
      </c>
      <c r="F331" s="51" t="str">
        <f>IFERROR(INDEX('[1]REP DISEÑO'!$I$9:$I$1508,MATCH(C331,'[1]REP DISEÑO'!$D$9:$D$1508,0)),"")</f>
        <v/>
      </c>
      <c r="G331" s="51" t="str">
        <f>IFERROR(INDEX('[1]REP DISEÑO'!$M$9:$M$1508,MATCH(C331,'[1]REP DISEÑO'!$D$9:$D$1508,0)),"")</f>
        <v/>
      </c>
      <c r="H331" s="51" t="str">
        <f>IFERROR(INDEX('[1]REP DISEÑO'!$J$9:$J$1508,MATCH(C331,'[1]REP DISEÑO'!$D$9:$D$1508,0)),"")</f>
        <v/>
      </c>
      <c r="I331" s="52" t="str">
        <f>IFERROR(INDEX('[1]REP DISEÑO'!$C$9:$C$1508,MATCH(C331,'[1]REP DISEÑO'!$D$9:$D$1508,0)),"")</f>
        <v/>
      </c>
      <c r="J331" s="53" t="str">
        <f>IF(C331="","",IF(ISNUMBER(FIND("AMU",$C$14:$C$548)),1,(SUMIF('[1]REP PRODUCCIÓN'!$H$6:$H$1505,"*"&amp;C331&amp;"*",'[1]REP PRODUCCIÓN'!$E$6:$E$1505))))</f>
        <v/>
      </c>
      <c r="K331" s="53">
        <f t="shared" si="13"/>
        <v>0</v>
      </c>
      <c r="M331" s="54" t="str">
        <f>IFERROR(INDEX('[1]REP DISEÑO'!$BA$9:$BA$1008,MATCH('INDIC-DIS2'!C331,'[1]REP DISEÑO'!$D$9:$D$1008,0)),"")</f>
        <v/>
      </c>
      <c r="N331" s="55"/>
      <c r="O331" s="55"/>
      <c r="P331" s="55"/>
      <c r="R331" s="57" t="str">
        <f t="shared" si="14"/>
        <v/>
      </c>
    </row>
    <row r="332" spans="2:18" ht="26.25" customHeight="1" x14ac:dyDescent="0.25">
      <c r="B332" s="49">
        <f t="shared" si="12"/>
        <v>0</v>
      </c>
      <c r="C332" s="50" t="str">
        <f t="array" ref="C332">IFERROR(INDEX('[1]REP DISEÑO'!$D$9:$D$1008,SMALL(IF('[1]REP DISEÑO'!$AW$9:$AW$1008=$J$1,ROW('[1]REP DISEÑO'!$N$9:$N$1008)-ROW('[1]REP DISEÑO'!$N$9),""),ROWS(C$14:C332))+1),"")</f>
        <v/>
      </c>
      <c r="D332" s="51" t="str">
        <f>IFERROR(INDEX('[1]REP DISEÑO'!$N$9:$N$1508,MATCH(C332,'[1]REP DISEÑO'!$D$9:$D$1508,0)),"")</f>
        <v/>
      </c>
      <c r="E332" s="51" t="str">
        <f>IFERROR(INDEX('[1]REP DISEÑO'!$G$9:$G$1508,MATCH(C332,'[1]REP DISEÑO'!$D$9:$D$1508,0)),"")</f>
        <v/>
      </c>
      <c r="F332" s="51" t="str">
        <f>IFERROR(INDEX('[1]REP DISEÑO'!$I$9:$I$1508,MATCH(C332,'[1]REP DISEÑO'!$D$9:$D$1508,0)),"")</f>
        <v/>
      </c>
      <c r="G332" s="51" t="str">
        <f>IFERROR(INDEX('[1]REP DISEÑO'!$M$9:$M$1508,MATCH(C332,'[1]REP DISEÑO'!$D$9:$D$1508,0)),"")</f>
        <v/>
      </c>
      <c r="H332" s="51" t="str">
        <f>IFERROR(INDEX('[1]REP DISEÑO'!$J$9:$J$1508,MATCH(C332,'[1]REP DISEÑO'!$D$9:$D$1508,0)),"")</f>
        <v/>
      </c>
      <c r="I332" s="52" t="str">
        <f>IFERROR(INDEX('[1]REP DISEÑO'!$C$9:$C$1508,MATCH(C332,'[1]REP DISEÑO'!$D$9:$D$1508,0)),"")</f>
        <v/>
      </c>
      <c r="J332" s="53" t="str">
        <f>IF(C332="","",IF(ISNUMBER(FIND("AMU",$C$14:$C$548)),1,(SUMIF('[1]REP PRODUCCIÓN'!$H$6:$H$1505,"*"&amp;C332&amp;"*",'[1]REP PRODUCCIÓN'!$E$6:$E$1505))))</f>
        <v/>
      </c>
      <c r="K332" s="53">
        <f t="shared" si="13"/>
        <v>0</v>
      </c>
      <c r="M332" s="54" t="str">
        <f>IFERROR(INDEX('[1]REP DISEÑO'!$BA$9:$BA$1008,MATCH('INDIC-DIS2'!C332,'[1]REP DISEÑO'!$D$9:$D$1008,0)),"")</f>
        <v/>
      </c>
      <c r="N332" s="55"/>
      <c r="O332" s="55"/>
      <c r="P332" s="55"/>
      <c r="R332" s="57" t="str">
        <f t="shared" si="14"/>
        <v/>
      </c>
    </row>
    <row r="333" spans="2:18" ht="26.25" customHeight="1" x14ac:dyDescent="0.25">
      <c r="B333" s="49">
        <f t="shared" si="12"/>
        <v>0</v>
      </c>
      <c r="C333" s="50" t="str">
        <f t="array" ref="C333">IFERROR(INDEX('[1]REP DISEÑO'!$D$9:$D$1008,SMALL(IF('[1]REP DISEÑO'!$AW$9:$AW$1008=$J$1,ROW('[1]REP DISEÑO'!$N$9:$N$1008)-ROW('[1]REP DISEÑO'!$N$9),""),ROWS(C$14:C333))+1),"")</f>
        <v/>
      </c>
      <c r="D333" s="51" t="str">
        <f>IFERROR(INDEX('[1]REP DISEÑO'!$N$9:$N$1508,MATCH(C333,'[1]REP DISEÑO'!$D$9:$D$1508,0)),"")</f>
        <v/>
      </c>
      <c r="E333" s="51" t="str">
        <f>IFERROR(INDEX('[1]REP DISEÑO'!$G$9:$G$1508,MATCH(C333,'[1]REP DISEÑO'!$D$9:$D$1508,0)),"")</f>
        <v/>
      </c>
      <c r="F333" s="51" t="str">
        <f>IFERROR(INDEX('[1]REP DISEÑO'!$I$9:$I$1508,MATCH(C333,'[1]REP DISEÑO'!$D$9:$D$1508,0)),"")</f>
        <v/>
      </c>
      <c r="G333" s="51" t="str">
        <f>IFERROR(INDEX('[1]REP DISEÑO'!$M$9:$M$1508,MATCH(C333,'[1]REP DISEÑO'!$D$9:$D$1508,0)),"")</f>
        <v/>
      </c>
      <c r="H333" s="51" t="str">
        <f>IFERROR(INDEX('[1]REP DISEÑO'!$J$9:$J$1508,MATCH(C333,'[1]REP DISEÑO'!$D$9:$D$1508,0)),"")</f>
        <v/>
      </c>
      <c r="I333" s="52" t="str">
        <f>IFERROR(INDEX('[1]REP DISEÑO'!$C$9:$C$1508,MATCH(C333,'[1]REP DISEÑO'!$D$9:$D$1508,0)),"")</f>
        <v/>
      </c>
      <c r="J333" s="53" t="str">
        <f>IF(C333="","",IF(ISNUMBER(FIND("AMU",$C$14:$C$548)),1,(SUMIF('[1]REP PRODUCCIÓN'!$H$6:$H$1505,"*"&amp;C333&amp;"*",'[1]REP PRODUCCIÓN'!$E$6:$E$1505))))</f>
        <v/>
      </c>
      <c r="K333" s="53">
        <f t="shared" si="13"/>
        <v>0</v>
      </c>
      <c r="M333" s="54" t="str">
        <f>IFERROR(INDEX('[1]REP DISEÑO'!$BA$9:$BA$1008,MATCH('INDIC-DIS2'!C333,'[1]REP DISEÑO'!$D$9:$D$1008,0)),"")</f>
        <v/>
      </c>
      <c r="N333" s="55"/>
      <c r="O333" s="55"/>
      <c r="P333" s="55"/>
      <c r="R333" s="57" t="str">
        <f t="shared" si="14"/>
        <v/>
      </c>
    </row>
    <row r="334" spans="2:18" ht="26.25" customHeight="1" x14ac:dyDescent="0.25">
      <c r="B334" s="49">
        <f t="shared" si="12"/>
        <v>0</v>
      </c>
      <c r="C334" s="50" t="str">
        <f t="array" ref="C334">IFERROR(INDEX('[1]REP DISEÑO'!$D$9:$D$1008,SMALL(IF('[1]REP DISEÑO'!$AW$9:$AW$1008=$J$1,ROW('[1]REP DISEÑO'!$N$9:$N$1008)-ROW('[1]REP DISEÑO'!$N$9),""),ROWS(C$14:C334))+1),"")</f>
        <v/>
      </c>
      <c r="D334" s="51" t="str">
        <f>IFERROR(INDEX('[1]REP DISEÑO'!$N$9:$N$1508,MATCH(C334,'[1]REP DISEÑO'!$D$9:$D$1508,0)),"")</f>
        <v/>
      </c>
      <c r="E334" s="51" t="str">
        <f>IFERROR(INDEX('[1]REP DISEÑO'!$G$9:$G$1508,MATCH(C334,'[1]REP DISEÑO'!$D$9:$D$1508,0)),"")</f>
        <v/>
      </c>
      <c r="F334" s="51" t="str">
        <f>IFERROR(INDEX('[1]REP DISEÑO'!$I$9:$I$1508,MATCH(C334,'[1]REP DISEÑO'!$D$9:$D$1508,0)),"")</f>
        <v/>
      </c>
      <c r="G334" s="51" t="str">
        <f>IFERROR(INDEX('[1]REP DISEÑO'!$M$9:$M$1508,MATCH(C334,'[1]REP DISEÑO'!$D$9:$D$1508,0)),"")</f>
        <v/>
      </c>
      <c r="H334" s="51" t="str">
        <f>IFERROR(INDEX('[1]REP DISEÑO'!$J$9:$J$1508,MATCH(C334,'[1]REP DISEÑO'!$D$9:$D$1508,0)),"")</f>
        <v/>
      </c>
      <c r="I334" s="52" t="str">
        <f>IFERROR(INDEX('[1]REP DISEÑO'!$C$9:$C$1508,MATCH(C334,'[1]REP DISEÑO'!$D$9:$D$1508,0)),"")</f>
        <v/>
      </c>
      <c r="J334" s="53" t="str">
        <f>IF(C334="","",IF(ISNUMBER(FIND("AMU",$C$14:$C$548)),1,(SUMIF('[1]REP PRODUCCIÓN'!$H$6:$H$1505,"*"&amp;C334&amp;"*",'[1]REP PRODUCCIÓN'!$E$6:$E$1505))))</f>
        <v/>
      </c>
      <c r="K334" s="53">
        <f t="shared" si="13"/>
        <v>0</v>
      </c>
      <c r="M334" s="54" t="str">
        <f>IFERROR(INDEX('[1]REP DISEÑO'!$BA$9:$BA$1008,MATCH('INDIC-DIS2'!C334,'[1]REP DISEÑO'!$D$9:$D$1008,0)),"")</f>
        <v/>
      </c>
      <c r="N334" s="55"/>
      <c r="O334" s="55"/>
      <c r="P334" s="55"/>
      <c r="R334" s="57" t="str">
        <f t="shared" si="14"/>
        <v/>
      </c>
    </row>
    <row r="335" spans="2:18" ht="26.25" customHeight="1" x14ac:dyDescent="0.25">
      <c r="B335" s="49">
        <f t="shared" ref="B335:B398" si="15">IF(J335="",0,IF(OR(J335&gt;0,ISNUMBER(FIND("AMU",$C$14:$C$548))),1,0))</f>
        <v>0</v>
      </c>
      <c r="C335" s="50" t="str">
        <f t="array" ref="C335">IFERROR(INDEX('[1]REP DISEÑO'!$D$9:$D$1008,SMALL(IF('[1]REP DISEÑO'!$AW$9:$AW$1008=$J$1,ROW('[1]REP DISEÑO'!$N$9:$N$1008)-ROW('[1]REP DISEÑO'!$N$9),""),ROWS(C$14:C335))+1),"")</f>
        <v/>
      </c>
      <c r="D335" s="51" t="str">
        <f>IFERROR(INDEX('[1]REP DISEÑO'!$N$9:$N$1508,MATCH(C335,'[1]REP DISEÑO'!$D$9:$D$1508,0)),"")</f>
        <v/>
      </c>
      <c r="E335" s="51" t="str">
        <f>IFERROR(INDEX('[1]REP DISEÑO'!$G$9:$G$1508,MATCH(C335,'[1]REP DISEÑO'!$D$9:$D$1508,0)),"")</f>
        <v/>
      </c>
      <c r="F335" s="51" t="str">
        <f>IFERROR(INDEX('[1]REP DISEÑO'!$I$9:$I$1508,MATCH(C335,'[1]REP DISEÑO'!$D$9:$D$1508,0)),"")</f>
        <v/>
      </c>
      <c r="G335" s="51" t="str">
        <f>IFERROR(INDEX('[1]REP DISEÑO'!$M$9:$M$1508,MATCH(C335,'[1]REP DISEÑO'!$D$9:$D$1508,0)),"")</f>
        <v/>
      </c>
      <c r="H335" s="51" t="str">
        <f>IFERROR(INDEX('[1]REP DISEÑO'!$J$9:$J$1508,MATCH(C335,'[1]REP DISEÑO'!$D$9:$D$1508,0)),"")</f>
        <v/>
      </c>
      <c r="I335" s="52" t="str">
        <f>IFERROR(INDEX('[1]REP DISEÑO'!$C$9:$C$1508,MATCH(C335,'[1]REP DISEÑO'!$D$9:$D$1508,0)),"")</f>
        <v/>
      </c>
      <c r="J335" s="53" t="str">
        <f>IF(C335="","",IF(ISNUMBER(FIND("AMU",$C$14:$C$548)),1,(SUMIF('[1]REP PRODUCCIÓN'!$H$6:$H$1505,"*"&amp;C335&amp;"*",'[1]REP PRODUCCIÓN'!$E$6:$E$1505))))</f>
        <v/>
      </c>
      <c r="K335" s="53">
        <f t="shared" ref="K335:K398" si="16">IF(B335=1,"OK",0)</f>
        <v>0</v>
      </c>
      <c r="M335" s="54" t="str">
        <f>IFERROR(INDEX('[1]REP DISEÑO'!$BA$9:$BA$1008,MATCH('INDIC-DIS2'!C335,'[1]REP DISEÑO'!$D$9:$D$1008,0)),"")</f>
        <v/>
      </c>
      <c r="N335" s="55"/>
      <c r="O335" s="55"/>
      <c r="P335" s="55"/>
      <c r="R335" s="57" t="str">
        <f t="shared" ref="R335:R398" si="17">IF(M335="","",1)</f>
        <v/>
      </c>
    </row>
    <row r="336" spans="2:18" ht="26.25" customHeight="1" x14ac:dyDescent="0.25">
      <c r="B336" s="49">
        <f t="shared" si="15"/>
        <v>0</v>
      </c>
      <c r="C336" s="50" t="str">
        <f t="array" ref="C336">IFERROR(INDEX('[1]REP DISEÑO'!$D$9:$D$1008,SMALL(IF('[1]REP DISEÑO'!$AW$9:$AW$1008=$J$1,ROW('[1]REP DISEÑO'!$N$9:$N$1008)-ROW('[1]REP DISEÑO'!$N$9),""),ROWS(C$14:C336))+1),"")</f>
        <v/>
      </c>
      <c r="D336" s="51" t="str">
        <f>IFERROR(INDEX('[1]REP DISEÑO'!$N$9:$N$1508,MATCH(C336,'[1]REP DISEÑO'!$D$9:$D$1508,0)),"")</f>
        <v/>
      </c>
      <c r="E336" s="51" t="str">
        <f>IFERROR(INDEX('[1]REP DISEÑO'!$G$9:$G$1508,MATCH(C336,'[1]REP DISEÑO'!$D$9:$D$1508,0)),"")</f>
        <v/>
      </c>
      <c r="F336" s="51" t="str">
        <f>IFERROR(INDEX('[1]REP DISEÑO'!$I$9:$I$1508,MATCH(C336,'[1]REP DISEÑO'!$D$9:$D$1508,0)),"")</f>
        <v/>
      </c>
      <c r="G336" s="51" t="str">
        <f>IFERROR(INDEX('[1]REP DISEÑO'!$M$9:$M$1508,MATCH(C336,'[1]REP DISEÑO'!$D$9:$D$1508,0)),"")</f>
        <v/>
      </c>
      <c r="H336" s="51" t="str">
        <f>IFERROR(INDEX('[1]REP DISEÑO'!$J$9:$J$1508,MATCH(C336,'[1]REP DISEÑO'!$D$9:$D$1508,0)),"")</f>
        <v/>
      </c>
      <c r="I336" s="52" t="str">
        <f>IFERROR(INDEX('[1]REP DISEÑO'!$C$9:$C$1508,MATCH(C336,'[1]REP DISEÑO'!$D$9:$D$1508,0)),"")</f>
        <v/>
      </c>
      <c r="J336" s="53" t="str">
        <f>IF(C336="","",IF(ISNUMBER(FIND("AMU",$C$14:$C$548)),1,(SUMIF('[1]REP PRODUCCIÓN'!$H$6:$H$1505,"*"&amp;C336&amp;"*",'[1]REP PRODUCCIÓN'!$E$6:$E$1505))))</f>
        <v/>
      </c>
      <c r="K336" s="53">
        <f t="shared" si="16"/>
        <v>0</v>
      </c>
      <c r="M336" s="54" t="str">
        <f>IFERROR(INDEX('[1]REP DISEÑO'!$BA$9:$BA$1008,MATCH('INDIC-DIS2'!C336,'[1]REP DISEÑO'!$D$9:$D$1008,0)),"")</f>
        <v/>
      </c>
      <c r="N336" s="55"/>
      <c r="O336" s="55"/>
      <c r="P336" s="55"/>
      <c r="R336" s="57" t="str">
        <f t="shared" si="17"/>
        <v/>
      </c>
    </row>
    <row r="337" spans="2:18" ht="26.25" customHeight="1" x14ac:dyDescent="0.25">
      <c r="B337" s="49">
        <f t="shared" si="15"/>
        <v>0</v>
      </c>
      <c r="C337" s="50" t="str">
        <f t="array" ref="C337">IFERROR(INDEX('[1]REP DISEÑO'!$D$9:$D$1008,SMALL(IF('[1]REP DISEÑO'!$AW$9:$AW$1008=$J$1,ROW('[1]REP DISEÑO'!$N$9:$N$1008)-ROW('[1]REP DISEÑO'!$N$9),""),ROWS(C$14:C337))+1),"")</f>
        <v/>
      </c>
      <c r="D337" s="51" t="str">
        <f>IFERROR(INDEX('[1]REP DISEÑO'!$N$9:$N$1508,MATCH(C337,'[1]REP DISEÑO'!$D$9:$D$1508,0)),"")</f>
        <v/>
      </c>
      <c r="E337" s="51" t="str">
        <f>IFERROR(INDEX('[1]REP DISEÑO'!$G$9:$G$1508,MATCH(C337,'[1]REP DISEÑO'!$D$9:$D$1508,0)),"")</f>
        <v/>
      </c>
      <c r="F337" s="51" t="str">
        <f>IFERROR(INDEX('[1]REP DISEÑO'!$I$9:$I$1508,MATCH(C337,'[1]REP DISEÑO'!$D$9:$D$1508,0)),"")</f>
        <v/>
      </c>
      <c r="G337" s="51" t="str">
        <f>IFERROR(INDEX('[1]REP DISEÑO'!$M$9:$M$1508,MATCH(C337,'[1]REP DISEÑO'!$D$9:$D$1508,0)),"")</f>
        <v/>
      </c>
      <c r="H337" s="51" t="str">
        <f>IFERROR(INDEX('[1]REP DISEÑO'!$J$9:$J$1508,MATCH(C337,'[1]REP DISEÑO'!$D$9:$D$1508,0)),"")</f>
        <v/>
      </c>
      <c r="I337" s="52" t="str">
        <f>IFERROR(INDEX('[1]REP DISEÑO'!$C$9:$C$1508,MATCH(C337,'[1]REP DISEÑO'!$D$9:$D$1508,0)),"")</f>
        <v/>
      </c>
      <c r="J337" s="53" t="str">
        <f>IF(C337="","",IF(ISNUMBER(FIND("AMU",$C$14:$C$548)),1,(SUMIF('[1]REP PRODUCCIÓN'!$H$6:$H$1505,"*"&amp;C337&amp;"*",'[1]REP PRODUCCIÓN'!$E$6:$E$1505))))</f>
        <v/>
      </c>
      <c r="K337" s="53">
        <f t="shared" si="16"/>
        <v>0</v>
      </c>
      <c r="M337" s="54" t="str">
        <f>IFERROR(INDEX('[1]REP DISEÑO'!$BA$9:$BA$1008,MATCH('INDIC-DIS2'!C337,'[1]REP DISEÑO'!$D$9:$D$1008,0)),"")</f>
        <v/>
      </c>
      <c r="N337" s="55"/>
      <c r="O337" s="55"/>
      <c r="P337" s="55"/>
      <c r="R337" s="57" t="str">
        <f t="shared" si="17"/>
        <v/>
      </c>
    </row>
    <row r="338" spans="2:18" ht="26.25" customHeight="1" x14ac:dyDescent="0.25">
      <c r="B338" s="49">
        <f t="shared" si="15"/>
        <v>0</v>
      </c>
      <c r="C338" s="50" t="str">
        <f t="array" ref="C338">IFERROR(INDEX('[1]REP DISEÑO'!$D$9:$D$1008,SMALL(IF('[1]REP DISEÑO'!$AW$9:$AW$1008=$J$1,ROW('[1]REP DISEÑO'!$N$9:$N$1008)-ROW('[1]REP DISEÑO'!$N$9),""),ROWS(C$14:C338))+1),"")</f>
        <v/>
      </c>
      <c r="D338" s="51" t="str">
        <f>IFERROR(INDEX('[1]REP DISEÑO'!$N$9:$N$1508,MATCH(C338,'[1]REP DISEÑO'!$D$9:$D$1508,0)),"")</f>
        <v/>
      </c>
      <c r="E338" s="51" t="str">
        <f>IFERROR(INDEX('[1]REP DISEÑO'!$G$9:$G$1508,MATCH(C338,'[1]REP DISEÑO'!$D$9:$D$1508,0)),"")</f>
        <v/>
      </c>
      <c r="F338" s="51" t="str">
        <f>IFERROR(INDEX('[1]REP DISEÑO'!$I$9:$I$1508,MATCH(C338,'[1]REP DISEÑO'!$D$9:$D$1508,0)),"")</f>
        <v/>
      </c>
      <c r="G338" s="51" t="str">
        <f>IFERROR(INDEX('[1]REP DISEÑO'!$M$9:$M$1508,MATCH(C338,'[1]REP DISEÑO'!$D$9:$D$1508,0)),"")</f>
        <v/>
      </c>
      <c r="H338" s="51" t="str">
        <f>IFERROR(INDEX('[1]REP DISEÑO'!$J$9:$J$1508,MATCH(C338,'[1]REP DISEÑO'!$D$9:$D$1508,0)),"")</f>
        <v/>
      </c>
      <c r="I338" s="52" t="str">
        <f>IFERROR(INDEX('[1]REP DISEÑO'!$C$9:$C$1508,MATCH(C338,'[1]REP DISEÑO'!$D$9:$D$1508,0)),"")</f>
        <v/>
      </c>
      <c r="J338" s="53" t="str">
        <f>IF(C338="","",IF(ISNUMBER(FIND("AMU",$C$14:$C$548)),1,(SUMIF('[1]REP PRODUCCIÓN'!$H$6:$H$1505,"*"&amp;C338&amp;"*",'[1]REP PRODUCCIÓN'!$E$6:$E$1505))))</f>
        <v/>
      </c>
      <c r="K338" s="53">
        <f t="shared" si="16"/>
        <v>0</v>
      </c>
      <c r="M338" s="54" t="str">
        <f>IFERROR(INDEX('[1]REP DISEÑO'!$BA$9:$BA$1008,MATCH('INDIC-DIS2'!C338,'[1]REP DISEÑO'!$D$9:$D$1008,0)),"")</f>
        <v/>
      </c>
      <c r="N338" s="55"/>
      <c r="O338" s="55"/>
      <c r="P338" s="55"/>
      <c r="R338" s="57" t="str">
        <f t="shared" si="17"/>
        <v/>
      </c>
    </row>
    <row r="339" spans="2:18" ht="26.25" customHeight="1" x14ac:dyDescent="0.25">
      <c r="B339" s="49">
        <f t="shared" si="15"/>
        <v>0</v>
      </c>
      <c r="C339" s="50" t="str">
        <f t="array" ref="C339">IFERROR(INDEX('[1]REP DISEÑO'!$D$9:$D$1008,SMALL(IF('[1]REP DISEÑO'!$AW$9:$AW$1008=$J$1,ROW('[1]REP DISEÑO'!$N$9:$N$1008)-ROW('[1]REP DISEÑO'!$N$9),""),ROWS(C$14:C339))+1),"")</f>
        <v/>
      </c>
      <c r="D339" s="51" t="str">
        <f>IFERROR(INDEX('[1]REP DISEÑO'!$N$9:$N$1508,MATCH(C339,'[1]REP DISEÑO'!$D$9:$D$1508,0)),"")</f>
        <v/>
      </c>
      <c r="E339" s="51" t="str">
        <f>IFERROR(INDEX('[1]REP DISEÑO'!$G$9:$G$1508,MATCH(C339,'[1]REP DISEÑO'!$D$9:$D$1508,0)),"")</f>
        <v/>
      </c>
      <c r="F339" s="51" t="str">
        <f>IFERROR(INDEX('[1]REP DISEÑO'!$I$9:$I$1508,MATCH(C339,'[1]REP DISEÑO'!$D$9:$D$1508,0)),"")</f>
        <v/>
      </c>
      <c r="G339" s="51" t="str">
        <f>IFERROR(INDEX('[1]REP DISEÑO'!$M$9:$M$1508,MATCH(C339,'[1]REP DISEÑO'!$D$9:$D$1508,0)),"")</f>
        <v/>
      </c>
      <c r="H339" s="51" t="str">
        <f>IFERROR(INDEX('[1]REP DISEÑO'!$J$9:$J$1508,MATCH(C339,'[1]REP DISEÑO'!$D$9:$D$1508,0)),"")</f>
        <v/>
      </c>
      <c r="I339" s="52" t="str">
        <f>IFERROR(INDEX('[1]REP DISEÑO'!$C$9:$C$1508,MATCH(C339,'[1]REP DISEÑO'!$D$9:$D$1508,0)),"")</f>
        <v/>
      </c>
      <c r="J339" s="53" t="str">
        <f>IF(C339="","",IF(ISNUMBER(FIND("AMU",$C$14:$C$548)),1,(SUMIF('[1]REP PRODUCCIÓN'!$H$6:$H$1505,"*"&amp;C339&amp;"*",'[1]REP PRODUCCIÓN'!$E$6:$E$1505))))</f>
        <v/>
      </c>
      <c r="K339" s="53">
        <f t="shared" si="16"/>
        <v>0</v>
      </c>
      <c r="M339" s="54" t="str">
        <f>IFERROR(INDEX('[1]REP DISEÑO'!$BA$9:$BA$1008,MATCH('INDIC-DIS2'!C339,'[1]REP DISEÑO'!$D$9:$D$1008,0)),"")</f>
        <v/>
      </c>
      <c r="N339" s="55"/>
      <c r="O339" s="55"/>
      <c r="P339" s="55"/>
      <c r="R339" s="57" t="str">
        <f t="shared" si="17"/>
        <v/>
      </c>
    </row>
    <row r="340" spans="2:18" ht="26.25" customHeight="1" x14ac:dyDescent="0.25">
      <c r="B340" s="49">
        <f t="shared" si="15"/>
        <v>0</v>
      </c>
      <c r="C340" s="50" t="str">
        <f t="array" ref="C340">IFERROR(INDEX('[1]REP DISEÑO'!$D$9:$D$1008,SMALL(IF('[1]REP DISEÑO'!$AW$9:$AW$1008=$J$1,ROW('[1]REP DISEÑO'!$N$9:$N$1008)-ROW('[1]REP DISEÑO'!$N$9),""),ROWS(C$14:C340))+1),"")</f>
        <v/>
      </c>
      <c r="D340" s="51" t="str">
        <f>IFERROR(INDEX('[1]REP DISEÑO'!$N$9:$N$1508,MATCH(C340,'[1]REP DISEÑO'!$D$9:$D$1508,0)),"")</f>
        <v/>
      </c>
      <c r="E340" s="51" t="str">
        <f>IFERROR(INDEX('[1]REP DISEÑO'!$G$9:$G$1508,MATCH(C340,'[1]REP DISEÑO'!$D$9:$D$1508,0)),"")</f>
        <v/>
      </c>
      <c r="F340" s="51" t="str">
        <f>IFERROR(INDEX('[1]REP DISEÑO'!$I$9:$I$1508,MATCH(C340,'[1]REP DISEÑO'!$D$9:$D$1508,0)),"")</f>
        <v/>
      </c>
      <c r="G340" s="51" t="str">
        <f>IFERROR(INDEX('[1]REP DISEÑO'!$M$9:$M$1508,MATCH(C340,'[1]REP DISEÑO'!$D$9:$D$1508,0)),"")</f>
        <v/>
      </c>
      <c r="H340" s="51" t="str">
        <f>IFERROR(INDEX('[1]REP DISEÑO'!$J$9:$J$1508,MATCH(C340,'[1]REP DISEÑO'!$D$9:$D$1508,0)),"")</f>
        <v/>
      </c>
      <c r="I340" s="52" t="str">
        <f>IFERROR(INDEX('[1]REP DISEÑO'!$C$9:$C$1508,MATCH(C340,'[1]REP DISEÑO'!$D$9:$D$1508,0)),"")</f>
        <v/>
      </c>
      <c r="J340" s="53" t="str">
        <f>IF(C340="","",IF(ISNUMBER(FIND("AMU",$C$14:$C$548)),1,(SUMIF('[1]REP PRODUCCIÓN'!$H$6:$H$1505,"*"&amp;C340&amp;"*",'[1]REP PRODUCCIÓN'!$E$6:$E$1505))))</f>
        <v/>
      </c>
      <c r="K340" s="53">
        <f t="shared" si="16"/>
        <v>0</v>
      </c>
      <c r="M340" s="54" t="str">
        <f>IFERROR(INDEX('[1]REP DISEÑO'!$BA$9:$BA$1008,MATCH('INDIC-DIS2'!C340,'[1]REP DISEÑO'!$D$9:$D$1008,0)),"")</f>
        <v/>
      </c>
      <c r="N340" s="55"/>
      <c r="O340" s="55"/>
      <c r="P340" s="55"/>
      <c r="R340" s="57" t="str">
        <f t="shared" si="17"/>
        <v/>
      </c>
    </row>
    <row r="341" spans="2:18" ht="26.25" customHeight="1" x14ac:dyDescent="0.25">
      <c r="B341" s="49">
        <f t="shared" si="15"/>
        <v>0</v>
      </c>
      <c r="C341" s="50" t="str">
        <f t="array" ref="C341">IFERROR(INDEX('[1]REP DISEÑO'!$D$9:$D$1008,SMALL(IF('[1]REP DISEÑO'!$AW$9:$AW$1008=$J$1,ROW('[1]REP DISEÑO'!$N$9:$N$1008)-ROW('[1]REP DISEÑO'!$N$9),""),ROWS(C$14:C341))+1),"")</f>
        <v/>
      </c>
      <c r="D341" s="51" t="str">
        <f>IFERROR(INDEX('[1]REP DISEÑO'!$N$9:$N$1508,MATCH(C341,'[1]REP DISEÑO'!$D$9:$D$1508,0)),"")</f>
        <v/>
      </c>
      <c r="E341" s="51" t="str">
        <f>IFERROR(INDEX('[1]REP DISEÑO'!$G$9:$G$1508,MATCH(C341,'[1]REP DISEÑO'!$D$9:$D$1508,0)),"")</f>
        <v/>
      </c>
      <c r="F341" s="51" t="str">
        <f>IFERROR(INDEX('[1]REP DISEÑO'!$I$9:$I$1508,MATCH(C341,'[1]REP DISEÑO'!$D$9:$D$1508,0)),"")</f>
        <v/>
      </c>
      <c r="G341" s="51" t="str">
        <f>IFERROR(INDEX('[1]REP DISEÑO'!$M$9:$M$1508,MATCH(C341,'[1]REP DISEÑO'!$D$9:$D$1508,0)),"")</f>
        <v/>
      </c>
      <c r="H341" s="51" t="str">
        <f>IFERROR(INDEX('[1]REP DISEÑO'!$J$9:$J$1508,MATCH(C341,'[1]REP DISEÑO'!$D$9:$D$1508,0)),"")</f>
        <v/>
      </c>
      <c r="I341" s="52" t="str">
        <f>IFERROR(INDEX('[1]REP DISEÑO'!$C$9:$C$1508,MATCH(C341,'[1]REP DISEÑO'!$D$9:$D$1508,0)),"")</f>
        <v/>
      </c>
      <c r="J341" s="53" t="str">
        <f>IF(C341="","",IF(ISNUMBER(FIND("AMU",$C$14:$C$548)),1,(SUMIF('[1]REP PRODUCCIÓN'!$H$6:$H$1505,"*"&amp;C341&amp;"*",'[1]REP PRODUCCIÓN'!$E$6:$E$1505))))</f>
        <v/>
      </c>
      <c r="K341" s="53">
        <f t="shared" si="16"/>
        <v>0</v>
      </c>
      <c r="M341" s="54" t="str">
        <f>IFERROR(INDEX('[1]REP DISEÑO'!$BA$9:$BA$1008,MATCH('INDIC-DIS2'!C341,'[1]REP DISEÑO'!$D$9:$D$1008,0)),"")</f>
        <v/>
      </c>
      <c r="N341" s="55"/>
      <c r="O341" s="55"/>
      <c r="P341" s="55"/>
      <c r="R341" s="57" t="str">
        <f t="shared" si="17"/>
        <v/>
      </c>
    </row>
    <row r="342" spans="2:18" ht="26.25" customHeight="1" x14ac:dyDescent="0.25">
      <c r="B342" s="49">
        <f t="shared" si="15"/>
        <v>0</v>
      </c>
      <c r="C342" s="50" t="str">
        <f t="array" ref="C342">IFERROR(INDEX('[1]REP DISEÑO'!$D$9:$D$1008,SMALL(IF('[1]REP DISEÑO'!$AW$9:$AW$1008=$J$1,ROW('[1]REP DISEÑO'!$N$9:$N$1008)-ROW('[1]REP DISEÑO'!$N$9),""),ROWS(C$14:C342))+1),"")</f>
        <v/>
      </c>
      <c r="D342" s="51" t="str">
        <f>IFERROR(INDEX('[1]REP DISEÑO'!$N$9:$N$1508,MATCH(C342,'[1]REP DISEÑO'!$D$9:$D$1508,0)),"")</f>
        <v/>
      </c>
      <c r="E342" s="51" t="str">
        <f>IFERROR(INDEX('[1]REP DISEÑO'!$G$9:$G$1508,MATCH(C342,'[1]REP DISEÑO'!$D$9:$D$1508,0)),"")</f>
        <v/>
      </c>
      <c r="F342" s="51" t="str">
        <f>IFERROR(INDEX('[1]REP DISEÑO'!$I$9:$I$1508,MATCH(C342,'[1]REP DISEÑO'!$D$9:$D$1508,0)),"")</f>
        <v/>
      </c>
      <c r="G342" s="51" t="str">
        <f>IFERROR(INDEX('[1]REP DISEÑO'!$M$9:$M$1508,MATCH(C342,'[1]REP DISEÑO'!$D$9:$D$1508,0)),"")</f>
        <v/>
      </c>
      <c r="H342" s="51" t="str">
        <f>IFERROR(INDEX('[1]REP DISEÑO'!$J$9:$J$1508,MATCH(C342,'[1]REP DISEÑO'!$D$9:$D$1508,0)),"")</f>
        <v/>
      </c>
      <c r="I342" s="52" t="str">
        <f>IFERROR(INDEX('[1]REP DISEÑO'!$C$9:$C$1508,MATCH(C342,'[1]REP DISEÑO'!$D$9:$D$1508,0)),"")</f>
        <v/>
      </c>
      <c r="J342" s="53" t="str">
        <f>IF(C342="","",IF(ISNUMBER(FIND("AMU",$C$14:$C$548)),1,(SUMIF('[1]REP PRODUCCIÓN'!$H$6:$H$1505,"*"&amp;C342&amp;"*",'[1]REP PRODUCCIÓN'!$E$6:$E$1505))))</f>
        <v/>
      </c>
      <c r="K342" s="53">
        <f t="shared" si="16"/>
        <v>0</v>
      </c>
      <c r="M342" s="54" t="str">
        <f>IFERROR(INDEX('[1]REP DISEÑO'!$BA$9:$BA$1008,MATCH('INDIC-DIS2'!C342,'[1]REP DISEÑO'!$D$9:$D$1008,0)),"")</f>
        <v/>
      </c>
      <c r="N342" s="55"/>
      <c r="O342" s="55"/>
      <c r="P342" s="55"/>
      <c r="R342" s="57" t="str">
        <f t="shared" si="17"/>
        <v/>
      </c>
    </row>
    <row r="343" spans="2:18" ht="26.25" customHeight="1" x14ac:dyDescent="0.25">
      <c r="B343" s="49">
        <f t="shared" si="15"/>
        <v>0</v>
      </c>
      <c r="C343" s="50" t="str">
        <f t="array" ref="C343">IFERROR(INDEX('[1]REP DISEÑO'!$D$9:$D$1008,SMALL(IF('[1]REP DISEÑO'!$AW$9:$AW$1008=$J$1,ROW('[1]REP DISEÑO'!$N$9:$N$1008)-ROW('[1]REP DISEÑO'!$N$9),""),ROWS(C$14:C343))+1),"")</f>
        <v/>
      </c>
      <c r="D343" s="51" t="str">
        <f>IFERROR(INDEX('[1]REP DISEÑO'!$N$9:$N$1508,MATCH(C343,'[1]REP DISEÑO'!$D$9:$D$1508,0)),"")</f>
        <v/>
      </c>
      <c r="E343" s="51" t="str">
        <f>IFERROR(INDEX('[1]REP DISEÑO'!$G$9:$G$1508,MATCH(C343,'[1]REP DISEÑO'!$D$9:$D$1508,0)),"")</f>
        <v/>
      </c>
      <c r="F343" s="51" t="str">
        <f>IFERROR(INDEX('[1]REP DISEÑO'!$I$9:$I$1508,MATCH(C343,'[1]REP DISEÑO'!$D$9:$D$1508,0)),"")</f>
        <v/>
      </c>
      <c r="G343" s="51" t="str">
        <f>IFERROR(INDEX('[1]REP DISEÑO'!$M$9:$M$1508,MATCH(C343,'[1]REP DISEÑO'!$D$9:$D$1508,0)),"")</f>
        <v/>
      </c>
      <c r="H343" s="51" t="str">
        <f>IFERROR(INDEX('[1]REP DISEÑO'!$J$9:$J$1508,MATCH(C343,'[1]REP DISEÑO'!$D$9:$D$1508,0)),"")</f>
        <v/>
      </c>
      <c r="I343" s="52" t="str">
        <f>IFERROR(INDEX('[1]REP DISEÑO'!$C$9:$C$1508,MATCH(C343,'[1]REP DISEÑO'!$D$9:$D$1508,0)),"")</f>
        <v/>
      </c>
      <c r="J343" s="53" t="str">
        <f>IF(C343="","",IF(ISNUMBER(FIND("AMU",$C$14:$C$548)),1,(SUMIF('[1]REP PRODUCCIÓN'!$H$6:$H$1505,"*"&amp;C343&amp;"*",'[1]REP PRODUCCIÓN'!$E$6:$E$1505))))</f>
        <v/>
      </c>
      <c r="K343" s="53">
        <f t="shared" si="16"/>
        <v>0</v>
      </c>
      <c r="M343" s="54" t="str">
        <f>IFERROR(INDEX('[1]REP DISEÑO'!$BA$9:$BA$1008,MATCH('INDIC-DIS2'!C343,'[1]REP DISEÑO'!$D$9:$D$1008,0)),"")</f>
        <v/>
      </c>
      <c r="N343" s="55"/>
      <c r="O343" s="55"/>
      <c r="P343" s="55"/>
      <c r="R343" s="57" t="str">
        <f t="shared" si="17"/>
        <v/>
      </c>
    </row>
    <row r="344" spans="2:18" ht="26.25" customHeight="1" x14ac:dyDescent="0.25">
      <c r="B344" s="49">
        <f t="shared" si="15"/>
        <v>0</v>
      </c>
      <c r="C344" s="50" t="str">
        <f t="array" ref="C344">IFERROR(INDEX('[1]REP DISEÑO'!$D$9:$D$1008,SMALL(IF('[1]REP DISEÑO'!$AW$9:$AW$1008=$J$1,ROW('[1]REP DISEÑO'!$N$9:$N$1008)-ROW('[1]REP DISEÑO'!$N$9),""),ROWS(C$14:C344))+1),"")</f>
        <v/>
      </c>
      <c r="D344" s="51" t="str">
        <f>IFERROR(INDEX('[1]REP DISEÑO'!$N$9:$N$1508,MATCH(C344,'[1]REP DISEÑO'!$D$9:$D$1508,0)),"")</f>
        <v/>
      </c>
      <c r="E344" s="51" t="str">
        <f>IFERROR(INDEX('[1]REP DISEÑO'!$G$9:$G$1508,MATCH(C344,'[1]REP DISEÑO'!$D$9:$D$1508,0)),"")</f>
        <v/>
      </c>
      <c r="F344" s="51" t="str">
        <f>IFERROR(INDEX('[1]REP DISEÑO'!$I$9:$I$1508,MATCH(C344,'[1]REP DISEÑO'!$D$9:$D$1508,0)),"")</f>
        <v/>
      </c>
      <c r="G344" s="51" t="str">
        <f>IFERROR(INDEX('[1]REP DISEÑO'!$M$9:$M$1508,MATCH(C344,'[1]REP DISEÑO'!$D$9:$D$1508,0)),"")</f>
        <v/>
      </c>
      <c r="H344" s="51" t="str">
        <f>IFERROR(INDEX('[1]REP DISEÑO'!$J$9:$J$1508,MATCH(C344,'[1]REP DISEÑO'!$D$9:$D$1508,0)),"")</f>
        <v/>
      </c>
      <c r="I344" s="52" t="str">
        <f>IFERROR(INDEX('[1]REP DISEÑO'!$C$9:$C$1508,MATCH(C344,'[1]REP DISEÑO'!$D$9:$D$1508,0)),"")</f>
        <v/>
      </c>
      <c r="J344" s="53" t="str">
        <f>IF(C344="","",IF(ISNUMBER(FIND("AMU",$C$14:$C$548)),1,(SUMIF('[1]REP PRODUCCIÓN'!$H$6:$H$1505,"*"&amp;C344&amp;"*",'[1]REP PRODUCCIÓN'!$E$6:$E$1505))))</f>
        <v/>
      </c>
      <c r="K344" s="53">
        <f t="shared" si="16"/>
        <v>0</v>
      </c>
      <c r="M344" s="54" t="str">
        <f>IFERROR(INDEX('[1]REP DISEÑO'!$BA$9:$BA$1008,MATCH('INDIC-DIS2'!C344,'[1]REP DISEÑO'!$D$9:$D$1008,0)),"")</f>
        <v/>
      </c>
      <c r="N344" s="55"/>
      <c r="O344" s="55"/>
      <c r="P344" s="55"/>
      <c r="R344" s="57" t="str">
        <f t="shared" si="17"/>
        <v/>
      </c>
    </row>
    <row r="345" spans="2:18" ht="26.25" customHeight="1" x14ac:dyDescent="0.25">
      <c r="B345" s="49">
        <f t="shared" si="15"/>
        <v>0</v>
      </c>
      <c r="C345" s="50" t="str">
        <f t="array" ref="C345">IFERROR(INDEX('[1]REP DISEÑO'!$D$9:$D$1008,SMALL(IF('[1]REP DISEÑO'!$AW$9:$AW$1008=$J$1,ROW('[1]REP DISEÑO'!$N$9:$N$1008)-ROW('[1]REP DISEÑO'!$N$9),""),ROWS(C$14:C345))+1),"")</f>
        <v/>
      </c>
      <c r="D345" s="51" t="str">
        <f>IFERROR(INDEX('[1]REP DISEÑO'!$N$9:$N$1508,MATCH(C345,'[1]REP DISEÑO'!$D$9:$D$1508,0)),"")</f>
        <v/>
      </c>
      <c r="E345" s="51" t="str">
        <f>IFERROR(INDEX('[1]REP DISEÑO'!$G$9:$G$1508,MATCH(C345,'[1]REP DISEÑO'!$D$9:$D$1508,0)),"")</f>
        <v/>
      </c>
      <c r="F345" s="51" t="str">
        <f>IFERROR(INDEX('[1]REP DISEÑO'!$I$9:$I$1508,MATCH(C345,'[1]REP DISEÑO'!$D$9:$D$1508,0)),"")</f>
        <v/>
      </c>
      <c r="G345" s="51" t="str">
        <f>IFERROR(INDEX('[1]REP DISEÑO'!$M$9:$M$1508,MATCH(C345,'[1]REP DISEÑO'!$D$9:$D$1508,0)),"")</f>
        <v/>
      </c>
      <c r="H345" s="51" t="str">
        <f>IFERROR(INDEX('[1]REP DISEÑO'!$J$9:$J$1508,MATCH(C345,'[1]REP DISEÑO'!$D$9:$D$1508,0)),"")</f>
        <v/>
      </c>
      <c r="I345" s="52" t="str">
        <f>IFERROR(INDEX('[1]REP DISEÑO'!$C$9:$C$1508,MATCH(C345,'[1]REP DISEÑO'!$D$9:$D$1508,0)),"")</f>
        <v/>
      </c>
      <c r="J345" s="53" t="str">
        <f>IF(C345="","",IF(ISNUMBER(FIND("AMU",$C$14:$C$548)),1,(SUMIF('[1]REP PRODUCCIÓN'!$H$6:$H$1505,"*"&amp;C345&amp;"*",'[1]REP PRODUCCIÓN'!$E$6:$E$1505))))</f>
        <v/>
      </c>
      <c r="K345" s="53">
        <f t="shared" si="16"/>
        <v>0</v>
      </c>
      <c r="M345" s="54" t="str">
        <f>IFERROR(INDEX('[1]REP DISEÑO'!$BA$9:$BA$1008,MATCH('INDIC-DIS2'!C345,'[1]REP DISEÑO'!$D$9:$D$1008,0)),"")</f>
        <v/>
      </c>
      <c r="N345" s="55"/>
      <c r="O345" s="55"/>
      <c r="P345" s="55"/>
      <c r="R345" s="57" t="str">
        <f t="shared" si="17"/>
        <v/>
      </c>
    </row>
    <row r="346" spans="2:18" ht="26.25" customHeight="1" x14ac:dyDescent="0.25">
      <c r="B346" s="49">
        <f t="shared" si="15"/>
        <v>0</v>
      </c>
      <c r="C346" s="50" t="str">
        <f t="array" ref="C346">IFERROR(INDEX('[1]REP DISEÑO'!$D$9:$D$1008,SMALL(IF('[1]REP DISEÑO'!$AW$9:$AW$1008=$J$1,ROW('[1]REP DISEÑO'!$N$9:$N$1008)-ROW('[1]REP DISEÑO'!$N$9),""),ROWS(C$14:C346))+1),"")</f>
        <v/>
      </c>
      <c r="D346" s="51" t="str">
        <f>IFERROR(INDEX('[1]REP DISEÑO'!$N$9:$N$1508,MATCH(C346,'[1]REP DISEÑO'!$D$9:$D$1508,0)),"")</f>
        <v/>
      </c>
      <c r="E346" s="51" t="str">
        <f>IFERROR(INDEX('[1]REP DISEÑO'!$G$9:$G$1508,MATCH(C346,'[1]REP DISEÑO'!$D$9:$D$1508,0)),"")</f>
        <v/>
      </c>
      <c r="F346" s="51" t="str">
        <f>IFERROR(INDEX('[1]REP DISEÑO'!$I$9:$I$1508,MATCH(C346,'[1]REP DISEÑO'!$D$9:$D$1508,0)),"")</f>
        <v/>
      </c>
      <c r="G346" s="51" t="str">
        <f>IFERROR(INDEX('[1]REP DISEÑO'!$M$9:$M$1508,MATCH(C346,'[1]REP DISEÑO'!$D$9:$D$1508,0)),"")</f>
        <v/>
      </c>
      <c r="H346" s="51" t="str">
        <f>IFERROR(INDEX('[1]REP DISEÑO'!$J$9:$J$1508,MATCH(C346,'[1]REP DISEÑO'!$D$9:$D$1508,0)),"")</f>
        <v/>
      </c>
      <c r="I346" s="52" t="str">
        <f>IFERROR(INDEX('[1]REP DISEÑO'!$C$9:$C$1508,MATCH(C346,'[1]REP DISEÑO'!$D$9:$D$1508,0)),"")</f>
        <v/>
      </c>
      <c r="J346" s="53" t="str">
        <f>IF(C346="","",IF(ISNUMBER(FIND("AMU",$C$14:$C$548)),1,(SUMIF('[1]REP PRODUCCIÓN'!$H$6:$H$1505,"*"&amp;C346&amp;"*",'[1]REP PRODUCCIÓN'!$E$6:$E$1505))))</f>
        <v/>
      </c>
      <c r="K346" s="53">
        <f t="shared" si="16"/>
        <v>0</v>
      </c>
      <c r="M346" s="54" t="str">
        <f>IFERROR(INDEX('[1]REP DISEÑO'!$BA$9:$BA$1008,MATCH('INDIC-DIS2'!C346,'[1]REP DISEÑO'!$D$9:$D$1008,0)),"")</f>
        <v/>
      </c>
      <c r="N346" s="55"/>
      <c r="O346" s="55"/>
      <c r="P346" s="55"/>
      <c r="R346" s="57" t="str">
        <f t="shared" si="17"/>
        <v/>
      </c>
    </row>
    <row r="347" spans="2:18" ht="26.25" customHeight="1" x14ac:dyDescent="0.25">
      <c r="B347" s="49">
        <f t="shared" si="15"/>
        <v>0</v>
      </c>
      <c r="C347" s="50" t="str">
        <f t="array" ref="C347">IFERROR(INDEX('[1]REP DISEÑO'!$D$9:$D$1008,SMALL(IF('[1]REP DISEÑO'!$AW$9:$AW$1008=$J$1,ROW('[1]REP DISEÑO'!$N$9:$N$1008)-ROW('[1]REP DISEÑO'!$N$9),""),ROWS(C$14:C347))+1),"")</f>
        <v/>
      </c>
      <c r="D347" s="51" t="str">
        <f>IFERROR(INDEX('[1]REP DISEÑO'!$N$9:$N$1508,MATCH(C347,'[1]REP DISEÑO'!$D$9:$D$1508,0)),"")</f>
        <v/>
      </c>
      <c r="E347" s="51" t="str">
        <f>IFERROR(INDEX('[1]REP DISEÑO'!$G$9:$G$1508,MATCH(C347,'[1]REP DISEÑO'!$D$9:$D$1508,0)),"")</f>
        <v/>
      </c>
      <c r="F347" s="51" t="str">
        <f>IFERROR(INDEX('[1]REP DISEÑO'!$I$9:$I$1508,MATCH(C347,'[1]REP DISEÑO'!$D$9:$D$1508,0)),"")</f>
        <v/>
      </c>
      <c r="G347" s="51" t="str">
        <f>IFERROR(INDEX('[1]REP DISEÑO'!$M$9:$M$1508,MATCH(C347,'[1]REP DISEÑO'!$D$9:$D$1508,0)),"")</f>
        <v/>
      </c>
      <c r="H347" s="51" t="str">
        <f>IFERROR(INDEX('[1]REP DISEÑO'!$J$9:$J$1508,MATCH(C347,'[1]REP DISEÑO'!$D$9:$D$1508,0)),"")</f>
        <v/>
      </c>
      <c r="I347" s="52" t="str">
        <f>IFERROR(INDEX('[1]REP DISEÑO'!$C$9:$C$1508,MATCH(C347,'[1]REP DISEÑO'!$D$9:$D$1508,0)),"")</f>
        <v/>
      </c>
      <c r="J347" s="53" t="str">
        <f>IF(C347="","",IF(ISNUMBER(FIND("AMU",$C$14:$C$548)),1,(SUMIF('[1]REP PRODUCCIÓN'!$H$6:$H$1505,"*"&amp;C347&amp;"*",'[1]REP PRODUCCIÓN'!$E$6:$E$1505))))</f>
        <v/>
      </c>
      <c r="K347" s="53">
        <f t="shared" si="16"/>
        <v>0</v>
      </c>
      <c r="M347" s="54" t="str">
        <f>IFERROR(INDEX('[1]REP DISEÑO'!$BA$9:$BA$1008,MATCH('INDIC-DIS2'!C347,'[1]REP DISEÑO'!$D$9:$D$1008,0)),"")</f>
        <v/>
      </c>
      <c r="N347" s="55"/>
      <c r="O347" s="55"/>
      <c r="P347" s="55"/>
      <c r="R347" s="57" t="str">
        <f t="shared" si="17"/>
        <v/>
      </c>
    </row>
    <row r="348" spans="2:18" ht="26.25" customHeight="1" x14ac:dyDescent="0.25">
      <c r="B348" s="49">
        <f t="shared" si="15"/>
        <v>0</v>
      </c>
      <c r="C348" s="50" t="str">
        <f t="array" ref="C348">IFERROR(INDEX('[1]REP DISEÑO'!$D$9:$D$1008,SMALL(IF('[1]REP DISEÑO'!$AW$9:$AW$1008=$J$1,ROW('[1]REP DISEÑO'!$N$9:$N$1008)-ROW('[1]REP DISEÑO'!$N$9),""),ROWS(C$14:C348))+1),"")</f>
        <v/>
      </c>
      <c r="D348" s="51" t="str">
        <f>IFERROR(INDEX('[1]REP DISEÑO'!$N$9:$N$1508,MATCH(C348,'[1]REP DISEÑO'!$D$9:$D$1508,0)),"")</f>
        <v/>
      </c>
      <c r="E348" s="51" t="str">
        <f>IFERROR(INDEX('[1]REP DISEÑO'!$G$9:$G$1508,MATCH(C348,'[1]REP DISEÑO'!$D$9:$D$1508,0)),"")</f>
        <v/>
      </c>
      <c r="F348" s="51" t="str">
        <f>IFERROR(INDEX('[1]REP DISEÑO'!$I$9:$I$1508,MATCH(C348,'[1]REP DISEÑO'!$D$9:$D$1508,0)),"")</f>
        <v/>
      </c>
      <c r="G348" s="51" t="str">
        <f>IFERROR(INDEX('[1]REP DISEÑO'!$M$9:$M$1508,MATCH(C348,'[1]REP DISEÑO'!$D$9:$D$1508,0)),"")</f>
        <v/>
      </c>
      <c r="H348" s="51" t="str">
        <f>IFERROR(INDEX('[1]REP DISEÑO'!$J$9:$J$1508,MATCH(C348,'[1]REP DISEÑO'!$D$9:$D$1508,0)),"")</f>
        <v/>
      </c>
      <c r="I348" s="52" t="str">
        <f>IFERROR(INDEX('[1]REP DISEÑO'!$C$9:$C$1508,MATCH(C348,'[1]REP DISEÑO'!$D$9:$D$1508,0)),"")</f>
        <v/>
      </c>
      <c r="J348" s="53" t="str">
        <f>IF(C348="","",IF(ISNUMBER(FIND("AMU",$C$14:$C$548)),1,(SUMIF('[1]REP PRODUCCIÓN'!$H$6:$H$1505,"*"&amp;C348&amp;"*",'[1]REP PRODUCCIÓN'!$E$6:$E$1505))))</f>
        <v/>
      </c>
      <c r="K348" s="53">
        <f t="shared" si="16"/>
        <v>0</v>
      </c>
      <c r="M348" s="54" t="str">
        <f>IFERROR(INDEX('[1]REP DISEÑO'!$BA$9:$BA$1008,MATCH('INDIC-DIS2'!C348,'[1]REP DISEÑO'!$D$9:$D$1008,0)),"")</f>
        <v/>
      </c>
      <c r="N348" s="55"/>
      <c r="O348" s="55"/>
      <c r="P348" s="55"/>
      <c r="R348" s="57" t="str">
        <f t="shared" si="17"/>
        <v/>
      </c>
    </row>
    <row r="349" spans="2:18" ht="26.25" customHeight="1" x14ac:dyDescent="0.25">
      <c r="B349" s="49">
        <f t="shared" si="15"/>
        <v>0</v>
      </c>
      <c r="C349" s="50" t="str">
        <f t="array" ref="C349">IFERROR(INDEX('[1]REP DISEÑO'!$D$9:$D$1008,SMALL(IF('[1]REP DISEÑO'!$AW$9:$AW$1008=$J$1,ROW('[1]REP DISEÑO'!$N$9:$N$1008)-ROW('[1]REP DISEÑO'!$N$9),""),ROWS(C$14:C349))+1),"")</f>
        <v/>
      </c>
      <c r="D349" s="51" t="str">
        <f>IFERROR(INDEX('[1]REP DISEÑO'!$N$9:$N$1508,MATCH(C349,'[1]REP DISEÑO'!$D$9:$D$1508,0)),"")</f>
        <v/>
      </c>
      <c r="E349" s="51" t="str">
        <f>IFERROR(INDEX('[1]REP DISEÑO'!$G$9:$G$1508,MATCH(C349,'[1]REP DISEÑO'!$D$9:$D$1508,0)),"")</f>
        <v/>
      </c>
      <c r="F349" s="51" t="str">
        <f>IFERROR(INDEX('[1]REP DISEÑO'!$I$9:$I$1508,MATCH(C349,'[1]REP DISEÑO'!$D$9:$D$1508,0)),"")</f>
        <v/>
      </c>
      <c r="G349" s="51" t="str">
        <f>IFERROR(INDEX('[1]REP DISEÑO'!$M$9:$M$1508,MATCH(C349,'[1]REP DISEÑO'!$D$9:$D$1508,0)),"")</f>
        <v/>
      </c>
      <c r="H349" s="51" t="str">
        <f>IFERROR(INDEX('[1]REP DISEÑO'!$J$9:$J$1508,MATCH(C349,'[1]REP DISEÑO'!$D$9:$D$1508,0)),"")</f>
        <v/>
      </c>
      <c r="I349" s="52" t="str">
        <f>IFERROR(INDEX('[1]REP DISEÑO'!$C$9:$C$1508,MATCH(C349,'[1]REP DISEÑO'!$D$9:$D$1508,0)),"")</f>
        <v/>
      </c>
      <c r="J349" s="53" t="str">
        <f>IF(C349="","",IF(ISNUMBER(FIND("AMU",$C$14:$C$548)),1,(SUMIF('[1]REP PRODUCCIÓN'!$H$6:$H$1505,"*"&amp;C349&amp;"*",'[1]REP PRODUCCIÓN'!$E$6:$E$1505))))</f>
        <v/>
      </c>
      <c r="K349" s="53">
        <f t="shared" si="16"/>
        <v>0</v>
      </c>
      <c r="M349" s="54" t="str">
        <f>IFERROR(INDEX('[1]REP DISEÑO'!$BA$9:$BA$1008,MATCH('INDIC-DIS2'!C349,'[1]REP DISEÑO'!$D$9:$D$1008,0)),"")</f>
        <v/>
      </c>
      <c r="N349" s="55"/>
      <c r="O349" s="55"/>
      <c r="P349" s="55"/>
      <c r="R349" s="57" t="str">
        <f t="shared" si="17"/>
        <v/>
      </c>
    </row>
    <row r="350" spans="2:18" ht="26.25" customHeight="1" x14ac:dyDescent="0.25">
      <c r="B350" s="49">
        <f t="shared" si="15"/>
        <v>0</v>
      </c>
      <c r="C350" s="50" t="str">
        <f t="array" ref="C350">IFERROR(INDEX('[1]REP DISEÑO'!$D$9:$D$1008,SMALL(IF('[1]REP DISEÑO'!$AW$9:$AW$1008=$J$1,ROW('[1]REP DISEÑO'!$N$9:$N$1008)-ROW('[1]REP DISEÑO'!$N$9),""),ROWS(C$14:C350))+1),"")</f>
        <v/>
      </c>
      <c r="D350" s="51" t="str">
        <f>IFERROR(INDEX('[1]REP DISEÑO'!$N$9:$N$1508,MATCH(C350,'[1]REP DISEÑO'!$D$9:$D$1508,0)),"")</f>
        <v/>
      </c>
      <c r="E350" s="51" t="str">
        <f>IFERROR(INDEX('[1]REP DISEÑO'!$G$9:$G$1508,MATCH(C350,'[1]REP DISEÑO'!$D$9:$D$1508,0)),"")</f>
        <v/>
      </c>
      <c r="F350" s="51" t="str">
        <f>IFERROR(INDEX('[1]REP DISEÑO'!$I$9:$I$1508,MATCH(C350,'[1]REP DISEÑO'!$D$9:$D$1508,0)),"")</f>
        <v/>
      </c>
      <c r="G350" s="51" t="str">
        <f>IFERROR(INDEX('[1]REP DISEÑO'!$M$9:$M$1508,MATCH(C350,'[1]REP DISEÑO'!$D$9:$D$1508,0)),"")</f>
        <v/>
      </c>
      <c r="H350" s="51" t="str">
        <f>IFERROR(INDEX('[1]REP DISEÑO'!$J$9:$J$1508,MATCH(C350,'[1]REP DISEÑO'!$D$9:$D$1508,0)),"")</f>
        <v/>
      </c>
      <c r="I350" s="52" t="str">
        <f>IFERROR(INDEX('[1]REP DISEÑO'!$C$9:$C$1508,MATCH(C350,'[1]REP DISEÑO'!$D$9:$D$1508,0)),"")</f>
        <v/>
      </c>
      <c r="J350" s="53" t="str">
        <f>IF(C350="","",IF(ISNUMBER(FIND("AMU",$C$14:$C$548)),1,(SUMIF('[1]REP PRODUCCIÓN'!$H$6:$H$1505,"*"&amp;C350&amp;"*",'[1]REP PRODUCCIÓN'!$E$6:$E$1505))))</f>
        <v/>
      </c>
      <c r="K350" s="53">
        <f t="shared" si="16"/>
        <v>0</v>
      </c>
      <c r="M350" s="54" t="str">
        <f>IFERROR(INDEX('[1]REP DISEÑO'!$BA$9:$BA$1008,MATCH('INDIC-DIS2'!C350,'[1]REP DISEÑO'!$D$9:$D$1008,0)),"")</f>
        <v/>
      </c>
      <c r="N350" s="55"/>
      <c r="O350" s="55"/>
      <c r="P350" s="55"/>
      <c r="R350" s="57" t="str">
        <f t="shared" si="17"/>
        <v/>
      </c>
    </row>
    <row r="351" spans="2:18" ht="26.25" customHeight="1" x14ac:dyDescent="0.25">
      <c r="B351" s="49">
        <f t="shared" si="15"/>
        <v>0</v>
      </c>
      <c r="C351" s="50" t="str">
        <f t="array" ref="C351">IFERROR(INDEX('[1]REP DISEÑO'!$D$9:$D$1008,SMALL(IF('[1]REP DISEÑO'!$AW$9:$AW$1008=$J$1,ROW('[1]REP DISEÑO'!$N$9:$N$1008)-ROW('[1]REP DISEÑO'!$N$9),""),ROWS(C$14:C351))+1),"")</f>
        <v/>
      </c>
      <c r="D351" s="51" t="str">
        <f>IFERROR(INDEX('[1]REP DISEÑO'!$N$9:$N$1508,MATCH(C351,'[1]REP DISEÑO'!$D$9:$D$1508,0)),"")</f>
        <v/>
      </c>
      <c r="E351" s="51" t="str">
        <f>IFERROR(INDEX('[1]REP DISEÑO'!$G$9:$G$1508,MATCH(C351,'[1]REP DISEÑO'!$D$9:$D$1508,0)),"")</f>
        <v/>
      </c>
      <c r="F351" s="51" t="str">
        <f>IFERROR(INDEX('[1]REP DISEÑO'!$I$9:$I$1508,MATCH(C351,'[1]REP DISEÑO'!$D$9:$D$1508,0)),"")</f>
        <v/>
      </c>
      <c r="G351" s="51" t="str">
        <f>IFERROR(INDEX('[1]REP DISEÑO'!$M$9:$M$1508,MATCH(C351,'[1]REP DISEÑO'!$D$9:$D$1508,0)),"")</f>
        <v/>
      </c>
      <c r="H351" s="51" t="str">
        <f>IFERROR(INDEX('[1]REP DISEÑO'!$J$9:$J$1508,MATCH(C351,'[1]REP DISEÑO'!$D$9:$D$1508,0)),"")</f>
        <v/>
      </c>
      <c r="I351" s="52" t="str">
        <f>IFERROR(INDEX('[1]REP DISEÑO'!$C$9:$C$1508,MATCH(C351,'[1]REP DISEÑO'!$D$9:$D$1508,0)),"")</f>
        <v/>
      </c>
      <c r="J351" s="53" t="str">
        <f>IF(C351="","",IF(ISNUMBER(FIND("AMU",$C$14:$C$548)),1,(SUMIF('[1]REP PRODUCCIÓN'!$H$6:$H$1505,"*"&amp;C351&amp;"*",'[1]REP PRODUCCIÓN'!$E$6:$E$1505))))</f>
        <v/>
      </c>
      <c r="K351" s="53">
        <f t="shared" si="16"/>
        <v>0</v>
      </c>
      <c r="M351" s="54" t="str">
        <f>IFERROR(INDEX('[1]REP DISEÑO'!$BA$9:$BA$1008,MATCH('INDIC-DIS2'!C351,'[1]REP DISEÑO'!$D$9:$D$1008,0)),"")</f>
        <v/>
      </c>
      <c r="N351" s="55"/>
      <c r="O351" s="55"/>
      <c r="P351" s="55"/>
      <c r="R351" s="57" t="str">
        <f t="shared" si="17"/>
        <v/>
      </c>
    </row>
    <row r="352" spans="2:18" ht="26.25" customHeight="1" x14ac:dyDescent="0.25">
      <c r="B352" s="49">
        <f t="shared" si="15"/>
        <v>0</v>
      </c>
      <c r="C352" s="50" t="str">
        <f t="array" ref="C352">IFERROR(INDEX('[1]REP DISEÑO'!$D$9:$D$1008,SMALL(IF('[1]REP DISEÑO'!$AW$9:$AW$1008=$J$1,ROW('[1]REP DISEÑO'!$N$9:$N$1008)-ROW('[1]REP DISEÑO'!$N$9),""),ROWS(C$14:C352))+1),"")</f>
        <v/>
      </c>
      <c r="D352" s="51" t="str">
        <f>IFERROR(INDEX('[1]REP DISEÑO'!$N$9:$N$1508,MATCH(C352,'[1]REP DISEÑO'!$D$9:$D$1508,0)),"")</f>
        <v/>
      </c>
      <c r="E352" s="51" t="str">
        <f>IFERROR(INDEX('[1]REP DISEÑO'!$G$9:$G$1508,MATCH(C352,'[1]REP DISEÑO'!$D$9:$D$1508,0)),"")</f>
        <v/>
      </c>
      <c r="F352" s="51" t="str">
        <f>IFERROR(INDEX('[1]REP DISEÑO'!$I$9:$I$1508,MATCH(C352,'[1]REP DISEÑO'!$D$9:$D$1508,0)),"")</f>
        <v/>
      </c>
      <c r="G352" s="51" t="str">
        <f>IFERROR(INDEX('[1]REP DISEÑO'!$M$9:$M$1508,MATCH(C352,'[1]REP DISEÑO'!$D$9:$D$1508,0)),"")</f>
        <v/>
      </c>
      <c r="H352" s="51" t="str">
        <f>IFERROR(INDEX('[1]REP DISEÑO'!$J$9:$J$1508,MATCH(C352,'[1]REP DISEÑO'!$D$9:$D$1508,0)),"")</f>
        <v/>
      </c>
      <c r="I352" s="52" t="str">
        <f>IFERROR(INDEX('[1]REP DISEÑO'!$C$9:$C$1508,MATCH(C352,'[1]REP DISEÑO'!$D$9:$D$1508,0)),"")</f>
        <v/>
      </c>
      <c r="J352" s="53" t="str">
        <f>IF(C352="","",IF(ISNUMBER(FIND("AMU",$C$14:$C$548)),1,(SUMIF('[1]REP PRODUCCIÓN'!$H$6:$H$1505,"*"&amp;C352&amp;"*",'[1]REP PRODUCCIÓN'!$E$6:$E$1505))))</f>
        <v/>
      </c>
      <c r="K352" s="53">
        <f t="shared" si="16"/>
        <v>0</v>
      </c>
      <c r="M352" s="54" t="str">
        <f>IFERROR(INDEX('[1]REP DISEÑO'!$BA$9:$BA$1008,MATCH('INDIC-DIS2'!C352,'[1]REP DISEÑO'!$D$9:$D$1008,0)),"")</f>
        <v/>
      </c>
      <c r="N352" s="55"/>
      <c r="O352" s="55"/>
      <c r="P352" s="55"/>
      <c r="R352" s="57" t="str">
        <f t="shared" si="17"/>
        <v/>
      </c>
    </row>
    <row r="353" spans="2:18" ht="26.25" customHeight="1" x14ac:dyDescent="0.25">
      <c r="B353" s="49">
        <f t="shared" si="15"/>
        <v>0</v>
      </c>
      <c r="C353" s="50" t="str">
        <f t="array" ref="C353">IFERROR(INDEX('[1]REP DISEÑO'!$D$9:$D$1008,SMALL(IF('[1]REP DISEÑO'!$AW$9:$AW$1008=$J$1,ROW('[1]REP DISEÑO'!$N$9:$N$1008)-ROW('[1]REP DISEÑO'!$N$9),""),ROWS(C$14:C353))+1),"")</f>
        <v/>
      </c>
      <c r="D353" s="51" t="str">
        <f>IFERROR(INDEX('[1]REP DISEÑO'!$N$9:$N$1508,MATCH(C353,'[1]REP DISEÑO'!$D$9:$D$1508,0)),"")</f>
        <v/>
      </c>
      <c r="E353" s="51" t="str">
        <f>IFERROR(INDEX('[1]REP DISEÑO'!$G$9:$G$1508,MATCH(C353,'[1]REP DISEÑO'!$D$9:$D$1508,0)),"")</f>
        <v/>
      </c>
      <c r="F353" s="51" t="str">
        <f>IFERROR(INDEX('[1]REP DISEÑO'!$I$9:$I$1508,MATCH(C353,'[1]REP DISEÑO'!$D$9:$D$1508,0)),"")</f>
        <v/>
      </c>
      <c r="G353" s="51" t="str">
        <f>IFERROR(INDEX('[1]REP DISEÑO'!$M$9:$M$1508,MATCH(C353,'[1]REP DISEÑO'!$D$9:$D$1508,0)),"")</f>
        <v/>
      </c>
      <c r="H353" s="51" t="str">
        <f>IFERROR(INDEX('[1]REP DISEÑO'!$J$9:$J$1508,MATCH(C353,'[1]REP DISEÑO'!$D$9:$D$1508,0)),"")</f>
        <v/>
      </c>
      <c r="I353" s="52" t="str">
        <f>IFERROR(INDEX('[1]REP DISEÑO'!$C$9:$C$1508,MATCH(C353,'[1]REP DISEÑO'!$D$9:$D$1508,0)),"")</f>
        <v/>
      </c>
      <c r="J353" s="53" t="str">
        <f>IF(C353="","",IF(ISNUMBER(FIND("AMU",$C$14:$C$548)),1,(SUMIF('[1]REP PRODUCCIÓN'!$H$6:$H$1505,"*"&amp;C353&amp;"*",'[1]REP PRODUCCIÓN'!$E$6:$E$1505))))</f>
        <v/>
      </c>
      <c r="K353" s="53">
        <f t="shared" si="16"/>
        <v>0</v>
      </c>
      <c r="M353" s="54" t="str">
        <f>IFERROR(INDEX('[1]REP DISEÑO'!$BA$9:$BA$1008,MATCH('INDIC-DIS2'!C353,'[1]REP DISEÑO'!$D$9:$D$1008,0)),"")</f>
        <v/>
      </c>
      <c r="N353" s="55"/>
      <c r="O353" s="55"/>
      <c r="P353" s="55"/>
      <c r="R353" s="57" t="str">
        <f t="shared" si="17"/>
        <v/>
      </c>
    </row>
    <row r="354" spans="2:18" ht="26.25" customHeight="1" x14ac:dyDescent="0.25">
      <c r="B354" s="49">
        <f t="shared" si="15"/>
        <v>0</v>
      </c>
      <c r="C354" s="50" t="str">
        <f t="array" ref="C354">IFERROR(INDEX('[1]REP DISEÑO'!$D$9:$D$1008,SMALL(IF('[1]REP DISEÑO'!$AW$9:$AW$1008=$J$1,ROW('[1]REP DISEÑO'!$N$9:$N$1008)-ROW('[1]REP DISEÑO'!$N$9),""),ROWS(C$14:C354))+1),"")</f>
        <v/>
      </c>
      <c r="D354" s="51" t="str">
        <f>IFERROR(INDEX('[1]REP DISEÑO'!$N$9:$N$1508,MATCH(C354,'[1]REP DISEÑO'!$D$9:$D$1508,0)),"")</f>
        <v/>
      </c>
      <c r="E354" s="51" t="str">
        <f>IFERROR(INDEX('[1]REP DISEÑO'!$G$9:$G$1508,MATCH(C354,'[1]REP DISEÑO'!$D$9:$D$1508,0)),"")</f>
        <v/>
      </c>
      <c r="F354" s="51" t="str">
        <f>IFERROR(INDEX('[1]REP DISEÑO'!$I$9:$I$1508,MATCH(C354,'[1]REP DISEÑO'!$D$9:$D$1508,0)),"")</f>
        <v/>
      </c>
      <c r="G354" s="51" t="str">
        <f>IFERROR(INDEX('[1]REP DISEÑO'!$M$9:$M$1508,MATCH(C354,'[1]REP DISEÑO'!$D$9:$D$1508,0)),"")</f>
        <v/>
      </c>
      <c r="H354" s="51" t="str">
        <f>IFERROR(INDEX('[1]REP DISEÑO'!$J$9:$J$1508,MATCH(C354,'[1]REP DISEÑO'!$D$9:$D$1508,0)),"")</f>
        <v/>
      </c>
      <c r="I354" s="52" t="str">
        <f>IFERROR(INDEX('[1]REP DISEÑO'!$C$9:$C$1508,MATCH(C354,'[1]REP DISEÑO'!$D$9:$D$1508,0)),"")</f>
        <v/>
      </c>
      <c r="J354" s="53" t="str">
        <f>IF(C354="","",IF(ISNUMBER(FIND("AMU",$C$14:$C$548)),1,(SUMIF('[1]REP PRODUCCIÓN'!$H$6:$H$1505,"*"&amp;C354&amp;"*",'[1]REP PRODUCCIÓN'!$E$6:$E$1505))))</f>
        <v/>
      </c>
      <c r="K354" s="53">
        <f t="shared" si="16"/>
        <v>0</v>
      </c>
      <c r="M354" s="54" t="str">
        <f>IFERROR(INDEX('[1]REP DISEÑO'!$BA$9:$BA$1008,MATCH('INDIC-DIS2'!C354,'[1]REP DISEÑO'!$D$9:$D$1008,0)),"")</f>
        <v/>
      </c>
      <c r="N354" s="55"/>
      <c r="O354" s="55"/>
      <c r="P354" s="55"/>
      <c r="R354" s="57" t="str">
        <f t="shared" si="17"/>
        <v/>
      </c>
    </row>
    <row r="355" spans="2:18" ht="26.25" customHeight="1" x14ac:dyDescent="0.25">
      <c r="B355" s="49">
        <f t="shared" si="15"/>
        <v>0</v>
      </c>
      <c r="C355" s="50" t="str">
        <f t="array" ref="C355">IFERROR(INDEX('[1]REP DISEÑO'!$D$9:$D$1008,SMALL(IF('[1]REP DISEÑO'!$AW$9:$AW$1008=$J$1,ROW('[1]REP DISEÑO'!$N$9:$N$1008)-ROW('[1]REP DISEÑO'!$N$9),""),ROWS(C$14:C355))+1),"")</f>
        <v/>
      </c>
      <c r="D355" s="51" t="str">
        <f>IFERROR(INDEX('[1]REP DISEÑO'!$N$9:$N$1508,MATCH(C355,'[1]REP DISEÑO'!$D$9:$D$1508,0)),"")</f>
        <v/>
      </c>
      <c r="E355" s="51" t="str">
        <f>IFERROR(INDEX('[1]REP DISEÑO'!$G$9:$G$1508,MATCH(C355,'[1]REP DISEÑO'!$D$9:$D$1508,0)),"")</f>
        <v/>
      </c>
      <c r="F355" s="51" t="str">
        <f>IFERROR(INDEX('[1]REP DISEÑO'!$I$9:$I$1508,MATCH(C355,'[1]REP DISEÑO'!$D$9:$D$1508,0)),"")</f>
        <v/>
      </c>
      <c r="G355" s="51" t="str">
        <f>IFERROR(INDEX('[1]REP DISEÑO'!$M$9:$M$1508,MATCH(C355,'[1]REP DISEÑO'!$D$9:$D$1508,0)),"")</f>
        <v/>
      </c>
      <c r="H355" s="51" t="str">
        <f>IFERROR(INDEX('[1]REP DISEÑO'!$J$9:$J$1508,MATCH(C355,'[1]REP DISEÑO'!$D$9:$D$1508,0)),"")</f>
        <v/>
      </c>
      <c r="I355" s="52" t="str">
        <f>IFERROR(INDEX('[1]REP DISEÑO'!$C$9:$C$1508,MATCH(C355,'[1]REP DISEÑO'!$D$9:$D$1508,0)),"")</f>
        <v/>
      </c>
      <c r="J355" s="53" t="str">
        <f>IF(C355="","",IF(ISNUMBER(FIND("AMU",$C$14:$C$548)),1,(SUMIF('[1]REP PRODUCCIÓN'!$H$6:$H$1505,"*"&amp;C355&amp;"*",'[1]REP PRODUCCIÓN'!$E$6:$E$1505))))</f>
        <v/>
      </c>
      <c r="K355" s="53">
        <f t="shared" si="16"/>
        <v>0</v>
      </c>
      <c r="M355" s="54" t="str">
        <f>IFERROR(INDEX('[1]REP DISEÑO'!$BA$9:$BA$1008,MATCH('INDIC-DIS2'!C355,'[1]REP DISEÑO'!$D$9:$D$1008,0)),"")</f>
        <v/>
      </c>
      <c r="N355" s="55"/>
      <c r="O355" s="55"/>
      <c r="P355" s="55"/>
      <c r="R355" s="57" t="str">
        <f t="shared" si="17"/>
        <v/>
      </c>
    </row>
    <row r="356" spans="2:18" ht="26.25" customHeight="1" x14ac:dyDescent="0.25">
      <c r="B356" s="49">
        <f t="shared" si="15"/>
        <v>0</v>
      </c>
      <c r="C356" s="50" t="str">
        <f t="array" ref="C356">IFERROR(INDEX('[1]REP DISEÑO'!$D$9:$D$1008,SMALL(IF('[1]REP DISEÑO'!$AW$9:$AW$1008=$J$1,ROW('[1]REP DISEÑO'!$N$9:$N$1008)-ROW('[1]REP DISEÑO'!$N$9),""),ROWS(C$14:C356))+1),"")</f>
        <v/>
      </c>
      <c r="D356" s="51" t="str">
        <f>IFERROR(INDEX('[1]REP DISEÑO'!$N$9:$N$1508,MATCH(C356,'[1]REP DISEÑO'!$D$9:$D$1508,0)),"")</f>
        <v/>
      </c>
      <c r="E356" s="51" t="str">
        <f>IFERROR(INDEX('[1]REP DISEÑO'!$G$9:$G$1508,MATCH(C356,'[1]REP DISEÑO'!$D$9:$D$1508,0)),"")</f>
        <v/>
      </c>
      <c r="F356" s="51" t="str">
        <f>IFERROR(INDEX('[1]REP DISEÑO'!$I$9:$I$1508,MATCH(C356,'[1]REP DISEÑO'!$D$9:$D$1508,0)),"")</f>
        <v/>
      </c>
      <c r="G356" s="51" t="str">
        <f>IFERROR(INDEX('[1]REP DISEÑO'!$M$9:$M$1508,MATCH(C356,'[1]REP DISEÑO'!$D$9:$D$1508,0)),"")</f>
        <v/>
      </c>
      <c r="H356" s="51" t="str">
        <f>IFERROR(INDEX('[1]REP DISEÑO'!$J$9:$J$1508,MATCH(C356,'[1]REP DISEÑO'!$D$9:$D$1508,0)),"")</f>
        <v/>
      </c>
      <c r="I356" s="52" t="str">
        <f>IFERROR(INDEX('[1]REP DISEÑO'!$C$9:$C$1508,MATCH(C356,'[1]REP DISEÑO'!$D$9:$D$1508,0)),"")</f>
        <v/>
      </c>
      <c r="J356" s="53" t="str">
        <f>IF(C356="","",IF(ISNUMBER(FIND("AMU",$C$14:$C$548)),1,(SUMIF('[1]REP PRODUCCIÓN'!$H$6:$H$1505,"*"&amp;C356&amp;"*",'[1]REP PRODUCCIÓN'!$E$6:$E$1505))))</f>
        <v/>
      </c>
      <c r="K356" s="53">
        <f t="shared" si="16"/>
        <v>0</v>
      </c>
      <c r="M356" s="54" t="str">
        <f>IFERROR(INDEX('[1]REP DISEÑO'!$BA$9:$BA$1008,MATCH('INDIC-DIS2'!C356,'[1]REP DISEÑO'!$D$9:$D$1008,0)),"")</f>
        <v/>
      </c>
      <c r="N356" s="55"/>
      <c r="O356" s="55"/>
      <c r="P356" s="55"/>
      <c r="R356" s="57" t="str">
        <f t="shared" si="17"/>
        <v/>
      </c>
    </row>
    <row r="357" spans="2:18" ht="26.25" customHeight="1" x14ac:dyDescent="0.25">
      <c r="B357" s="49">
        <f t="shared" si="15"/>
        <v>0</v>
      </c>
      <c r="C357" s="50" t="str">
        <f t="array" ref="C357">IFERROR(INDEX('[1]REP DISEÑO'!$D$9:$D$1008,SMALL(IF('[1]REP DISEÑO'!$AW$9:$AW$1008=$J$1,ROW('[1]REP DISEÑO'!$N$9:$N$1008)-ROW('[1]REP DISEÑO'!$N$9),""),ROWS(C$14:C357))+1),"")</f>
        <v/>
      </c>
      <c r="D357" s="51" t="str">
        <f>IFERROR(INDEX('[1]REP DISEÑO'!$N$9:$N$1508,MATCH(C357,'[1]REP DISEÑO'!$D$9:$D$1508,0)),"")</f>
        <v/>
      </c>
      <c r="E357" s="51" t="str">
        <f>IFERROR(INDEX('[1]REP DISEÑO'!$G$9:$G$1508,MATCH(C357,'[1]REP DISEÑO'!$D$9:$D$1508,0)),"")</f>
        <v/>
      </c>
      <c r="F357" s="51" t="str">
        <f>IFERROR(INDEX('[1]REP DISEÑO'!$I$9:$I$1508,MATCH(C357,'[1]REP DISEÑO'!$D$9:$D$1508,0)),"")</f>
        <v/>
      </c>
      <c r="G357" s="51" t="str">
        <f>IFERROR(INDEX('[1]REP DISEÑO'!$M$9:$M$1508,MATCH(C357,'[1]REP DISEÑO'!$D$9:$D$1508,0)),"")</f>
        <v/>
      </c>
      <c r="H357" s="51" t="str">
        <f>IFERROR(INDEX('[1]REP DISEÑO'!$J$9:$J$1508,MATCH(C357,'[1]REP DISEÑO'!$D$9:$D$1508,0)),"")</f>
        <v/>
      </c>
      <c r="I357" s="52" t="str">
        <f>IFERROR(INDEX('[1]REP DISEÑO'!$C$9:$C$1508,MATCH(C357,'[1]REP DISEÑO'!$D$9:$D$1508,0)),"")</f>
        <v/>
      </c>
      <c r="J357" s="53" t="str">
        <f>IF(C357="","",IF(ISNUMBER(FIND("AMU",$C$14:$C$548)),1,(SUMIF('[1]REP PRODUCCIÓN'!$H$6:$H$1505,"*"&amp;C357&amp;"*",'[1]REP PRODUCCIÓN'!$E$6:$E$1505))))</f>
        <v/>
      </c>
      <c r="K357" s="53">
        <f t="shared" si="16"/>
        <v>0</v>
      </c>
      <c r="M357" s="54" t="str">
        <f>IFERROR(INDEX('[1]REP DISEÑO'!$BA$9:$BA$1008,MATCH('INDIC-DIS2'!C357,'[1]REP DISEÑO'!$D$9:$D$1008,0)),"")</f>
        <v/>
      </c>
      <c r="N357" s="55"/>
      <c r="O357" s="55"/>
      <c r="P357" s="55"/>
      <c r="R357" s="57" t="str">
        <f t="shared" si="17"/>
        <v/>
      </c>
    </row>
    <row r="358" spans="2:18" ht="26.25" customHeight="1" x14ac:dyDescent="0.25">
      <c r="B358" s="49">
        <f t="shared" si="15"/>
        <v>0</v>
      </c>
      <c r="C358" s="50" t="str">
        <f t="array" ref="C358">IFERROR(INDEX('[1]REP DISEÑO'!$D$9:$D$1008,SMALL(IF('[1]REP DISEÑO'!$AW$9:$AW$1008=$J$1,ROW('[1]REP DISEÑO'!$N$9:$N$1008)-ROW('[1]REP DISEÑO'!$N$9),""),ROWS(C$14:C358))+1),"")</f>
        <v/>
      </c>
      <c r="D358" s="51" t="str">
        <f>IFERROR(INDEX('[1]REP DISEÑO'!$N$9:$N$1508,MATCH(C358,'[1]REP DISEÑO'!$D$9:$D$1508,0)),"")</f>
        <v/>
      </c>
      <c r="E358" s="51" t="str">
        <f>IFERROR(INDEX('[1]REP DISEÑO'!$G$9:$G$1508,MATCH(C358,'[1]REP DISEÑO'!$D$9:$D$1508,0)),"")</f>
        <v/>
      </c>
      <c r="F358" s="51" t="str">
        <f>IFERROR(INDEX('[1]REP DISEÑO'!$I$9:$I$1508,MATCH(C358,'[1]REP DISEÑO'!$D$9:$D$1508,0)),"")</f>
        <v/>
      </c>
      <c r="G358" s="51" t="str">
        <f>IFERROR(INDEX('[1]REP DISEÑO'!$M$9:$M$1508,MATCH(C358,'[1]REP DISEÑO'!$D$9:$D$1508,0)),"")</f>
        <v/>
      </c>
      <c r="H358" s="51" t="str">
        <f>IFERROR(INDEX('[1]REP DISEÑO'!$J$9:$J$1508,MATCH(C358,'[1]REP DISEÑO'!$D$9:$D$1508,0)),"")</f>
        <v/>
      </c>
      <c r="I358" s="52" t="str">
        <f>IFERROR(INDEX('[1]REP DISEÑO'!$C$9:$C$1508,MATCH(C358,'[1]REP DISEÑO'!$D$9:$D$1508,0)),"")</f>
        <v/>
      </c>
      <c r="J358" s="53" t="str">
        <f>IF(C358="","",IF(ISNUMBER(FIND("AMU",$C$14:$C$548)),1,(SUMIF('[1]REP PRODUCCIÓN'!$H$6:$H$1505,"*"&amp;C358&amp;"*",'[1]REP PRODUCCIÓN'!$E$6:$E$1505))))</f>
        <v/>
      </c>
      <c r="K358" s="53">
        <f t="shared" si="16"/>
        <v>0</v>
      </c>
      <c r="M358" s="54" t="str">
        <f>IFERROR(INDEX('[1]REP DISEÑO'!$BA$9:$BA$1008,MATCH('INDIC-DIS2'!C358,'[1]REP DISEÑO'!$D$9:$D$1008,0)),"")</f>
        <v/>
      </c>
      <c r="N358" s="55"/>
      <c r="O358" s="55"/>
      <c r="P358" s="55"/>
      <c r="R358" s="57" t="str">
        <f t="shared" si="17"/>
        <v/>
      </c>
    </row>
    <row r="359" spans="2:18" ht="26.25" customHeight="1" x14ac:dyDescent="0.25">
      <c r="B359" s="49">
        <f t="shared" si="15"/>
        <v>0</v>
      </c>
      <c r="C359" s="50" t="str">
        <f t="array" ref="C359">IFERROR(INDEX('[1]REP DISEÑO'!$D$9:$D$1008,SMALL(IF('[1]REP DISEÑO'!$AW$9:$AW$1008=$J$1,ROW('[1]REP DISEÑO'!$N$9:$N$1008)-ROW('[1]REP DISEÑO'!$N$9),""),ROWS(C$14:C359))+1),"")</f>
        <v/>
      </c>
      <c r="D359" s="51" t="str">
        <f>IFERROR(INDEX('[1]REP DISEÑO'!$N$9:$N$1508,MATCH(C359,'[1]REP DISEÑO'!$D$9:$D$1508,0)),"")</f>
        <v/>
      </c>
      <c r="E359" s="51" t="str">
        <f>IFERROR(INDEX('[1]REP DISEÑO'!$G$9:$G$1508,MATCH(C359,'[1]REP DISEÑO'!$D$9:$D$1508,0)),"")</f>
        <v/>
      </c>
      <c r="F359" s="51" t="str">
        <f>IFERROR(INDEX('[1]REP DISEÑO'!$I$9:$I$1508,MATCH(C359,'[1]REP DISEÑO'!$D$9:$D$1508,0)),"")</f>
        <v/>
      </c>
      <c r="G359" s="51" t="str">
        <f>IFERROR(INDEX('[1]REP DISEÑO'!$M$9:$M$1508,MATCH(C359,'[1]REP DISEÑO'!$D$9:$D$1508,0)),"")</f>
        <v/>
      </c>
      <c r="H359" s="51" t="str">
        <f>IFERROR(INDEX('[1]REP DISEÑO'!$J$9:$J$1508,MATCH(C359,'[1]REP DISEÑO'!$D$9:$D$1508,0)),"")</f>
        <v/>
      </c>
      <c r="I359" s="52" t="str">
        <f>IFERROR(INDEX('[1]REP DISEÑO'!$C$9:$C$1508,MATCH(C359,'[1]REP DISEÑO'!$D$9:$D$1508,0)),"")</f>
        <v/>
      </c>
      <c r="J359" s="53" t="str">
        <f>IF(C359="","",IF(ISNUMBER(FIND("AMU",$C$14:$C$548)),1,(SUMIF('[1]REP PRODUCCIÓN'!$H$6:$H$1505,"*"&amp;C359&amp;"*",'[1]REP PRODUCCIÓN'!$E$6:$E$1505))))</f>
        <v/>
      </c>
      <c r="K359" s="53">
        <f t="shared" si="16"/>
        <v>0</v>
      </c>
      <c r="M359" s="54" t="str">
        <f>IFERROR(INDEX('[1]REP DISEÑO'!$BA$9:$BA$1008,MATCH('INDIC-DIS2'!C359,'[1]REP DISEÑO'!$D$9:$D$1008,0)),"")</f>
        <v/>
      </c>
      <c r="N359" s="55"/>
      <c r="O359" s="55"/>
      <c r="P359" s="55"/>
      <c r="R359" s="57" t="str">
        <f t="shared" si="17"/>
        <v/>
      </c>
    </row>
    <row r="360" spans="2:18" ht="26.25" customHeight="1" x14ac:dyDescent="0.25">
      <c r="B360" s="49">
        <f t="shared" si="15"/>
        <v>0</v>
      </c>
      <c r="C360" s="50" t="str">
        <f t="array" ref="C360">IFERROR(INDEX('[1]REP DISEÑO'!$D$9:$D$1008,SMALL(IF('[1]REP DISEÑO'!$AW$9:$AW$1008=$J$1,ROW('[1]REP DISEÑO'!$N$9:$N$1008)-ROW('[1]REP DISEÑO'!$N$9),""),ROWS(C$14:C360))+1),"")</f>
        <v/>
      </c>
      <c r="D360" s="51" t="str">
        <f>IFERROR(INDEX('[1]REP DISEÑO'!$N$9:$N$1508,MATCH(C360,'[1]REP DISEÑO'!$D$9:$D$1508,0)),"")</f>
        <v/>
      </c>
      <c r="E360" s="51" t="str">
        <f>IFERROR(INDEX('[1]REP DISEÑO'!$G$9:$G$1508,MATCH(C360,'[1]REP DISEÑO'!$D$9:$D$1508,0)),"")</f>
        <v/>
      </c>
      <c r="F360" s="51" t="str">
        <f>IFERROR(INDEX('[1]REP DISEÑO'!$I$9:$I$1508,MATCH(C360,'[1]REP DISEÑO'!$D$9:$D$1508,0)),"")</f>
        <v/>
      </c>
      <c r="G360" s="51" t="str">
        <f>IFERROR(INDEX('[1]REP DISEÑO'!$M$9:$M$1508,MATCH(C360,'[1]REP DISEÑO'!$D$9:$D$1508,0)),"")</f>
        <v/>
      </c>
      <c r="H360" s="51" t="str">
        <f>IFERROR(INDEX('[1]REP DISEÑO'!$J$9:$J$1508,MATCH(C360,'[1]REP DISEÑO'!$D$9:$D$1508,0)),"")</f>
        <v/>
      </c>
      <c r="I360" s="52" t="str">
        <f>IFERROR(INDEX('[1]REP DISEÑO'!$C$9:$C$1508,MATCH(C360,'[1]REP DISEÑO'!$D$9:$D$1508,0)),"")</f>
        <v/>
      </c>
      <c r="J360" s="53" t="str">
        <f>IF(C360="","",IF(ISNUMBER(FIND("AMU",$C$14:$C$548)),1,(SUMIF('[1]REP PRODUCCIÓN'!$H$6:$H$1505,"*"&amp;C360&amp;"*",'[1]REP PRODUCCIÓN'!$E$6:$E$1505))))</f>
        <v/>
      </c>
      <c r="K360" s="53">
        <f t="shared" si="16"/>
        <v>0</v>
      </c>
      <c r="M360" s="54" t="str">
        <f>IFERROR(INDEX('[1]REP DISEÑO'!$BA$9:$BA$1008,MATCH('INDIC-DIS2'!C360,'[1]REP DISEÑO'!$D$9:$D$1008,0)),"")</f>
        <v/>
      </c>
      <c r="N360" s="55"/>
      <c r="O360" s="55"/>
      <c r="P360" s="55"/>
      <c r="R360" s="57" t="str">
        <f t="shared" si="17"/>
        <v/>
      </c>
    </row>
    <row r="361" spans="2:18" ht="26.25" customHeight="1" x14ac:dyDescent="0.25">
      <c r="B361" s="49">
        <f t="shared" si="15"/>
        <v>0</v>
      </c>
      <c r="C361" s="50" t="str">
        <f t="array" ref="C361">IFERROR(INDEX('[1]REP DISEÑO'!$D$9:$D$1008,SMALL(IF('[1]REP DISEÑO'!$AW$9:$AW$1008=$J$1,ROW('[1]REP DISEÑO'!$N$9:$N$1008)-ROW('[1]REP DISEÑO'!$N$9),""),ROWS(C$14:C361))+1),"")</f>
        <v/>
      </c>
      <c r="D361" s="51" t="str">
        <f>IFERROR(INDEX('[1]REP DISEÑO'!$N$9:$N$1508,MATCH(C361,'[1]REP DISEÑO'!$D$9:$D$1508,0)),"")</f>
        <v/>
      </c>
      <c r="E361" s="51" t="str">
        <f>IFERROR(INDEX('[1]REP DISEÑO'!$G$9:$G$1508,MATCH(C361,'[1]REP DISEÑO'!$D$9:$D$1508,0)),"")</f>
        <v/>
      </c>
      <c r="F361" s="51" t="str">
        <f>IFERROR(INDEX('[1]REP DISEÑO'!$I$9:$I$1508,MATCH(C361,'[1]REP DISEÑO'!$D$9:$D$1508,0)),"")</f>
        <v/>
      </c>
      <c r="G361" s="51" t="str">
        <f>IFERROR(INDEX('[1]REP DISEÑO'!$M$9:$M$1508,MATCH(C361,'[1]REP DISEÑO'!$D$9:$D$1508,0)),"")</f>
        <v/>
      </c>
      <c r="H361" s="51" t="str">
        <f>IFERROR(INDEX('[1]REP DISEÑO'!$J$9:$J$1508,MATCH(C361,'[1]REP DISEÑO'!$D$9:$D$1508,0)),"")</f>
        <v/>
      </c>
      <c r="I361" s="52" t="str">
        <f>IFERROR(INDEX('[1]REP DISEÑO'!$C$9:$C$1508,MATCH(C361,'[1]REP DISEÑO'!$D$9:$D$1508,0)),"")</f>
        <v/>
      </c>
      <c r="J361" s="53" t="str">
        <f>IF(C361="","",IF(ISNUMBER(FIND("AMU",$C$14:$C$548)),1,(SUMIF('[1]REP PRODUCCIÓN'!$H$6:$H$1505,"*"&amp;C361&amp;"*",'[1]REP PRODUCCIÓN'!$E$6:$E$1505))))</f>
        <v/>
      </c>
      <c r="K361" s="53">
        <f t="shared" si="16"/>
        <v>0</v>
      </c>
      <c r="M361" s="54" t="str">
        <f>IFERROR(INDEX('[1]REP DISEÑO'!$BA$9:$BA$1008,MATCH('INDIC-DIS2'!C361,'[1]REP DISEÑO'!$D$9:$D$1008,0)),"")</f>
        <v/>
      </c>
      <c r="N361" s="55"/>
      <c r="O361" s="55"/>
      <c r="P361" s="55"/>
      <c r="R361" s="57" t="str">
        <f t="shared" si="17"/>
        <v/>
      </c>
    </row>
    <row r="362" spans="2:18" ht="26.25" customHeight="1" x14ac:dyDescent="0.25">
      <c r="B362" s="49">
        <f t="shared" si="15"/>
        <v>0</v>
      </c>
      <c r="C362" s="50" t="str">
        <f t="array" ref="C362">IFERROR(INDEX('[1]REP DISEÑO'!$D$9:$D$1008,SMALL(IF('[1]REP DISEÑO'!$AW$9:$AW$1008=$J$1,ROW('[1]REP DISEÑO'!$N$9:$N$1008)-ROW('[1]REP DISEÑO'!$N$9),""),ROWS(C$14:C362))+1),"")</f>
        <v/>
      </c>
      <c r="D362" s="51" t="str">
        <f>IFERROR(INDEX('[1]REP DISEÑO'!$N$9:$N$1508,MATCH(C362,'[1]REP DISEÑO'!$D$9:$D$1508,0)),"")</f>
        <v/>
      </c>
      <c r="E362" s="51" t="str">
        <f>IFERROR(INDEX('[1]REP DISEÑO'!$G$9:$G$1508,MATCH(C362,'[1]REP DISEÑO'!$D$9:$D$1508,0)),"")</f>
        <v/>
      </c>
      <c r="F362" s="51" t="str">
        <f>IFERROR(INDEX('[1]REP DISEÑO'!$I$9:$I$1508,MATCH(C362,'[1]REP DISEÑO'!$D$9:$D$1508,0)),"")</f>
        <v/>
      </c>
      <c r="G362" s="51" t="str">
        <f>IFERROR(INDEX('[1]REP DISEÑO'!$M$9:$M$1508,MATCH(C362,'[1]REP DISEÑO'!$D$9:$D$1508,0)),"")</f>
        <v/>
      </c>
      <c r="H362" s="51" t="str">
        <f>IFERROR(INDEX('[1]REP DISEÑO'!$J$9:$J$1508,MATCH(C362,'[1]REP DISEÑO'!$D$9:$D$1508,0)),"")</f>
        <v/>
      </c>
      <c r="I362" s="52" t="str">
        <f>IFERROR(INDEX('[1]REP DISEÑO'!$C$9:$C$1508,MATCH(C362,'[1]REP DISEÑO'!$D$9:$D$1508,0)),"")</f>
        <v/>
      </c>
      <c r="J362" s="53" t="str">
        <f>IF(C362="","",IF(ISNUMBER(FIND("AMU",$C$14:$C$548)),1,(SUMIF('[1]REP PRODUCCIÓN'!$H$6:$H$1505,"*"&amp;C362&amp;"*",'[1]REP PRODUCCIÓN'!$E$6:$E$1505))))</f>
        <v/>
      </c>
      <c r="K362" s="53">
        <f t="shared" si="16"/>
        <v>0</v>
      </c>
      <c r="M362" s="54" t="str">
        <f>IFERROR(INDEX('[1]REP DISEÑO'!$BA$9:$BA$1008,MATCH('INDIC-DIS2'!C362,'[1]REP DISEÑO'!$D$9:$D$1008,0)),"")</f>
        <v/>
      </c>
      <c r="N362" s="55"/>
      <c r="O362" s="55"/>
      <c r="P362" s="55"/>
      <c r="R362" s="57" t="str">
        <f t="shared" si="17"/>
        <v/>
      </c>
    </row>
    <row r="363" spans="2:18" ht="26.25" customHeight="1" x14ac:dyDescent="0.25">
      <c r="B363" s="49">
        <f t="shared" si="15"/>
        <v>0</v>
      </c>
      <c r="C363" s="50" t="str">
        <f t="array" ref="C363">IFERROR(INDEX('[1]REP DISEÑO'!$D$9:$D$1008,SMALL(IF('[1]REP DISEÑO'!$AW$9:$AW$1008=$J$1,ROW('[1]REP DISEÑO'!$N$9:$N$1008)-ROW('[1]REP DISEÑO'!$N$9),""),ROWS(C$14:C363))+1),"")</f>
        <v/>
      </c>
      <c r="D363" s="51" t="str">
        <f>IFERROR(INDEX('[1]REP DISEÑO'!$N$9:$N$1508,MATCH(C363,'[1]REP DISEÑO'!$D$9:$D$1508,0)),"")</f>
        <v/>
      </c>
      <c r="E363" s="51" t="str">
        <f>IFERROR(INDEX('[1]REP DISEÑO'!$G$9:$G$1508,MATCH(C363,'[1]REP DISEÑO'!$D$9:$D$1508,0)),"")</f>
        <v/>
      </c>
      <c r="F363" s="51" t="str">
        <f>IFERROR(INDEX('[1]REP DISEÑO'!$I$9:$I$1508,MATCH(C363,'[1]REP DISEÑO'!$D$9:$D$1508,0)),"")</f>
        <v/>
      </c>
      <c r="G363" s="51" t="str">
        <f>IFERROR(INDEX('[1]REP DISEÑO'!$M$9:$M$1508,MATCH(C363,'[1]REP DISEÑO'!$D$9:$D$1508,0)),"")</f>
        <v/>
      </c>
      <c r="H363" s="51" t="str">
        <f>IFERROR(INDEX('[1]REP DISEÑO'!$J$9:$J$1508,MATCH(C363,'[1]REP DISEÑO'!$D$9:$D$1508,0)),"")</f>
        <v/>
      </c>
      <c r="I363" s="52" t="str">
        <f>IFERROR(INDEX('[1]REP DISEÑO'!$C$9:$C$1508,MATCH(C363,'[1]REP DISEÑO'!$D$9:$D$1508,0)),"")</f>
        <v/>
      </c>
      <c r="J363" s="53" t="str">
        <f>IF(C363="","",IF(ISNUMBER(FIND("AMU",$C$14:$C$548)),1,(SUMIF('[1]REP PRODUCCIÓN'!$H$6:$H$1505,"*"&amp;C363&amp;"*",'[1]REP PRODUCCIÓN'!$E$6:$E$1505))))</f>
        <v/>
      </c>
      <c r="K363" s="53">
        <f t="shared" si="16"/>
        <v>0</v>
      </c>
      <c r="M363" s="54" t="str">
        <f>IFERROR(INDEX('[1]REP DISEÑO'!$BA$9:$BA$1008,MATCH('INDIC-DIS2'!C363,'[1]REP DISEÑO'!$D$9:$D$1008,0)),"")</f>
        <v/>
      </c>
      <c r="N363" s="55"/>
      <c r="O363" s="55"/>
      <c r="P363" s="55"/>
      <c r="R363" s="57" t="str">
        <f t="shared" si="17"/>
        <v/>
      </c>
    </row>
    <row r="364" spans="2:18" ht="26.25" customHeight="1" x14ac:dyDescent="0.25">
      <c r="B364" s="49">
        <f t="shared" si="15"/>
        <v>0</v>
      </c>
      <c r="C364" s="50" t="str">
        <f t="array" ref="C364">IFERROR(INDEX('[1]REP DISEÑO'!$D$9:$D$1008,SMALL(IF('[1]REP DISEÑO'!$AW$9:$AW$1008=$J$1,ROW('[1]REP DISEÑO'!$N$9:$N$1008)-ROW('[1]REP DISEÑO'!$N$9),""),ROWS(C$14:C364))+1),"")</f>
        <v/>
      </c>
      <c r="D364" s="51" t="str">
        <f>IFERROR(INDEX('[1]REP DISEÑO'!$N$9:$N$1508,MATCH(C364,'[1]REP DISEÑO'!$D$9:$D$1508,0)),"")</f>
        <v/>
      </c>
      <c r="E364" s="51" t="str">
        <f>IFERROR(INDEX('[1]REP DISEÑO'!$G$9:$G$1508,MATCH(C364,'[1]REP DISEÑO'!$D$9:$D$1508,0)),"")</f>
        <v/>
      </c>
      <c r="F364" s="51" t="str">
        <f>IFERROR(INDEX('[1]REP DISEÑO'!$I$9:$I$1508,MATCH(C364,'[1]REP DISEÑO'!$D$9:$D$1508,0)),"")</f>
        <v/>
      </c>
      <c r="G364" s="51" t="str">
        <f>IFERROR(INDEX('[1]REP DISEÑO'!$M$9:$M$1508,MATCH(C364,'[1]REP DISEÑO'!$D$9:$D$1508,0)),"")</f>
        <v/>
      </c>
      <c r="H364" s="51" t="str">
        <f>IFERROR(INDEX('[1]REP DISEÑO'!$J$9:$J$1508,MATCH(C364,'[1]REP DISEÑO'!$D$9:$D$1508,0)),"")</f>
        <v/>
      </c>
      <c r="I364" s="52" t="str">
        <f>IFERROR(INDEX('[1]REP DISEÑO'!$C$9:$C$1508,MATCH(C364,'[1]REP DISEÑO'!$D$9:$D$1508,0)),"")</f>
        <v/>
      </c>
      <c r="J364" s="53" t="str">
        <f>IF(C364="","",IF(ISNUMBER(FIND("AMU",$C$14:$C$548)),1,(SUMIF('[1]REP PRODUCCIÓN'!$H$6:$H$1505,"*"&amp;C364&amp;"*",'[1]REP PRODUCCIÓN'!$E$6:$E$1505))))</f>
        <v/>
      </c>
      <c r="K364" s="53">
        <f t="shared" si="16"/>
        <v>0</v>
      </c>
      <c r="M364" s="54" t="str">
        <f>IFERROR(INDEX('[1]REP DISEÑO'!$BA$9:$BA$1008,MATCH('INDIC-DIS2'!C364,'[1]REP DISEÑO'!$D$9:$D$1008,0)),"")</f>
        <v/>
      </c>
      <c r="N364" s="55"/>
      <c r="O364" s="55"/>
      <c r="P364" s="55"/>
      <c r="R364" s="57" t="str">
        <f t="shared" si="17"/>
        <v/>
      </c>
    </row>
    <row r="365" spans="2:18" ht="26.25" customHeight="1" x14ac:dyDescent="0.25">
      <c r="B365" s="49">
        <f t="shared" si="15"/>
        <v>0</v>
      </c>
      <c r="C365" s="50" t="str">
        <f t="array" ref="C365">IFERROR(INDEX('[1]REP DISEÑO'!$D$9:$D$1008,SMALL(IF('[1]REP DISEÑO'!$AW$9:$AW$1008=$J$1,ROW('[1]REP DISEÑO'!$N$9:$N$1008)-ROW('[1]REP DISEÑO'!$N$9),""),ROWS(C$14:C365))+1),"")</f>
        <v/>
      </c>
      <c r="D365" s="51" t="str">
        <f>IFERROR(INDEX('[1]REP DISEÑO'!$N$9:$N$1508,MATCH(C365,'[1]REP DISEÑO'!$D$9:$D$1508,0)),"")</f>
        <v/>
      </c>
      <c r="E365" s="51" t="str">
        <f>IFERROR(INDEX('[1]REP DISEÑO'!$G$9:$G$1508,MATCH(C365,'[1]REP DISEÑO'!$D$9:$D$1508,0)),"")</f>
        <v/>
      </c>
      <c r="F365" s="51" t="str">
        <f>IFERROR(INDEX('[1]REP DISEÑO'!$I$9:$I$1508,MATCH(C365,'[1]REP DISEÑO'!$D$9:$D$1508,0)),"")</f>
        <v/>
      </c>
      <c r="G365" s="51" t="str">
        <f>IFERROR(INDEX('[1]REP DISEÑO'!$M$9:$M$1508,MATCH(C365,'[1]REP DISEÑO'!$D$9:$D$1508,0)),"")</f>
        <v/>
      </c>
      <c r="H365" s="51" t="str">
        <f>IFERROR(INDEX('[1]REP DISEÑO'!$J$9:$J$1508,MATCH(C365,'[1]REP DISEÑO'!$D$9:$D$1508,0)),"")</f>
        <v/>
      </c>
      <c r="I365" s="52" t="str">
        <f>IFERROR(INDEX('[1]REP DISEÑO'!$C$9:$C$1508,MATCH(C365,'[1]REP DISEÑO'!$D$9:$D$1508,0)),"")</f>
        <v/>
      </c>
      <c r="J365" s="53" t="str">
        <f>IF(C365="","",IF(ISNUMBER(FIND("AMU",$C$14:$C$548)),1,(SUMIF('[1]REP PRODUCCIÓN'!$H$6:$H$1505,"*"&amp;C365&amp;"*",'[1]REP PRODUCCIÓN'!$E$6:$E$1505))))</f>
        <v/>
      </c>
      <c r="K365" s="53">
        <f t="shared" si="16"/>
        <v>0</v>
      </c>
      <c r="M365" s="54" t="str">
        <f>IFERROR(INDEX('[1]REP DISEÑO'!$BA$9:$BA$1008,MATCH('INDIC-DIS2'!C365,'[1]REP DISEÑO'!$D$9:$D$1008,0)),"")</f>
        <v/>
      </c>
      <c r="N365" s="55"/>
      <c r="O365" s="55"/>
      <c r="P365" s="55"/>
      <c r="R365" s="57" t="str">
        <f t="shared" si="17"/>
        <v/>
      </c>
    </row>
    <row r="366" spans="2:18" ht="26.25" customHeight="1" x14ac:dyDescent="0.25">
      <c r="B366" s="49">
        <f t="shared" si="15"/>
        <v>0</v>
      </c>
      <c r="C366" s="50" t="str">
        <f t="array" ref="C366">IFERROR(INDEX('[1]REP DISEÑO'!$D$9:$D$1008,SMALL(IF('[1]REP DISEÑO'!$AW$9:$AW$1008=$J$1,ROW('[1]REP DISEÑO'!$N$9:$N$1008)-ROW('[1]REP DISEÑO'!$N$9),""),ROWS(C$14:C366))+1),"")</f>
        <v/>
      </c>
      <c r="D366" s="51" t="str">
        <f>IFERROR(INDEX('[1]REP DISEÑO'!$N$9:$N$1508,MATCH(C366,'[1]REP DISEÑO'!$D$9:$D$1508,0)),"")</f>
        <v/>
      </c>
      <c r="E366" s="51" t="str">
        <f>IFERROR(INDEX('[1]REP DISEÑO'!$G$9:$G$1508,MATCH(C366,'[1]REP DISEÑO'!$D$9:$D$1508,0)),"")</f>
        <v/>
      </c>
      <c r="F366" s="51" t="str">
        <f>IFERROR(INDEX('[1]REP DISEÑO'!$I$9:$I$1508,MATCH(C366,'[1]REP DISEÑO'!$D$9:$D$1508,0)),"")</f>
        <v/>
      </c>
      <c r="G366" s="51" t="str">
        <f>IFERROR(INDEX('[1]REP DISEÑO'!$M$9:$M$1508,MATCH(C366,'[1]REP DISEÑO'!$D$9:$D$1508,0)),"")</f>
        <v/>
      </c>
      <c r="H366" s="51" t="str">
        <f>IFERROR(INDEX('[1]REP DISEÑO'!$J$9:$J$1508,MATCH(C366,'[1]REP DISEÑO'!$D$9:$D$1508,0)),"")</f>
        <v/>
      </c>
      <c r="I366" s="52" t="str">
        <f>IFERROR(INDEX('[1]REP DISEÑO'!$C$9:$C$1508,MATCH(C366,'[1]REP DISEÑO'!$D$9:$D$1508,0)),"")</f>
        <v/>
      </c>
      <c r="J366" s="53" t="str">
        <f>IF(C366="","",IF(ISNUMBER(FIND("AMU",$C$14:$C$548)),1,(SUMIF('[1]REP PRODUCCIÓN'!$H$6:$H$1505,"*"&amp;C366&amp;"*",'[1]REP PRODUCCIÓN'!$E$6:$E$1505))))</f>
        <v/>
      </c>
      <c r="K366" s="53">
        <f t="shared" si="16"/>
        <v>0</v>
      </c>
      <c r="M366" s="54" t="str">
        <f>IFERROR(INDEX('[1]REP DISEÑO'!$BA$9:$BA$1008,MATCH('INDIC-DIS2'!C366,'[1]REP DISEÑO'!$D$9:$D$1008,0)),"")</f>
        <v/>
      </c>
      <c r="N366" s="55"/>
      <c r="O366" s="55"/>
      <c r="P366" s="55"/>
      <c r="R366" s="57" t="str">
        <f t="shared" si="17"/>
        <v/>
      </c>
    </row>
    <row r="367" spans="2:18" ht="26.25" customHeight="1" x14ac:dyDescent="0.25">
      <c r="B367" s="49">
        <f t="shared" si="15"/>
        <v>0</v>
      </c>
      <c r="C367" s="50" t="str">
        <f t="array" ref="C367">IFERROR(INDEX('[1]REP DISEÑO'!$D$9:$D$1008,SMALL(IF('[1]REP DISEÑO'!$AW$9:$AW$1008=$J$1,ROW('[1]REP DISEÑO'!$N$9:$N$1008)-ROW('[1]REP DISEÑO'!$N$9),""),ROWS(C$14:C367))+1),"")</f>
        <v/>
      </c>
      <c r="D367" s="51" t="str">
        <f>IFERROR(INDEX('[1]REP DISEÑO'!$N$9:$N$1508,MATCH(C367,'[1]REP DISEÑO'!$D$9:$D$1508,0)),"")</f>
        <v/>
      </c>
      <c r="E367" s="51" t="str">
        <f>IFERROR(INDEX('[1]REP DISEÑO'!$G$9:$G$1508,MATCH(C367,'[1]REP DISEÑO'!$D$9:$D$1508,0)),"")</f>
        <v/>
      </c>
      <c r="F367" s="51" t="str">
        <f>IFERROR(INDEX('[1]REP DISEÑO'!$I$9:$I$1508,MATCH(C367,'[1]REP DISEÑO'!$D$9:$D$1508,0)),"")</f>
        <v/>
      </c>
      <c r="G367" s="51" t="str">
        <f>IFERROR(INDEX('[1]REP DISEÑO'!$M$9:$M$1508,MATCH(C367,'[1]REP DISEÑO'!$D$9:$D$1508,0)),"")</f>
        <v/>
      </c>
      <c r="H367" s="51" t="str">
        <f>IFERROR(INDEX('[1]REP DISEÑO'!$J$9:$J$1508,MATCH(C367,'[1]REP DISEÑO'!$D$9:$D$1508,0)),"")</f>
        <v/>
      </c>
      <c r="I367" s="52" t="str">
        <f>IFERROR(INDEX('[1]REP DISEÑO'!$C$9:$C$1508,MATCH(C367,'[1]REP DISEÑO'!$D$9:$D$1508,0)),"")</f>
        <v/>
      </c>
      <c r="J367" s="53" t="str">
        <f>IF(C367="","",IF(ISNUMBER(FIND("AMU",$C$14:$C$548)),1,(SUMIF('[1]REP PRODUCCIÓN'!$H$6:$H$1505,"*"&amp;C367&amp;"*",'[1]REP PRODUCCIÓN'!$E$6:$E$1505))))</f>
        <v/>
      </c>
      <c r="K367" s="53">
        <f t="shared" si="16"/>
        <v>0</v>
      </c>
      <c r="M367" s="54" t="str">
        <f>IFERROR(INDEX('[1]REP DISEÑO'!$BA$9:$BA$1008,MATCH('INDIC-DIS2'!C367,'[1]REP DISEÑO'!$D$9:$D$1008,0)),"")</f>
        <v/>
      </c>
      <c r="N367" s="55"/>
      <c r="O367" s="55"/>
      <c r="P367" s="55"/>
      <c r="R367" s="57" t="str">
        <f t="shared" si="17"/>
        <v/>
      </c>
    </row>
    <row r="368" spans="2:18" ht="26.25" customHeight="1" x14ac:dyDescent="0.25">
      <c r="B368" s="49">
        <f t="shared" si="15"/>
        <v>0</v>
      </c>
      <c r="C368" s="50" t="str">
        <f t="array" ref="C368">IFERROR(INDEX('[1]REP DISEÑO'!$D$9:$D$1008,SMALL(IF('[1]REP DISEÑO'!$AW$9:$AW$1008=$J$1,ROW('[1]REP DISEÑO'!$N$9:$N$1008)-ROW('[1]REP DISEÑO'!$N$9),""),ROWS(C$14:C368))+1),"")</f>
        <v/>
      </c>
      <c r="D368" s="51" t="str">
        <f>IFERROR(INDEX('[1]REP DISEÑO'!$N$9:$N$1508,MATCH(C368,'[1]REP DISEÑO'!$D$9:$D$1508,0)),"")</f>
        <v/>
      </c>
      <c r="E368" s="51" t="str">
        <f>IFERROR(INDEX('[1]REP DISEÑO'!$G$9:$G$1508,MATCH(C368,'[1]REP DISEÑO'!$D$9:$D$1508,0)),"")</f>
        <v/>
      </c>
      <c r="F368" s="51" t="str">
        <f>IFERROR(INDEX('[1]REP DISEÑO'!$I$9:$I$1508,MATCH(C368,'[1]REP DISEÑO'!$D$9:$D$1508,0)),"")</f>
        <v/>
      </c>
      <c r="G368" s="51" t="str">
        <f>IFERROR(INDEX('[1]REP DISEÑO'!$M$9:$M$1508,MATCH(C368,'[1]REP DISEÑO'!$D$9:$D$1508,0)),"")</f>
        <v/>
      </c>
      <c r="H368" s="51" t="str">
        <f>IFERROR(INDEX('[1]REP DISEÑO'!$J$9:$J$1508,MATCH(C368,'[1]REP DISEÑO'!$D$9:$D$1508,0)),"")</f>
        <v/>
      </c>
      <c r="I368" s="52" t="str">
        <f>IFERROR(INDEX('[1]REP DISEÑO'!$C$9:$C$1508,MATCH(C368,'[1]REP DISEÑO'!$D$9:$D$1508,0)),"")</f>
        <v/>
      </c>
      <c r="J368" s="53" t="str">
        <f>IF(C368="","",IF(ISNUMBER(FIND("AMU",$C$14:$C$548)),1,(SUMIF('[1]REP PRODUCCIÓN'!$H$6:$H$1505,"*"&amp;C368&amp;"*",'[1]REP PRODUCCIÓN'!$E$6:$E$1505))))</f>
        <v/>
      </c>
      <c r="K368" s="53">
        <f t="shared" si="16"/>
        <v>0</v>
      </c>
      <c r="M368" s="54" t="str">
        <f>IFERROR(INDEX('[1]REP DISEÑO'!$BA$9:$BA$1008,MATCH('INDIC-DIS2'!C368,'[1]REP DISEÑO'!$D$9:$D$1008,0)),"")</f>
        <v/>
      </c>
      <c r="N368" s="55"/>
      <c r="O368" s="55"/>
      <c r="P368" s="55"/>
      <c r="R368" s="57" t="str">
        <f t="shared" si="17"/>
        <v/>
      </c>
    </row>
    <row r="369" spans="2:18" ht="26.25" customHeight="1" x14ac:dyDescent="0.25">
      <c r="B369" s="49">
        <f t="shared" si="15"/>
        <v>0</v>
      </c>
      <c r="C369" s="50" t="str">
        <f t="array" ref="C369">IFERROR(INDEX('[1]REP DISEÑO'!$D$9:$D$1008,SMALL(IF('[1]REP DISEÑO'!$AW$9:$AW$1008=$J$1,ROW('[1]REP DISEÑO'!$N$9:$N$1008)-ROW('[1]REP DISEÑO'!$N$9),""),ROWS(C$14:C369))+1),"")</f>
        <v/>
      </c>
      <c r="D369" s="51" t="str">
        <f>IFERROR(INDEX('[1]REP DISEÑO'!$N$9:$N$1508,MATCH(C369,'[1]REP DISEÑO'!$D$9:$D$1508,0)),"")</f>
        <v/>
      </c>
      <c r="E369" s="51" t="str">
        <f>IFERROR(INDEX('[1]REP DISEÑO'!$G$9:$G$1508,MATCH(C369,'[1]REP DISEÑO'!$D$9:$D$1508,0)),"")</f>
        <v/>
      </c>
      <c r="F369" s="51" t="str">
        <f>IFERROR(INDEX('[1]REP DISEÑO'!$I$9:$I$1508,MATCH(C369,'[1]REP DISEÑO'!$D$9:$D$1508,0)),"")</f>
        <v/>
      </c>
      <c r="G369" s="51" t="str">
        <f>IFERROR(INDEX('[1]REP DISEÑO'!$M$9:$M$1508,MATCH(C369,'[1]REP DISEÑO'!$D$9:$D$1508,0)),"")</f>
        <v/>
      </c>
      <c r="H369" s="51" t="str">
        <f>IFERROR(INDEX('[1]REP DISEÑO'!$J$9:$J$1508,MATCH(C369,'[1]REP DISEÑO'!$D$9:$D$1508,0)),"")</f>
        <v/>
      </c>
      <c r="I369" s="52" t="str">
        <f>IFERROR(INDEX('[1]REP DISEÑO'!$C$9:$C$1508,MATCH(C369,'[1]REP DISEÑO'!$D$9:$D$1508,0)),"")</f>
        <v/>
      </c>
      <c r="J369" s="53" t="str">
        <f>IF(C369="","",IF(ISNUMBER(FIND("AMU",$C$14:$C$548)),1,(SUMIF('[1]REP PRODUCCIÓN'!$H$6:$H$1505,"*"&amp;C369&amp;"*",'[1]REP PRODUCCIÓN'!$E$6:$E$1505))))</f>
        <v/>
      </c>
      <c r="K369" s="53">
        <f t="shared" si="16"/>
        <v>0</v>
      </c>
      <c r="M369" s="54" t="str">
        <f>IFERROR(INDEX('[1]REP DISEÑO'!$BA$9:$BA$1008,MATCH('INDIC-DIS2'!C369,'[1]REP DISEÑO'!$D$9:$D$1008,0)),"")</f>
        <v/>
      </c>
      <c r="N369" s="55"/>
      <c r="O369" s="55"/>
      <c r="P369" s="55"/>
      <c r="R369" s="57" t="str">
        <f t="shared" si="17"/>
        <v/>
      </c>
    </row>
    <row r="370" spans="2:18" ht="26.25" customHeight="1" x14ac:dyDescent="0.25">
      <c r="B370" s="49">
        <f t="shared" si="15"/>
        <v>0</v>
      </c>
      <c r="C370" s="50" t="str">
        <f t="array" ref="C370">IFERROR(INDEX('[1]REP DISEÑO'!$D$9:$D$1008,SMALL(IF('[1]REP DISEÑO'!$AW$9:$AW$1008=$J$1,ROW('[1]REP DISEÑO'!$N$9:$N$1008)-ROW('[1]REP DISEÑO'!$N$9),""),ROWS(C$14:C370))+1),"")</f>
        <v/>
      </c>
      <c r="D370" s="51" t="str">
        <f>IFERROR(INDEX('[1]REP DISEÑO'!$N$9:$N$1508,MATCH(C370,'[1]REP DISEÑO'!$D$9:$D$1508,0)),"")</f>
        <v/>
      </c>
      <c r="E370" s="51" t="str">
        <f>IFERROR(INDEX('[1]REP DISEÑO'!$G$9:$G$1508,MATCH(C370,'[1]REP DISEÑO'!$D$9:$D$1508,0)),"")</f>
        <v/>
      </c>
      <c r="F370" s="51" t="str">
        <f>IFERROR(INDEX('[1]REP DISEÑO'!$I$9:$I$1508,MATCH(C370,'[1]REP DISEÑO'!$D$9:$D$1508,0)),"")</f>
        <v/>
      </c>
      <c r="G370" s="51" t="str">
        <f>IFERROR(INDEX('[1]REP DISEÑO'!$M$9:$M$1508,MATCH(C370,'[1]REP DISEÑO'!$D$9:$D$1508,0)),"")</f>
        <v/>
      </c>
      <c r="H370" s="51" t="str">
        <f>IFERROR(INDEX('[1]REP DISEÑO'!$J$9:$J$1508,MATCH(C370,'[1]REP DISEÑO'!$D$9:$D$1508,0)),"")</f>
        <v/>
      </c>
      <c r="I370" s="52" t="str">
        <f>IFERROR(INDEX('[1]REP DISEÑO'!$C$9:$C$1508,MATCH(C370,'[1]REP DISEÑO'!$D$9:$D$1508,0)),"")</f>
        <v/>
      </c>
      <c r="J370" s="53" t="str">
        <f>IF(C370="","",IF(ISNUMBER(FIND("AMU",$C$14:$C$548)),1,(SUMIF('[1]REP PRODUCCIÓN'!$H$6:$H$1505,"*"&amp;C370&amp;"*",'[1]REP PRODUCCIÓN'!$E$6:$E$1505))))</f>
        <v/>
      </c>
      <c r="K370" s="53">
        <f t="shared" si="16"/>
        <v>0</v>
      </c>
      <c r="M370" s="54" t="str">
        <f>IFERROR(INDEX('[1]REP DISEÑO'!$BA$9:$BA$1008,MATCH('INDIC-DIS2'!C370,'[1]REP DISEÑO'!$D$9:$D$1008,0)),"")</f>
        <v/>
      </c>
      <c r="N370" s="55"/>
      <c r="O370" s="55"/>
      <c r="P370" s="55"/>
      <c r="R370" s="57" t="str">
        <f t="shared" si="17"/>
        <v/>
      </c>
    </row>
    <row r="371" spans="2:18" ht="26.25" customHeight="1" x14ac:dyDescent="0.25">
      <c r="B371" s="49">
        <f t="shared" si="15"/>
        <v>0</v>
      </c>
      <c r="C371" s="50" t="str">
        <f t="array" ref="C371">IFERROR(INDEX('[1]REP DISEÑO'!$D$9:$D$1008,SMALL(IF('[1]REP DISEÑO'!$AW$9:$AW$1008=$J$1,ROW('[1]REP DISEÑO'!$N$9:$N$1008)-ROW('[1]REP DISEÑO'!$N$9),""),ROWS(C$14:C371))+1),"")</f>
        <v/>
      </c>
      <c r="D371" s="51" t="str">
        <f>IFERROR(INDEX('[1]REP DISEÑO'!$N$9:$N$1508,MATCH(C371,'[1]REP DISEÑO'!$D$9:$D$1508,0)),"")</f>
        <v/>
      </c>
      <c r="E371" s="51" t="str">
        <f>IFERROR(INDEX('[1]REP DISEÑO'!$G$9:$G$1508,MATCH(C371,'[1]REP DISEÑO'!$D$9:$D$1508,0)),"")</f>
        <v/>
      </c>
      <c r="F371" s="51" t="str">
        <f>IFERROR(INDEX('[1]REP DISEÑO'!$I$9:$I$1508,MATCH(C371,'[1]REP DISEÑO'!$D$9:$D$1508,0)),"")</f>
        <v/>
      </c>
      <c r="G371" s="51" t="str">
        <f>IFERROR(INDEX('[1]REP DISEÑO'!$M$9:$M$1508,MATCH(C371,'[1]REP DISEÑO'!$D$9:$D$1508,0)),"")</f>
        <v/>
      </c>
      <c r="H371" s="51" t="str">
        <f>IFERROR(INDEX('[1]REP DISEÑO'!$J$9:$J$1508,MATCH(C371,'[1]REP DISEÑO'!$D$9:$D$1508,0)),"")</f>
        <v/>
      </c>
      <c r="I371" s="52" t="str">
        <f>IFERROR(INDEX('[1]REP DISEÑO'!$C$9:$C$1508,MATCH(C371,'[1]REP DISEÑO'!$D$9:$D$1508,0)),"")</f>
        <v/>
      </c>
      <c r="J371" s="53" t="str">
        <f>IF(C371="","",IF(ISNUMBER(FIND("AMU",$C$14:$C$548)),1,(SUMIF('[1]REP PRODUCCIÓN'!$H$6:$H$1505,"*"&amp;C371&amp;"*",'[1]REP PRODUCCIÓN'!$E$6:$E$1505))))</f>
        <v/>
      </c>
      <c r="K371" s="53">
        <f t="shared" si="16"/>
        <v>0</v>
      </c>
      <c r="M371" s="54" t="str">
        <f>IFERROR(INDEX('[1]REP DISEÑO'!$BA$9:$BA$1008,MATCH('INDIC-DIS2'!C371,'[1]REP DISEÑO'!$D$9:$D$1008,0)),"")</f>
        <v/>
      </c>
      <c r="N371" s="55"/>
      <c r="O371" s="55"/>
      <c r="P371" s="55"/>
      <c r="R371" s="57" t="str">
        <f t="shared" si="17"/>
        <v/>
      </c>
    </row>
    <row r="372" spans="2:18" ht="26.25" customHeight="1" x14ac:dyDescent="0.25">
      <c r="B372" s="49">
        <f t="shared" si="15"/>
        <v>0</v>
      </c>
      <c r="C372" s="50" t="str">
        <f t="array" ref="C372">IFERROR(INDEX('[1]REP DISEÑO'!$D$9:$D$1008,SMALL(IF('[1]REP DISEÑO'!$AW$9:$AW$1008=$J$1,ROW('[1]REP DISEÑO'!$N$9:$N$1008)-ROW('[1]REP DISEÑO'!$N$9),""),ROWS(C$14:C372))+1),"")</f>
        <v/>
      </c>
      <c r="D372" s="51" t="str">
        <f>IFERROR(INDEX('[1]REP DISEÑO'!$N$9:$N$1508,MATCH(C372,'[1]REP DISEÑO'!$D$9:$D$1508,0)),"")</f>
        <v/>
      </c>
      <c r="E372" s="51" t="str">
        <f>IFERROR(INDEX('[1]REP DISEÑO'!$G$9:$G$1508,MATCH(C372,'[1]REP DISEÑO'!$D$9:$D$1508,0)),"")</f>
        <v/>
      </c>
      <c r="F372" s="51" t="str">
        <f>IFERROR(INDEX('[1]REP DISEÑO'!$I$9:$I$1508,MATCH(C372,'[1]REP DISEÑO'!$D$9:$D$1508,0)),"")</f>
        <v/>
      </c>
      <c r="G372" s="51" t="str">
        <f>IFERROR(INDEX('[1]REP DISEÑO'!$M$9:$M$1508,MATCH(C372,'[1]REP DISEÑO'!$D$9:$D$1508,0)),"")</f>
        <v/>
      </c>
      <c r="H372" s="51" t="str">
        <f>IFERROR(INDEX('[1]REP DISEÑO'!$J$9:$J$1508,MATCH(C372,'[1]REP DISEÑO'!$D$9:$D$1508,0)),"")</f>
        <v/>
      </c>
      <c r="I372" s="52" t="str">
        <f>IFERROR(INDEX('[1]REP DISEÑO'!$C$9:$C$1508,MATCH(C372,'[1]REP DISEÑO'!$D$9:$D$1508,0)),"")</f>
        <v/>
      </c>
      <c r="J372" s="53" t="str">
        <f>IF(C372="","",IF(ISNUMBER(FIND("AMU",$C$14:$C$548)),1,(SUMIF('[1]REP PRODUCCIÓN'!$H$6:$H$1505,"*"&amp;C372&amp;"*",'[1]REP PRODUCCIÓN'!$E$6:$E$1505))))</f>
        <v/>
      </c>
      <c r="K372" s="53">
        <f t="shared" si="16"/>
        <v>0</v>
      </c>
      <c r="M372" s="54" t="str">
        <f>IFERROR(INDEX('[1]REP DISEÑO'!$BA$9:$BA$1008,MATCH('INDIC-DIS2'!C372,'[1]REP DISEÑO'!$D$9:$D$1008,0)),"")</f>
        <v/>
      </c>
      <c r="N372" s="55"/>
      <c r="O372" s="55"/>
      <c r="P372" s="55"/>
      <c r="R372" s="57" t="str">
        <f t="shared" si="17"/>
        <v/>
      </c>
    </row>
    <row r="373" spans="2:18" ht="26.25" customHeight="1" x14ac:dyDescent="0.25">
      <c r="B373" s="49">
        <f t="shared" si="15"/>
        <v>0</v>
      </c>
      <c r="C373" s="50" t="str">
        <f t="array" ref="C373">IFERROR(INDEX('[1]REP DISEÑO'!$D$9:$D$1008,SMALL(IF('[1]REP DISEÑO'!$AW$9:$AW$1008=$J$1,ROW('[1]REP DISEÑO'!$N$9:$N$1008)-ROW('[1]REP DISEÑO'!$N$9),""),ROWS(C$14:C373))+1),"")</f>
        <v/>
      </c>
      <c r="D373" s="51" t="str">
        <f>IFERROR(INDEX('[1]REP DISEÑO'!$N$9:$N$1508,MATCH(C373,'[1]REP DISEÑO'!$D$9:$D$1508,0)),"")</f>
        <v/>
      </c>
      <c r="E373" s="51" t="str">
        <f>IFERROR(INDEX('[1]REP DISEÑO'!$G$9:$G$1508,MATCH(C373,'[1]REP DISEÑO'!$D$9:$D$1508,0)),"")</f>
        <v/>
      </c>
      <c r="F373" s="51" t="str">
        <f>IFERROR(INDEX('[1]REP DISEÑO'!$I$9:$I$1508,MATCH(C373,'[1]REP DISEÑO'!$D$9:$D$1508,0)),"")</f>
        <v/>
      </c>
      <c r="G373" s="51" t="str">
        <f>IFERROR(INDEX('[1]REP DISEÑO'!$M$9:$M$1508,MATCH(C373,'[1]REP DISEÑO'!$D$9:$D$1508,0)),"")</f>
        <v/>
      </c>
      <c r="H373" s="51" t="str">
        <f>IFERROR(INDEX('[1]REP DISEÑO'!$J$9:$J$1508,MATCH(C373,'[1]REP DISEÑO'!$D$9:$D$1508,0)),"")</f>
        <v/>
      </c>
      <c r="I373" s="52" t="str">
        <f>IFERROR(INDEX('[1]REP DISEÑO'!$C$9:$C$1508,MATCH(C373,'[1]REP DISEÑO'!$D$9:$D$1508,0)),"")</f>
        <v/>
      </c>
      <c r="J373" s="53" t="str">
        <f>IF(C373="","",IF(ISNUMBER(FIND("AMU",$C$14:$C$548)),1,(SUMIF('[1]REP PRODUCCIÓN'!$H$6:$H$1505,"*"&amp;C373&amp;"*",'[1]REP PRODUCCIÓN'!$E$6:$E$1505))))</f>
        <v/>
      </c>
      <c r="K373" s="53">
        <f t="shared" si="16"/>
        <v>0</v>
      </c>
      <c r="M373" s="54" t="str">
        <f>IFERROR(INDEX('[1]REP DISEÑO'!$BA$9:$BA$1008,MATCH('INDIC-DIS2'!C373,'[1]REP DISEÑO'!$D$9:$D$1008,0)),"")</f>
        <v/>
      </c>
      <c r="N373" s="55"/>
      <c r="O373" s="55"/>
      <c r="P373" s="55"/>
      <c r="R373" s="57" t="str">
        <f t="shared" si="17"/>
        <v/>
      </c>
    </row>
    <row r="374" spans="2:18" ht="26.25" customHeight="1" x14ac:dyDescent="0.25">
      <c r="B374" s="49">
        <f t="shared" si="15"/>
        <v>0</v>
      </c>
      <c r="C374" s="50" t="str">
        <f t="array" ref="C374">IFERROR(INDEX('[1]REP DISEÑO'!$D$9:$D$1008,SMALL(IF('[1]REP DISEÑO'!$AW$9:$AW$1008=$J$1,ROW('[1]REP DISEÑO'!$N$9:$N$1008)-ROW('[1]REP DISEÑO'!$N$9),""),ROWS(C$14:C374))+1),"")</f>
        <v/>
      </c>
      <c r="D374" s="51" t="str">
        <f>IFERROR(INDEX('[1]REP DISEÑO'!$N$9:$N$1508,MATCH(C374,'[1]REP DISEÑO'!$D$9:$D$1508,0)),"")</f>
        <v/>
      </c>
      <c r="E374" s="51" t="str">
        <f>IFERROR(INDEX('[1]REP DISEÑO'!$G$9:$G$1508,MATCH(C374,'[1]REP DISEÑO'!$D$9:$D$1508,0)),"")</f>
        <v/>
      </c>
      <c r="F374" s="51" t="str">
        <f>IFERROR(INDEX('[1]REP DISEÑO'!$I$9:$I$1508,MATCH(C374,'[1]REP DISEÑO'!$D$9:$D$1508,0)),"")</f>
        <v/>
      </c>
      <c r="G374" s="51" t="str">
        <f>IFERROR(INDEX('[1]REP DISEÑO'!$M$9:$M$1508,MATCH(C374,'[1]REP DISEÑO'!$D$9:$D$1508,0)),"")</f>
        <v/>
      </c>
      <c r="H374" s="51" t="str">
        <f>IFERROR(INDEX('[1]REP DISEÑO'!$J$9:$J$1508,MATCH(C374,'[1]REP DISEÑO'!$D$9:$D$1508,0)),"")</f>
        <v/>
      </c>
      <c r="I374" s="52" t="str">
        <f>IFERROR(INDEX('[1]REP DISEÑO'!$C$9:$C$1508,MATCH(C374,'[1]REP DISEÑO'!$D$9:$D$1508,0)),"")</f>
        <v/>
      </c>
      <c r="J374" s="53" t="str">
        <f>IF(C374="","",IF(ISNUMBER(FIND("AMU",$C$14:$C$548)),1,(SUMIF('[1]REP PRODUCCIÓN'!$H$6:$H$1505,"*"&amp;C374&amp;"*",'[1]REP PRODUCCIÓN'!$E$6:$E$1505))))</f>
        <v/>
      </c>
      <c r="K374" s="53">
        <f t="shared" si="16"/>
        <v>0</v>
      </c>
      <c r="M374" s="54" t="str">
        <f>IFERROR(INDEX('[1]REP DISEÑO'!$BA$9:$BA$1008,MATCH('INDIC-DIS2'!C374,'[1]REP DISEÑO'!$D$9:$D$1008,0)),"")</f>
        <v/>
      </c>
      <c r="N374" s="55"/>
      <c r="O374" s="55"/>
      <c r="P374" s="55"/>
      <c r="R374" s="57" t="str">
        <f t="shared" si="17"/>
        <v/>
      </c>
    </row>
    <row r="375" spans="2:18" ht="26.25" customHeight="1" x14ac:dyDescent="0.25">
      <c r="B375" s="49">
        <f t="shared" si="15"/>
        <v>0</v>
      </c>
      <c r="C375" s="50" t="str">
        <f t="array" ref="C375">IFERROR(INDEX('[1]REP DISEÑO'!$D$9:$D$1008,SMALL(IF('[1]REP DISEÑO'!$AW$9:$AW$1008=$J$1,ROW('[1]REP DISEÑO'!$N$9:$N$1008)-ROW('[1]REP DISEÑO'!$N$9),""),ROWS(C$14:C375))+1),"")</f>
        <v/>
      </c>
      <c r="D375" s="51" t="str">
        <f>IFERROR(INDEX('[1]REP DISEÑO'!$N$9:$N$1508,MATCH(C375,'[1]REP DISEÑO'!$D$9:$D$1508,0)),"")</f>
        <v/>
      </c>
      <c r="E375" s="51" t="str">
        <f>IFERROR(INDEX('[1]REP DISEÑO'!$G$9:$G$1508,MATCH(C375,'[1]REP DISEÑO'!$D$9:$D$1508,0)),"")</f>
        <v/>
      </c>
      <c r="F375" s="51" t="str">
        <f>IFERROR(INDEX('[1]REP DISEÑO'!$I$9:$I$1508,MATCH(C375,'[1]REP DISEÑO'!$D$9:$D$1508,0)),"")</f>
        <v/>
      </c>
      <c r="G375" s="51" t="str">
        <f>IFERROR(INDEX('[1]REP DISEÑO'!$M$9:$M$1508,MATCH(C375,'[1]REP DISEÑO'!$D$9:$D$1508,0)),"")</f>
        <v/>
      </c>
      <c r="H375" s="51" t="str">
        <f>IFERROR(INDEX('[1]REP DISEÑO'!$J$9:$J$1508,MATCH(C375,'[1]REP DISEÑO'!$D$9:$D$1508,0)),"")</f>
        <v/>
      </c>
      <c r="I375" s="52" t="str">
        <f>IFERROR(INDEX('[1]REP DISEÑO'!$C$9:$C$1508,MATCH(C375,'[1]REP DISEÑO'!$D$9:$D$1508,0)),"")</f>
        <v/>
      </c>
      <c r="J375" s="53" t="str">
        <f>IF(C375="","",IF(ISNUMBER(FIND("AMU",$C$14:$C$548)),1,(SUMIF('[1]REP PRODUCCIÓN'!$H$6:$H$1505,"*"&amp;C375&amp;"*",'[1]REP PRODUCCIÓN'!$E$6:$E$1505))))</f>
        <v/>
      </c>
      <c r="K375" s="53">
        <f t="shared" si="16"/>
        <v>0</v>
      </c>
      <c r="M375" s="54" t="str">
        <f>IFERROR(INDEX('[1]REP DISEÑO'!$BA$9:$BA$1008,MATCH('INDIC-DIS2'!C375,'[1]REP DISEÑO'!$D$9:$D$1008,0)),"")</f>
        <v/>
      </c>
      <c r="N375" s="55"/>
      <c r="O375" s="55"/>
      <c r="P375" s="55"/>
      <c r="R375" s="57" t="str">
        <f t="shared" si="17"/>
        <v/>
      </c>
    </row>
    <row r="376" spans="2:18" ht="26.25" customHeight="1" x14ac:dyDescent="0.25">
      <c r="B376" s="49">
        <f t="shared" si="15"/>
        <v>0</v>
      </c>
      <c r="C376" s="50" t="str">
        <f t="array" ref="C376">IFERROR(INDEX('[1]REP DISEÑO'!$D$9:$D$1008,SMALL(IF('[1]REP DISEÑO'!$AW$9:$AW$1008=$J$1,ROW('[1]REP DISEÑO'!$N$9:$N$1008)-ROW('[1]REP DISEÑO'!$N$9),""),ROWS(C$14:C376))+1),"")</f>
        <v/>
      </c>
      <c r="D376" s="51" t="str">
        <f>IFERROR(INDEX('[1]REP DISEÑO'!$N$9:$N$1508,MATCH(C376,'[1]REP DISEÑO'!$D$9:$D$1508,0)),"")</f>
        <v/>
      </c>
      <c r="E376" s="51" t="str">
        <f>IFERROR(INDEX('[1]REP DISEÑO'!$G$9:$G$1508,MATCH(C376,'[1]REP DISEÑO'!$D$9:$D$1508,0)),"")</f>
        <v/>
      </c>
      <c r="F376" s="51" t="str">
        <f>IFERROR(INDEX('[1]REP DISEÑO'!$I$9:$I$1508,MATCH(C376,'[1]REP DISEÑO'!$D$9:$D$1508,0)),"")</f>
        <v/>
      </c>
      <c r="G376" s="51" t="str">
        <f>IFERROR(INDEX('[1]REP DISEÑO'!$M$9:$M$1508,MATCH(C376,'[1]REP DISEÑO'!$D$9:$D$1508,0)),"")</f>
        <v/>
      </c>
      <c r="H376" s="51" t="str">
        <f>IFERROR(INDEX('[1]REP DISEÑO'!$J$9:$J$1508,MATCH(C376,'[1]REP DISEÑO'!$D$9:$D$1508,0)),"")</f>
        <v/>
      </c>
      <c r="I376" s="52" t="str">
        <f>IFERROR(INDEX('[1]REP DISEÑO'!$C$9:$C$1508,MATCH(C376,'[1]REP DISEÑO'!$D$9:$D$1508,0)),"")</f>
        <v/>
      </c>
      <c r="J376" s="53" t="str">
        <f>IF(C376="","",IF(ISNUMBER(FIND("AMU",$C$14:$C$548)),1,(SUMIF('[1]REP PRODUCCIÓN'!$H$6:$H$1505,"*"&amp;C376&amp;"*",'[1]REP PRODUCCIÓN'!$E$6:$E$1505))))</f>
        <v/>
      </c>
      <c r="K376" s="53">
        <f t="shared" si="16"/>
        <v>0</v>
      </c>
      <c r="M376" s="54" t="str">
        <f>IFERROR(INDEX('[1]REP DISEÑO'!$BA$9:$BA$1008,MATCH('INDIC-DIS2'!C376,'[1]REP DISEÑO'!$D$9:$D$1008,0)),"")</f>
        <v/>
      </c>
      <c r="N376" s="55"/>
      <c r="O376" s="55"/>
      <c r="P376" s="55"/>
      <c r="R376" s="57" t="str">
        <f t="shared" si="17"/>
        <v/>
      </c>
    </row>
    <row r="377" spans="2:18" ht="26.25" customHeight="1" x14ac:dyDescent="0.25">
      <c r="B377" s="49">
        <f t="shared" si="15"/>
        <v>0</v>
      </c>
      <c r="C377" s="50" t="str">
        <f t="array" ref="C377">IFERROR(INDEX('[1]REP DISEÑO'!$D$9:$D$1008,SMALL(IF('[1]REP DISEÑO'!$AW$9:$AW$1008=$J$1,ROW('[1]REP DISEÑO'!$N$9:$N$1008)-ROW('[1]REP DISEÑO'!$N$9),""),ROWS(C$14:C377))+1),"")</f>
        <v/>
      </c>
      <c r="D377" s="51" t="str">
        <f>IFERROR(INDEX('[1]REP DISEÑO'!$N$9:$N$1508,MATCH(C377,'[1]REP DISEÑO'!$D$9:$D$1508,0)),"")</f>
        <v/>
      </c>
      <c r="E377" s="51" t="str">
        <f>IFERROR(INDEX('[1]REP DISEÑO'!$G$9:$G$1508,MATCH(C377,'[1]REP DISEÑO'!$D$9:$D$1508,0)),"")</f>
        <v/>
      </c>
      <c r="F377" s="51" t="str">
        <f>IFERROR(INDEX('[1]REP DISEÑO'!$I$9:$I$1508,MATCH(C377,'[1]REP DISEÑO'!$D$9:$D$1508,0)),"")</f>
        <v/>
      </c>
      <c r="G377" s="51" t="str">
        <f>IFERROR(INDEX('[1]REP DISEÑO'!$M$9:$M$1508,MATCH(C377,'[1]REP DISEÑO'!$D$9:$D$1508,0)),"")</f>
        <v/>
      </c>
      <c r="H377" s="51" t="str">
        <f>IFERROR(INDEX('[1]REP DISEÑO'!$J$9:$J$1508,MATCH(C377,'[1]REP DISEÑO'!$D$9:$D$1508,0)),"")</f>
        <v/>
      </c>
      <c r="I377" s="52" t="str">
        <f>IFERROR(INDEX('[1]REP DISEÑO'!$C$9:$C$1508,MATCH(C377,'[1]REP DISEÑO'!$D$9:$D$1508,0)),"")</f>
        <v/>
      </c>
      <c r="J377" s="53" t="str">
        <f>IF(C377="","",IF(ISNUMBER(FIND("AMU",$C$14:$C$548)),1,(SUMIF('[1]REP PRODUCCIÓN'!$H$6:$H$1505,"*"&amp;C377&amp;"*",'[1]REP PRODUCCIÓN'!$E$6:$E$1505))))</f>
        <v/>
      </c>
      <c r="K377" s="53">
        <f t="shared" si="16"/>
        <v>0</v>
      </c>
      <c r="M377" s="54" t="str">
        <f>IFERROR(INDEX('[1]REP DISEÑO'!$BA$9:$BA$1008,MATCH('INDIC-DIS2'!C377,'[1]REP DISEÑO'!$D$9:$D$1008,0)),"")</f>
        <v/>
      </c>
      <c r="N377" s="55"/>
      <c r="O377" s="55"/>
      <c r="P377" s="55"/>
      <c r="R377" s="57" t="str">
        <f t="shared" si="17"/>
        <v/>
      </c>
    </row>
    <row r="378" spans="2:18" ht="26.25" customHeight="1" x14ac:dyDescent="0.25">
      <c r="B378" s="49">
        <f t="shared" si="15"/>
        <v>0</v>
      </c>
      <c r="C378" s="50" t="str">
        <f t="array" ref="C378">IFERROR(INDEX('[1]REP DISEÑO'!$D$9:$D$1008,SMALL(IF('[1]REP DISEÑO'!$AW$9:$AW$1008=$J$1,ROW('[1]REP DISEÑO'!$N$9:$N$1008)-ROW('[1]REP DISEÑO'!$N$9),""),ROWS(C$14:C378))+1),"")</f>
        <v/>
      </c>
      <c r="D378" s="51" t="str">
        <f>IFERROR(INDEX('[1]REP DISEÑO'!$N$9:$N$1508,MATCH(C378,'[1]REP DISEÑO'!$D$9:$D$1508,0)),"")</f>
        <v/>
      </c>
      <c r="E378" s="51" t="str">
        <f>IFERROR(INDEX('[1]REP DISEÑO'!$G$9:$G$1508,MATCH(C378,'[1]REP DISEÑO'!$D$9:$D$1508,0)),"")</f>
        <v/>
      </c>
      <c r="F378" s="51" t="str">
        <f>IFERROR(INDEX('[1]REP DISEÑO'!$I$9:$I$1508,MATCH(C378,'[1]REP DISEÑO'!$D$9:$D$1508,0)),"")</f>
        <v/>
      </c>
      <c r="G378" s="51" t="str">
        <f>IFERROR(INDEX('[1]REP DISEÑO'!$M$9:$M$1508,MATCH(C378,'[1]REP DISEÑO'!$D$9:$D$1508,0)),"")</f>
        <v/>
      </c>
      <c r="H378" s="51" t="str">
        <f>IFERROR(INDEX('[1]REP DISEÑO'!$J$9:$J$1508,MATCH(C378,'[1]REP DISEÑO'!$D$9:$D$1508,0)),"")</f>
        <v/>
      </c>
      <c r="I378" s="52" t="str">
        <f>IFERROR(INDEX('[1]REP DISEÑO'!$C$9:$C$1508,MATCH(C378,'[1]REP DISEÑO'!$D$9:$D$1508,0)),"")</f>
        <v/>
      </c>
      <c r="J378" s="53" t="str">
        <f>IF(C378="","",IF(ISNUMBER(FIND("AMU",$C$14:$C$548)),1,(SUMIF('[1]REP PRODUCCIÓN'!$H$6:$H$1505,"*"&amp;C378&amp;"*",'[1]REP PRODUCCIÓN'!$E$6:$E$1505))))</f>
        <v/>
      </c>
      <c r="K378" s="53">
        <f t="shared" si="16"/>
        <v>0</v>
      </c>
      <c r="M378" s="54" t="str">
        <f>IFERROR(INDEX('[1]REP DISEÑO'!$BA$9:$BA$1008,MATCH('INDIC-DIS2'!C378,'[1]REP DISEÑO'!$D$9:$D$1008,0)),"")</f>
        <v/>
      </c>
      <c r="N378" s="55"/>
      <c r="O378" s="55"/>
      <c r="P378" s="55"/>
      <c r="R378" s="57" t="str">
        <f t="shared" si="17"/>
        <v/>
      </c>
    </row>
    <row r="379" spans="2:18" ht="26.25" customHeight="1" x14ac:dyDescent="0.25">
      <c r="B379" s="49">
        <f t="shared" si="15"/>
        <v>0</v>
      </c>
      <c r="C379" s="50" t="str">
        <f t="array" ref="C379">IFERROR(INDEX('[1]REP DISEÑO'!$D$9:$D$1008,SMALL(IF('[1]REP DISEÑO'!$AW$9:$AW$1008=$J$1,ROW('[1]REP DISEÑO'!$N$9:$N$1008)-ROW('[1]REP DISEÑO'!$N$9),""),ROWS(C$14:C379))+1),"")</f>
        <v/>
      </c>
      <c r="D379" s="51" t="str">
        <f>IFERROR(INDEX('[1]REP DISEÑO'!$N$9:$N$1508,MATCH(C379,'[1]REP DISEÑO'!$D$9:$D$1508,0)),"")</f>
        <v/>
      </c>
      <c r="E379" s="51" t="str">
        <f>IFERROR(INDEX('[1]REP DISEÑO'!$G$9:$G$1508,MATCH(C379,'[1]REP DISEÑO'!$D$9:$D$1508,0)),"")</f>
        <v/>
      </c>
      <c r="F379" s="51" t="str">
        <f>IFERROR(INDEX('[1]REP DISEÑO'!$I$9:$I$1508,MATCH(C379,'[1]REP DISEÑO'!$D$9:$D$1508,0)),"")</f>
        <v/>
      </c>
      <c r="G379" s="51" t="str">
        <f>IFERROR(INDEX('[1]REP DISEÑO'!$M$9:$M$1508,MATCH(C379,'[1]REP DISEÑO'!$D$9:$D$1508,0)),"")</f>
        <v/>
      </c>
      <c r="H379" s="51" t="str">
        <f>IFERROR(INDEX('[1]REP DISEÑO'!$J$9:$J$1508,MATCH(C379,'[1]REP DISEÑO'!$D$9:$D$1508,0)),"")</f>
        <v/>
      </c>
      <c r="I379" s="52" t="str">
        <f>IFERROR(INDEX('[1]REP DISEÑO'!$C$9:$C$1508,MATCH(C379,'[1]REP DISEÑO'!$D$9:$D$1508,0)),"")</f>
        <v/>
      </c>
      <c r="J379" s="53" t="str">
        <f>IF(C379="","",IF(ISNUMBER(FIND("AMU",$C$14:$C$548)),1,(SUMIF('[1]REP PRODUCCIÓN'!$H$6:$H$1505,"*"&amp;C379&amp;"*",'[1]REP PRODUCCIÓN'!$E$6:$E$1505))))</f>
        <v/>
      </c>
      <c r="K379" s="53">
        <f t="shared" si="16"/>
        <v>0</v>
      </c>
      <c r="M379" s="54" t="str">
        <f>IFERROR(INDEX('[1]REP DISEÑO'!$BA$9:$BA$1008,MATCH('INDIC-DIS2'!C379,'[1]REP DISEÑO'!$D$9:$D$1008,0)),"")</f>
        <v/>
      </c>
      <c r="N379" s="55"/>
      <c r="O379" s="55"/>
      <c r="P379" s="55"/>
      <c r="R379" s="57" t="str">
        <f t="shared" si="17"/>
        <v/>
      </c>
    </row>
    <row r="380" spans="2:18" ht="26.25" customHeight="1" x14ac:dyDescent="0.25">
      <c r="B380" s="49">
        <f t="shared" si="15"/>
        <v>0</v>
      </c>
      <c r="C380" s="50" t="str">
        <f t="array" ref="C380">IFERROR(INDEX('[1]REP DISEÑO'!$D$9:$D$1008,SMALL(IF('[1]REP DISEÑO'!$AW$9:$AW$1008=$J$1,ROW('[1]REP DISEÑO'!$N$9:$N$1008)-ROW('[1]REP DISEÑO'!$N$9),""),ROWS(C$14:C380))+1),"")</f>
        <v/>
      </c>
      <c r="D380" s="51" t="str">
        <f>IFERROR(INDEX('[1]REP DISEÑO'!$N$9:$N$1508,MATCH(C380,'[1]REP DISEÑO'!$D$9:$D$1508,0)),"")</f>
        <v/>
      </c>
      <c r="E380" s="51" t="str">
        <f>IFERROR(INDEX('[1]REP DISEÑO'!$G$9:$G$1508,MATCH(C380,'[1]REP DISEÑO'!$D$9:$D$1508,0)),"")</f>
        <v/>
      </c>
      <c r="F380" s="51" t="str">
        <f>IFERROR(INDEX('[1]REP DISEÑO'!$I$9:$I$1508,MATCH(C380,'[1]REP DISEÑO'!$D$9:$D$1508,0)),"")</f>
        <v/>
      </c>
      <c r="G380" s="51" t="str">
        <f>IFERROR(INDEX('[1]REP DISEÑO'!$M$9:$M$1508,MATCH(C380,'[1]REP DISEÑO'!$D$9:$D$1508,0)),"")</f>
        <v/>
      </c>
      <c r="H380" s="51" t="str">
        <f>IFERROR(INDEX('[1]REP DISEÑO'!$J$9:$J$1508,MATCH(C380,'[1]REP DISEÑO'!$D$9:$D$1508,0)),"")</f>
        <v/>
      </c>
      <c r="I380" s="52" t="str">
        <f>IFERROR(INDEX('[1]REP DISEÑO'!$C$9:$C$1508,MATCH(C380,'[1]REP DISEÑO'!$D$9:$D$1508,0)),"")</f>
        <v/>
      </c>
      <c r="J380" s="53" t="str">
        <f>IF(C380="","",IF(ISNUMBER(FIND("AMU",$C$14:$C$548)),1,(SUMIF('[1]REP PRODUCCIÓN'!$H$6:$H$1505,"*"&amp;C380&amp;"*",'[1]REP PRODUCCIÓN'!$E$6:$E$1505))))</f>
        <v/>
      </c>
      <c r="K380" s="53">
        <f t="shared" si="16"/>
        <v>0</v>
      </c>
      <c r="M380" s="54" t="str">
        <f>IFERROR(INDEX('[1]REP DISEÑO'!$BA$9:$BA$1008,MATCH('INDIC-DIS2'!C380,'[1]REP DISEÑO'!$D$9:$D$1008,0)),"")</f>
        <v/>
      </c>
      <c r="N380" s="55"/>
      <c r="O380" s="55"/>
      <c r="P380" s="55"/>
      <c r="R380" s="57" t="str">
        <f t="shared" si="17"/>
        <v/>
      </c>
    </row>
    <row r="381" spans="2:18" ht="26.25" customHeight="1" x14ac:dyDescent="0.25">
      <c r="B381" s="49">
        <f t="shared" si="15"/>
        <v>0</v>
      </c>
      <c r="C381" s="50" t="str">
        <f t="array" ref="C381">IFERROR(INDEX('[1]REP DISEÑO'!$D$9:$D$1008,SMALL(IF('[1]REP DISEÑO'!$AW$9:$AW$1008=$J$1,ROW('[1]REP DISEÑO'!$N$9:$N$1008)-ROW('[1]REP DISEÑO'!$N$9),""),ROWS(C$14:C381))+1),"")</f>
        <v/>
      </c>
      <c r="D381" s="51" t="str">
        <f>IFERROR(INDEX('[1]REP DISEÑO'!$N$9:$N$1508,MATCH(C381,'[1]REP DISEÑO'!$D$9:$D$1508,0)),"")</f>
        <v/>
      </c>
      <c r="E381" s="51" t="str">
        <f>IFERROR(INDEX('[1]REP DISEÑO'!$G$9:$G$1508,MATCH(C381,'[1]REP DISEÑO'!$D$9:$D$1508,0)),"")</f>
        <v/>
      </c>
      <c r="F381" s="51" t="str">
        <f>IFERROR(INDEX('[1]REP DISEÑO'!$I$9:$I$1508,MATCH(C381,'[1]REP DISEÑO'!$D$9:$D$1508,0)),"")</f>
        <v/>
      </c>
      <c r="G381" s="51" t="str">
        <f>IFERROR(INDEX('[1]REP DISEÑO'!$M$9:$M$1508,MATCH(C381,'[1]REP DISEÑO'!$D$9:$D$1508,0)),"")</f>
        <v/>
      </c>
      <c r="H381" s="51" t="str">
        <f>IFERROR(INDEX('[1]REP DISEÑO'!$J$9:$J$1508,MATCH(C381,'[1]REP DISEÑO'!$D$9:$D$1508,0)),"")</f>
        <v/>
      </c>
      <c r="I381" s="52" t="str">
        <f>IFERROR(INDEX('[1]REP DISEÑO'!$C$9:$C$1508,MATCH(C381,'[1]REP DISEÑO'!$D$9:$D$1508,0)),"")</f>
        <v/>
      </c>
      <c r="J381" s="53" t="str">
        <f>IF(C381="","",IF(ISNUMBER(FIND("AMU",$C$14:$C$548)),1,(SUMIF('[1]REP PRODUCCIÓN'!$H$6:$H$1505,"*"&amp;C381&amp;"*",'[1]REP PRODUCCIÓN'!$E$6:$E$1505))))</f>
        <v/>
      </c>
      <c r="K381" s="53">
        <f t="shared" si="16"/>
        <v>0</v>
      </c>
      <c r="M381" s="54" t="str">
        <f>IFERROR(INDEX('[1]REP DISEÑO'!$BA$9:$BA$1008,MATCH('INDIC-DIS2'!C381,'[1]REP DISEÑO'!$D$9:$D$1008,0)),"")</f>
        <v/>
      </c>
      <c r="N381" s="55"/>
      <c r="O381" s="55"/>
      <c r="P381" s="55"/>
      <c r="R381" s="57" t="str">
        <f t="shared" si="17"/>
        <v/>
      </c>
    </row>
    <row r="382" spans="2:18" ht="26.25" customHeight="1" x14ac:dyDescent="0.25">
      <c r="B382" s="49">
        <f t="shared" si="15"/>
        <v>0</v>
      </c>
      <c r="C382" s="50" t="str">
        <f t="array" ref="C382">IFERROR(INDEX('[1]REP DISEÑO'!$D$9:$D$1008,SMALL(IF('[1]REP DISEÑO'!$AW$9:$AW$1008=$J$1,ROW('[1]REP DISEÑO'!$N$9:$N$1008)-ROW('[1]REP DISEÑO'!$N$9),""),ROWS(C$14:C382))+1),"")</f>
        <v/>
      </c>
      <c r="D382" s="51" t="str">
        <f>IFERROR(INDEX('[1]REP DISEÑO'!$N$9:$N$1508,MATCH(C382,'[1]REP DISEÑO'!$D$9:$D$1508,0)),"")</f>
        <v/>
      </c>
      <c r="E382" s="51" t="str">
        <f>IFERROR(INDEX('[1]REP DISEÑO'!$G$9:$G$1508,MATCH(C382,'[1]REP DISEÑO'!$D$9:$D$1508,0)),"")</f>
        <v/>
      </c>
      <c r="F382" s="51" t="str">
        <f>IFERROR(INDEX('[1]REP DISEÑO'!$I$9:$I$1508,MATCH(C382,'[1]REP DISEÑO'!$D$9:$D$1508,0)),"")</f>
        <v/>
      </c>
      <c r="G382" s="51" t="str">
        <f>IFERROR(INDEX('[1]REP DISEÑO'!$M$9:$M$1508,MATCH(C382,'[1]REP DISEÑO'!$D$9:$D$1508,0)),"")</f>
        <v/>
      </c>
      <c r="H382" s="51" t="str">
        <f>IFERROR(INDEX('[1]REP DISEÑO'!$J$9:$J$1508,MATCH(C382,'[1]REP DISEÑO'!$D$9:$D$1508,0)),"")</f>
        <v/>
      </c>
      <c r="I382" s="52" t="str">
        <f>IFERROR(INDEX('[1]REP DISEÑO'!$C$9:$C$1508,MATCH(C382,'[1]REP DISEÑO'!$D$9:$D$1508,0)),"")</f>
        <v/>
      </c>
      <c r="J382" s="53" t="str">
        <f>IF(C382="","",IF(ISNUMBER(FIND("AMU",$C$14:$C$548)),1,(SUMIF('[1]REP PRODUCCIÓN'!$H$6:$H$1505,"*"&amp;C382&amp;"*",'[1]REP PRODUCCIÓN'!$E$6:$E$1505))))</f>
        <v/>
      </c>
      <c r="K382" s="53">
        <f t="shared" si="16"/>
        <v>0</v>
      </c>
      <c r="M382" s="54" t="str">
        <f>IFERROR(INDEX('[1]REP DISEÑO'!$BA$9:$BA$1008,MATCH('INDIC-DIS2'!C382,'[1]REP DISEÑO'!$D$9:$D$1008,0)),"")</f>
        <v/>
      </c>
      <c r="N382" s="55"/>
      <c r="O382" s="55"/>
      <c r="P382" s="55"/>
      <c r="R382" s="57" t="str">
        <f t="shared" si="17"/>
        <v/>
      </c>
    </row>
    <row r="383" spans="2:18" ht="26.25" customHeight="1" x14ac:dyDescent="0.25">
      <c r="B383" s="49">
        <f t="shared" si="15"/>
        <v>0</v>
      </c>
      <c r="C383" s="50" t="str">
        <f t="array" ref="C383">IFERROR(INDEX('[1]REP DISEÑO'!$D$9:$D$1008,SMALL(IF('[1]REP DISEÑO'!$AW$9:$AW$1008=$J$1,ROW('[1]REP DISEÑO'!$N$9:$N$1008)-ROW('[1]REP DISEÑO'!$N$9),""),ROWS(C$14:C383))+1),"")</f>
        <v/>
      </c>
      <c r="D383" s="51" t="str">
        <f>IFERROR(INDEX('[1]REP DISEÑO'!$N$9:$N$1508,MATCH(C383,'[1]REP DISEÑO'!$D$9:$D$1508,0)),"")</f>
        <v/>
      </c>
      <c r="E383" s="51" t="str">
        <f>IFERROR(INDEX('[1]REP DISEÑO'!$G$9:$G$1508,MATCH(C383,'[1]REP DISEÑO'!$D$9:$D$1508,0)),"")</f>
        <v/>
      </c>
      <c r="F383" s="51" t="str">
        <f>IFERROR(INDEX('[1]REP DISEÑO'!$I$9:$I$1508,MATCH(C383,'[1]REP DISEÑO'!$D$9:$D$1508,0)),"")</f>
        <v/>
      </c>
      <c r="G383" s="51" t="str">
        <f>IFERROR(INDEX('[1]REP DISEÑO'!$M$9:$M$1508,MATCH(C383,'[1]REP DISEÑO'!$D$9:$D$1508,0)),"")</f>
        <v/>
      </c>
      <c r="H383" s="51" t="str">
        <f>IFERROR(INDEX('[1]REP DISEÑO'!$J$9:$J$1508,MATCH(C383,'[1]REP DISEÑO'!$D$9:$D$1508,0)),"")</f>
        <v/>
      </c>
      <c r="I383" s="52" t="str">
        <f>IFERROR(INDEX('[1]REP DISEÑO'!$C$9:$C$1508,MATCH(C383,'[1]REP DISEÑO'!$D$9:$D$1508,0)),"")</f>
        <v/>
      </c>
      <c r="J383" s="53" t="str">
        <f>IF(C383="","",IF(ISNUMBER(FIND("AMU",$C$14:$C$548)),1,(SUMIF('[1]REP PRODUCCIÓN'!$H$6:$H$1505,"*"&amp;C383&amp;"*",'[1]REP PRODUCCIÓN'!$E$6:$E$1505))))</f>
        <v/>
      </c>
      <c r="K383" s="53">
        <f t="shared" si="16"/>
        <v>0</v>
      </c>
      <c r="M383" s="54" t="str">
        <f>IFERROR(INDEX('[1]REP DISEÑO'!$BA$9:$BA$1008,MATCH('INDIC-DIS2'!C383,'[1]REP DISEÑO'!$D$9:$D$1008,0)),"")</f>
        <v/>
      </c>
      <c r="N383" s="55"/>
      <c r="O383" s="55"/>
      <c r="P383" s="55"/>
      <c r="R383" s="57" t="str">
        <f t="shared" si="17"/>
        <v/>
      </c>
    </row>
    <row r="384" spans="2:18" ht="26.25" customHeight="1" x14ac:dyDescent="0.25">
      <c r="B384" s="49">
        <f t="shared" si="15"/>
        <v>0</v>
      </c>
      <c r="C384" s="50" t="str">
        <f t="array" ref="C384">IFERROR(INDEX('[1]REP DISEÑO'!$D$9:$D$1008,SMALL(IF('[1]REP DISEÑO'!$AW$9:$AW$1008=$J$1,ROW('[1]REP DISEÑO'!$N$9:$N$1008)-ROW('[1]REP DISEÑO'!$N$9),""),ROWS(C$14:C384))+1),"")</f>
        <v/>
      </c>
      <c r="D384" s="51" t="str">
        <f>IFERROR(INDEX('[1]REP DISEÑO'!$N$9:$N$1508,MATCH(C384,'[1]REP DISEÑO'!$D$9:$D$1508,0)),"")</f>
        <v/>
      </c>
      <c r="E384" s="51" t="str">
        <f>IFERROR(INDEX('[1]REP DISEÑO'!$G$9:$G$1508,MATCH(C384,'[1]REP DISEÑO'!$D$9:$D$1508,0)),"")</f>
        <v/>
      </c>
      <c r="F384" s="51" t="str">
        <f>IFERROR(INDEX('[1]REP DISEÑO'!$I$9:$I$1508,MATCH(C384,'[1]REP DISEÑO'!$D$9:$D$1508,0)),"")</f>
        <v/>
      </c>
      <c r="G384" s="51" t="str">
        <f>IFERROR(INDEX('[1]REP DISEÑO'!$M$9:$M$1508,MATCH(C384,'[1]REP DISEÑO'!$D$9:$D$1508,0)),"")</f>
        <v/>
      </c>
      <c r="H384" s="51" t="str">
        <f>IFERROR(INDEX('[1]REP DISEÑO'!$J$9:$J$1508,MATCH(C384,'[1]REP DISEÑO'!$D$9:$D$1508,0)),"")</f>
        <v/>
      </c>
      <c r="I384" s="52" t="str">
        <f>IFERROR(INDEX('[1]REP DISEÑO'!$C$9:$C$1508,MATCH(C384,'[1]REP DISEÑO'!$D$9:$D$1508,0)),"")</f>
        <v/>
      </c>
      <c r="J384" s="53" t="str">
        <f>IF(C384="","",IF(ISNUMBER(FIND("AMU",$C$14:$C$548)),1,(SUMIF('[1]REP PRODUCCIÓN'!$H$6:$H$1505,"*"&amp;C384&amp;"*",'[1]REP PRODUCCIÓN'!$E$6:$E$1505))))</f>
        <v/>
      </c>
      <c r="K384" s="53">
        <f t="shared" si="16"/>
        <v>0</v>
      </c>
      <c r="M384" s="54" t="str">
        <f>IFERROR(INDEX('[1]REP DISEÑO'!$BA$9:$BA$1008,MATCH('INDIC-DIS2'!C384,'[1]REP DISEÑO'!$D$9:$D$1008,0)),"")</f>
        <v/>
      </c>
      <c r="N384" s="55"/>
      <c r="O384" s="55"/>
      <c r="P384" s="55"/>
      <c r="R384" s="57" t="str">
        <f t="shared" si="17"/>
        <v/>
      </c>
    </row>
    <row r="385" spans="2:18" ht="26.25" customHeight="1" x14ac:dyDescent="0.25">
      <c r="B385" s="49">
        <f t="shared" si="15"/>
        <v>0</v>
      </c>
      <c r="C385" s="50" t="str">
        <f t="array" ref="C385">IFERROR(INDEX('[1]REP DISEÑO'!$D$9:$D$1008,SMALL(IF('[1]REP DISEÑO'!$AW$9:$AW$1008=$J$1,ROW('[1]REP DISEÑO'!$N$9:$N$1008)-ROW('[1]REP DISEÑO'!$N$9),""),ROWS(C$14:C385))+1),"")</f>
        <v/>
      </c>
      <c r="D385" s="51" t="str">
        <f>IFERROR(INDEX('[1]REP DISEÑO'!$N$9:$N$1508,MATCH(C385,'[1]REP DISEÑO'!$D$9:$D$1508,0)),"")</f>
        <v/>
      </c>
      <c r="E385" s="51" t="str">
        <f>IFERROR(INDEX('[1]REP DISEÑO'!$G$9:$G$1508,MATCH(C385,'[1]REP DISEÑO'!$D$9:$D$1508,0)),"")</f>
        <v/>
      </c>
      <c r="F385" s="51" t="str">
        <f>IFERROR(INDEX('[1]REP DISEÑO'!$I$9:$I$1508,MATCH(C385,'[1]REP DISEÑO'!$D$9:$D$1508,0)),"")</f>
        <v/>
      </c>
      <c r="G385" s="51" t="str">
        <f>IFERROR(INDEX('[1]REP DISEÑO'!$M$9:$M$1508,MATCH(C385,'[1]REP DISEÑO'!$D$9:$D$1508,0)),"")</f>
        <v/>
      </c>
      <c r="H385" s="51" t="str">
        <f>IFERROR(INDEX('[1]REP DISEÑO'!$J$9:$J$1508,MATCH(C385,'[1]REP DISEÑO'!$D$9:$D$1508,0)),"")</f>
        <v/>
      </c>
      <c r="I385" s="52" t="str">
        <f>IFERROR(INDEX('[1]REP DISEÑO'!$C$9:$C$1508,MATCH(C385,'[1]REP DISEÑO'!$D$9:$D$1508,0)),"")</f>
        <v/>
      </c>
      <c r="J385" s="53" t="str">
        <f>IF(C385="","",IF(ISNUMBER(FIND("AMU",$C$14:$C$548)),1,(SUMIF('[1]REP PRODUCCIÓN'!$H$6:$H$1505,"*"&amp;C385&amp;"*",'[1]REP PRODUCCIÓN'!$E$6:$E$1505))))</f>
        <v/>
      </c>
      <c r="K385" s="53">
        <f t="shared" si="16"/>
        <v>0</v>
      </c>
      <c r="M385" s="54" t="str">
        <f>IFERROR(INDEX('[1]REP DISEÑO'!$BA$9:$BA$1008,MATCH('INDIC-DIS2'!C385,'[1]REP DISEÑO'!$D$9:$D$1008,0)),"")</f>
        <v/>
      </c>
      <c r="N385" s="55"/>
      <c r="O385" s="55"/>
      <c r="P385" s="55"/>
      <c r="R385" s="57" t="str">
        <f t="shared" si="17"/>
        <v/>
      </c>
    </row>
    <row r="386" spans="2:18" ht="26.25" customHeight="1" x14ac:dyDescent="0.25">
      <c r="B386" s="49">
        <f t="shared" si="15"/>
        <v>0</v>
      </c>
      <c r="C386" s="50" t="str">
        <f t="array" ref="C386">IFERROR(INDEX('[1]REP DISEÑO'!$D$9:$D$1008,SMALL(IF('[1]REP DISEÑO'!$AW$9:$AW$1008=$J$1,ROW('[1]REP DISEÑO'!$N$9:$N$1008)-ROW('[1]REP DISEÑO'!$N$9),""),ROWS(C$14:C386))+1),"")</f>
        <v/>
      </c>
      <c r="D386" s="51" t="str">
        <f>IFERROR(INDEX('[1]REP DISEÑO'!$N$9:$N$1508,MATCH(C386,'[1]REP DISEÑO'!$D$9:$D$1508,0)),"")</f>
        <v/>
      </c>
      <c r="E386" s="51" t="str">
        <f>IFERROR(INDEX('[1]REP DISEÑO'!$G$9:$G$1508,MATCH(C386,'[1]REP DISEÑO'!$D$9:$D$1508,0)),"")</f>
        <v/>
      </c>
      <c r="F386" s="51" t="str">
        <f>IFERROR(INDEX('[1]REP DISEÑO'!$I$9:$I$1508,MATCH(C386,'[1]REP DISEÑO'!$D$9:$D$1508,0)),"")</f>
        <v/>
      </c>
      <c r="G386" s="51" t="str">
        <f>IFERROR(INDEX('[1]REP DISEÑO'!$M$9:$M$1508,MATCH(C386,'[1]REP DISEÑO'!$D$9:$D$1508,0)),"")</f>
        <v/>
      </c>
      <c r="H386" s="51" t="str">
        <f>IFERROR(INDEX('[1]REP DISEÑO'!$J$9:$J$1508,MATCH(C386,'[1]REP DISEÑO'!$D$9:$D$1508,0)),"")</f>
        <v/>
      </c>
      <c r="I386" s="52" t="str">
        <f>IFERROR(INDEX('[1]REP DISEÑO'!$C$9:$C$1508,MATCH(C386,'[1]REP DISEÑO'!$D$9:$D$1508,0)),"")</f>
        <v/>
      </c>
      <c r="J386" s="53" t="str">
        <f>IF(C386="","",IF(ISNUMBER(FIND("AMU",$C$14:$C$548)),1,(SUMIF('[1]REP PRODUCCIÓN'!$H$6:$H$1505,"*"&amp;C386&amp;"*",'[1]REP PRODUCCIÓN'!$E$6:$E$1505))))</f>
        <v/>
      </c>
      <c r="K386" s="53">
        <f t="shared" si="16"/>
        <v>0</v>
      </c>
      <c r="M386" s="54" t="str">
        <f>IFERROR(INDEX('[1]REP DISEÑO'!$BA$9:$BA$1008,MATCH('INDIC-DIS2'!C386,'[1]REP DISEÑO'!$D$9:$D$1008,0)),"")</f>
        <v/>
      </c>
      <c r="N386" s="55"/>
      <c r="O386" s="55"/>
      <c r="P386" s="55"/>
      <c r="R386" s="57" t="str">
        <f t="shared" si="17"/>
        <v/>
      </c>
    </row>
    <row r="387" spans="2:18" ht="26.25" customHeight="1" x14ac:dyDescent="0.25">
      <c r="B387" s="49">
        <f t="shared" si="15"/>
        <v>0</v>
      </c>
      <c r="C387" s="50" t="str">
        <f t="array" ref="C387">IFERROR(INDEX('[1]REP DISEÑO'!$D$9:$D$1008,SMALL(IF('[1]REP DISEÑO'!$AW$9:$AW$1008=$J$1,ROW('[1]REP DISEÑO'!$N$9:$N$1008)-ROW('[1]REP DISEÑO'!$N$9),""),ROWS(C$14:C387))+1),"")</f>
        <v/>
      </c>
      <c r="D387" s="51" t="str">
        <f>IFERROR(INDEX('[1]REP DISEÑO'!$N$9:$N$1508,MATCH(C387,'[1]REP DISEÑO'!$D$9:$D$1508,0)),"")</f>
        <v/>
      </c>
      <c r="E387" s="51" t="str">
        <f>IFERROR(INDEX('[1]REP DISEÑO'!$G$9:$G$1508,MATCH(C387,'[1]REP DISEÑO'!$D$9:$D$1508,0)),"")</f>
        <v/>
      </c>
      <c r="F387" s="51" t="str">
        <f>IFERROR(INDEX('[1]REP DISEÑO'!$I$9:$I$1508,MATCH(C387,'[1]REP DISEÑO'!$D$9:$D$1508,0)),"")</f>
        <v/>
      </c>
      <c r="G387" s="51" t="str">
        <f>IFERROR(INDEX('[1]REP DISEÑO'!$M$9:$M$1508,MATCH(C387,'[1]REP DISEÑO'!$D$9:$D$1508,0)),"")</f>
        <v/>
      </c>
      <c r="H387" s="51" t="str">
        <f>IFERROR(INDEX('[1]REP DISEÑO'!$J$9:$J$1508,MATCH(C387,'[1]REP DISEÑO'!$D$9:$D$1508,0)),"")</f>
        <v/>
      </c>
      <c r="I387" s="52" t="str">
        <f>IFERROR(INDEX('[1]REP DISEÑO'!$C$9:$C$1508,MATCH(C387,'[1]REP DISEÑO'!$D$9:$D$1508,0)),"")</f>
        <v/>
      </c>
      <c r="J387" s="53" t="str">
        <f>IF(C387="","",IF(ISNUMBER(FIND("AMU",$C$14:$C$548)),1,(SUMIF('[1]REP PRODUCCIÓN'!$H$6:$H$1505,"*"&amp;C387&amp;"*",'[1]REP PRODUCCIÓN'!$E$6:$E$1505))))</f>
        <v/>
      </c>
      <c r="K387" s="53">
        <f t="shared" si="16"/>
        <v>0</v>
      </c>
      <c r="M387" s="54" t="str">
        <f>IFERROR(INDEX('[1]REP DISEÑO'!$BA$9:$BA$1008,MATCH('INDIC-DIS2'!C387,'[1]REP DISEÑO'!$D$9:$D$1008,0)),"")</f>
        <v/>
      </c>
      <c r="N387" s="55"/>
      <c r="O387" s="55"/>
      <c r="P387" s="55"/>
      <c r="R387" s="57" t="str">
        <f t="shared" si="17"/>
        <v/>
      </c>
    </row>
    <row r="388" spans="2:18" ht="26.25" customHeight="1" x14ac:dyDescent="0.25">
      <c r="B388" s="49">
        <f t="shared" si="15"/>
        <v>0</v>
      </c>
      <c r="C388" s="50" t="str">
        <f t="array" ref="C388">IFERROR(INDEX('[1]REP DISEÑO'!$D$9:$D$1008,SMALL(IF('[1]REP DISEÑO'!$AW$9:$AW$1008=$J$1,ROW('[1]REP DISEÑO'!$N$9:$N$1008)-ROW('[1]REP DISEÑO'!$N$9),""),ROWS(C$14:C388))+1),"")</f>
        <v/>
      </c>
      <c r="D388" s="51" t="str">
        <f>IFERROR(INDEX('[1]REP DISEÑO'!$N$9:$N$1508,MATCH(C388,'[1]REP DISEÑO'!$D$9:$D$1508,0)),"")</f>
        <v/>
      </c>
      <c r="E388" s="51" t="str">
        <f>IFERROR(INDEX('[1]REP DISEÑO'!$G$9:$G$1508,MATCH(C388,'[1]REP DISEÑO'!$D$9:$D$1508,0)),"")</f>
        <v/>
      </c>
      <c r="F388" s="51" t="str">
        <f>IFERROR(INDEX('[1]REP DISEÑO'!$I$9:$I$1508,MATCH(C388,'[1]REP DISEÑO'!$D$9:$D$1508,0)),"")</f>
        <v/>
      </c>
      <c r="G388" s="51" t="str">
        <f>IFERROR(INDEX('[1]REP DISEÑO'!$M$9:$M$1508,MATCH(C388,'[1]REP DISEÑO'!$D$9:$D$1508,0)),"")</f>
        <v/>
      </c>
      <c r="H388" s="51" t="str">
        <f>IFERROR(INDEX('[1]REP DISEÑO'!$J$9:$J$1508,MATCH(C388,'[1]REP DISEÑO'!$D$9:$D$1508,0)),"")</f>
        <v/>
      </c>
      <c r="I388" s="52" t="str">
        <f>IFERROR(INDEX('[1]REP DISEÑO'!$C$9:$C$1508,MATCH(C388,'[1]REP DISEÑO'!$D$9:$D$1508,0)),"")</f>
        <v/>
      </c>
      <c r="J388" s="53" t="str">
        <f>IF(C388="","",IF(ISNUMBER(FIND("AMU",$C$14:$C$548)),1,(SUMIF('[1]REP PRODUCCIÓN'!$H$6:$H$1505,"*"&amp;C388&amp;"*",'[1]REP PRODUCCIÓN'!$E$6:$E$1505))))</f>
        <v/>
      </c>
      <c r="K388" s="53">
        <f t="shared" si="16"/>
        <v>0</v>
      </c>
      <c r="M388" s="54" t="str">
        <f>IFERROR(INDEX('[1]REP DISEÑO'!$BA$9:$BA$1008,MATCH('INDIC-DIS2'!C388,'[1]REP DISEÑO'!$D$9:$D$1008,0)),"")</f>
        <v/>
      </c>
      <c r="N388" s="55"/>
      <c r="O388" s="55"/>
      <c r="P388" s="55"/>
      <c r="R388" s="57" t="str">
        <f t="shared" si="17"/>
        <v/>
      </c>
    </row>
    <row r="389" spans="2:18" ht="26.25" customHeight="1" x14ac:dyDescent="0.25">
      <c r="B389" s="49">
        <f t="shared" si="15"/>
        <v>0</v>
      </c>
      <c r="C389" s="50" t="str">
        <f t="array" ref="C389">IFERROR(INDEX('[1]REP DISEÑO'!$D$9:$D$1008,SMALL(IF('[1]REP DISEÑO'!$AW$9:$AW$1008=$J$1,ROW('[1]REP DISEÑO'!$N$9:$N$1008)-ROW('[1]REP DISEÑO'!$N$9),""),ROWS(C$14:C389))+1),"")</f>
        <v/>
      </c>
      <c r="D389" s="51" t="str">
        <f>IFERROR(INDEX('[1]REP DISEÑO'!$N$9:$N$1508,MATCH(C389,'[1]REP DISEÑO'!$D$9:$D$1508,0)),"")</f>
        <v/>
      </c>
      <c r="E389" s="51" t="str">
        <f>IFERROR(INDEX('[1]REP DISEÑO'!$G$9:$G$1508,MATCH(C389,'[1]REP DISEÑO'!$D$9:$D$1508,0)),"")</f>
        <v/>
      </c>
      <c r="F389" s="51" t="str">
        <f>IFERROR(INDEX('[1]REP DISEÑO'!$I$9:$I$1508,MATCH(C389,'[1]REP DISEÑO'!$D$9:$D$1508,0)),"")</f>
        <v/>
      </c>
      <c r="G389" s="51" t="str">
        <f>IFERROR(INDEX('[1]REP DISEÑO'!$M$9:$M$1508,MATCH(C389,'[1]REP DISEÑO'!$D$9:$D$1508,0)),"")</f>
        <v/>
      </c>
      <c r="H389" s="51" t="str">
        <f>IFERROR(INDEX('[1]REP DISEÑO'!$J$9:$J$1508,MATCH(C389,'[1]REP DISEÑO'!$D$9:$D$1508,0)),"")</f>
        <v/>
      </c>
      <c r="I389" s="52" t="str">
        <f>IFERROR(INDEX('[1]REP DISEÑO'!$C$9:$C$1508,MATCH(C389,'[1]REP DISEÑO'!$D$9:$D$1508,0)),"")</f>
        <v/>
      </c>
      <c r="J389" s="53" t="str">
        <f>IF(C389="","",IF(ISNUMBER(FIND("AMU",$C$14:$C$548)),1,(SUMIF('[1]REP PRODUCCIÓN'!$H$6:$H$1505,"*"&amp;C389&amp;"*",'[1]REP PRODUCCIÓN'!$E$6:$E$1505))))</f>
        <v/>
      </c>
      <c r="K389" s="53">
        <f t="shared" si="16"/>
        <v>0</v>
      </c>
      <c r="M389" s="54" t="str">
        <f>IFERROR(INDEX('[1]REP DISEÑO'!$BA$9:$BA$1008,MATCH('INDIC-DIS2'!C389,'[1]REP DISEÑO'!$D$9:$D$1008,0)),"")</f>
        <v/>
      </c>
      <c r="N389" s="55"/>
      <c r="O389" s="55"/>
      <c r="P389" s="55"/>
      <c r="R389" s="57" t="str">
        <f t="shared" si="17"/>
        <v/>
      </c>
    </row>
    <row r="390" spans="2:18" ht="26.25" customHeight="1" x14ac:dyDescent="0.25">
      <c r="B390" s="49">
        <f t="shared" si="15"/>
        <v>0</v>
      </c>
      <c r="C390" s="50" t="str">
        <f t="array" ref="C390">IFERROR(INDEX('[1]REP DISEÑO'!$D$9:$D$1008,SMALL(IF('[1]REP DISEÑO'!$AW$9:$AW$1008=$J$1,ROW('[1]REP DISEÑO'!$N$9:$N$1008)-ROW('[1]REP DISEÑO'!$N$9),""),ROWS(C$14:C390))+1),"")</f>
        <v/>
      </c>
      <c r="D390" s="51" t="str">
        <f>IFERROR(INDEX('[1]REP DISEÑO'!$N$9:$N$1508,MATCH(C390,'[1]REP DISEÑO'!$D$9:$D$1508,0)),"")</f>
        <v/>
      </c>
      <c r="E390" s="51" t="str">
        <f>IFERROR(INDEX('[1]REP DISEÑO'!$G$9:$G$1508,MATCH(C390,'[1]REP DISEÑO'!$D$9:$D$1508,0)),"")</f>
        <v/>
      </c>
      <c r="F390" s="51" t="str">
        <f>IFERROR(INDEX('[1]REP DISEÑO'!$I$9:$I$1508,MATCH(C390,'[1]REP DISEÑO'!$D$9:$D$1508,0)),"")</f>
        <v/>
      </c>
      <c r="G390" s="51" t="str">
        <f>IFERROR(INDEX('[1]REP DISEÑO'!$M$9:$M$1508,MATCH(C390,'[1]REP DISEÑO'!$D$9:$D$1508,0)),"")</f>
        <v/>
      </c>
      <c r="H390" s="51" t="str">
        <f>IFERROR(INDEX('[1]REP DISEÑO'!$J$9:$J$1508,MATCH(C390,'[1]REP DISEÑO'!$D$9:$D$1508,0)),"")</f>
        <v/>
      </c>
      <c r="I390" s="52" t="str">
        <f>IFERROR(INDEX('[1]REP DISEÑO'!$C$9:$C$1508,MATCH(C390,'[1]REP DISEÑO'!$D$9:$D$1508,0)),"")</f>
        <v/>
      </c>
      <c r="J390" s="53" t="str">
        <f>IF(C390="","",IF(ISNUMBER(FIND("AMU",$C$14:$C$548)),1,(SUMIF('[1]REP PRODUCCIÓN'!$H$6:$H$1505,"*"&amp;C390&amp;"*",'[1]REP PRODUCCIÓN'!$E$6:$E$1505))))</f>
        <v/>
      </c>
      <c r="K390" s="53">
        <f t="shared" si="16"/>
        <v>0</v>
      </c>
      <c r="M390" s="54" t="str">
        <f>IFERROR(INDEX('[1]REP DISEÑO'!$BA$9:$BA$1008,MATCH('INDIC-DIS2'!C390,'[1]REP DISEÑO'!$D$9:$D$1008,0)),"")</f>
        <v/>
      </c>
      <c r="N390" s="55"/>
      <c r="O390" s="55"/>
      <c r="P390" s="55"/>
      <c r="R390" s="57" t="str">
        <f t="shared" si="17"/>
        <v/>
      </c>
    </row>
    <row r="391" spans="2:18" ht="26.25" customHeight="1" x14ac:dyDescent="0.25">
      <c r="B391" s="49">
        <f t="shared" si="15"/>
        <v>0</v>
      </c>
      <c r="C391" s="50" t="str">
        <f t="array" ref="C391">IFERROR(INDEX('[1]REP DISEÑO'!$D$9:$D$1008,SMALL(IF('[1]REP DISEÑO'!$AW$9:$AW$1008=$J$1,ROW('[1]REP DISEÑO'!$N$9:$N$1008)-ROW('[1]REP DISEÑO'!$N$9),""),ROWS(C$14:C391))+1),"")</f>
        <v/>
      </c>
      <c r="D391" s="51" t="str">
        <f>IFERROR(INDEX('[1]REP DISEÑO'!$N$9:$N$1508,MATCH(C391,'[1]REP DISEÑO'!$D$9:$D$1508,0)),"")</f>
        <v/>
      </c>
      <c r="E391" s="51" t="str">
        <f>IFERROR(INDEX('[1]REP DISEÑO'!$G$9:$G$1508,MATCH(C391,'[1]REP DISEÑO'!$D$9:$D$1508,0)),"")</f>
        <v/>
      </c>
      <c r="F391" s="51" t="str">
        <f>IFERROR(INDEX('[1]REP DISEÑO'!$I$9:$I$1508,MATCH(C391,'[1]REP DISEÑO'!$D$9:$D$1508,0)),"")</f>
        <v/>
      </c>
      <c r="G391" s="51" t="str">
        <f>IFERROR(INDEX('[1]REP DISEÑO'!$M$9:$M$1508,MATCH(C391,'[1]REP DISEÑO'!$D$9:$D$1508,0)),"")</f>
        <v/>
      </c>
      <c r="H391" s="51" t="str">
        <f>IFERROR(INDEX('[1]REP DISEÑO'!$J$9:$J$1508,MATCH(C391,'[1]REP DISEÑO'!$D$9:$D$1508,0)),"")</f>
        <v/>
      </c>
      <c r="I391" s="52" t="str">
        <f>IFERROR(INDEX('[1]REP DISEÑO'!$C$9:$C$1508,MATCH(C391,'[1]REP DISEÑO'!$D$9:$D$1508,0)),"")</f>
        <v/>
      </c>
      <c r="J391" s="53" t="str">
        <f>IF(C391="","",IF(ISNUMBER(FIND("AMU",$C$14:$C$548)),1,(SUMIF('[1]REP PRODUCCIÓN'!$H$6:$H$1505,"*"&amp;C391&amp;"*",'[1]REP PRODUCCIÓN'!$E$6:$E$1505))))</f>
        <v/>
      </c>
      <c r="K391" s="53">
        <f t="shared" si="16"/>
        <v>0</v>
      </c>
      <c r="M391" s="54" t="str">
        <f>IFERROR(INDEX('[1]REP DISEÑO'!$BA$9:$BA$1008,MATCH('INDIC-DIS2'!C391,'[1]REP DISEÑO'!$D$9:$D$1008,0)),"")</f>
        <v/>
      </c>
      <c r="N391" s="55"/>
      <c r="O391" s="55"/>
      <c r="P391" s="55"/>
      <c r="R391" s="57" t="str">
        <f t="shared" si="17"/>
        <v/>
      </c>
    </row>
    <row r="392" spans="2:18" ht="26.25" customHeight="1" x14ac:dyDescent="0.25">
      <c r="B392" s="49">
        <f t="shared" si="15"/>
        <v>0</v>
      </c>
      <c r="C392" s="50" t="str">
        <f t="array" ref="C392">IFERROR(INDEX('[1]REP DISEÑO'!$D$9:$D$1008,SMALL(IF('[1]REP DISEÑO'!$AW$9:$AW$1008=$J$1,ROW('[1]REP DISEÑO'!$N$9:$N$1008)-ROW('[1]REP DISEÑO'!$N$9),""),ROWS(C$14:C392))+1),"")</f>
        <v/>
      </c>
      <c r="D392" s="51" t="str">
        <f>IFERROR(INDEX('[1]REP DISEÑO'!$N$9:$N$1508,MATCH(C392,'[1]REP DISEÑO'!$D$9:$D$1508,0)),"")</f>
        <v/>
      </c>
      <c r="E392" s="51" t="str">
        <f>IFERROR(INDEX('[1]REP DISEÑO'!$G$9:$G$1508,MATCH(C392,'[1]REP DISEÑO'!$D$9:$D$1508,0)),"")</f>
        <v/>
      </c>
      <c r="F392" s="51" t="str">
        <f>IFERROR(INDEX('[1]REP DISEÑO'!$I$9:$I$1508,MATCH(C392,'[1]REP DISEÑO'!$D$9:$D$1508,0)),"")</f>
        <v/>
      </c>
      <c r="G392" s="51" t="str">
        <f>IFERROR(INDEX('[1]REP DISEÑO'!$M$9:$M$1508,MATCH(C392,'[1]REP DISEÑO'!$D$9:$D$1508,0)),"")</f>
        <v/>
      </c>
      <c r="H392" s="51" t="str">
        <f>IFERROR(INDEX('[1]REP DISEÑO'!$J$9:$J$1508,MATCH(C392,'[1]REP DISEÑO'!$D$9:$D$1508,0)),"")</f>
        <v/>
      </c>
      <c r="I392" s="52" t="str">
        <f>IFERROR(INDEX('[1]REP DISEÑO'!$C$9:$C$1508,MATCH(C392,'[1]REP DISEÑO'!$D$9:$D$1508,0)),"")</f>
        <v/>
      </c>
      <c r="J392" s="53" t="str">
        <f>IF(C392="","",IF(ISNUMBER(FIND("AMU",$C$14:$C$548)),1,(SUMIF('[1]REP PRODUCCIÓN'!$H$6:$H$1505,"*"&amp;C392&amp;"*",'[1]REP PRODUCCIÓN'!$E$6:$E$1505))))</f>
        <v/>
      </c>
      <c r="K392" s="53">
        <f t="shared" si="16"/>
        <v>0</v>
      </c>
      <c r="M392" s="54" t="str">
        <f>IFERROR(INDEX('[1]REP DISEÑO'!$BA$9:$BA$1008,MATCH('INDIC-DIS2'!C392,'[1]REP DISEÑO'!$D$9:$D$1008,0)),"")</f>
        <v/>
      </c>
      <c r="N392" s="55"/>
      <c r="O392" s="55"/>
      <c r="P392" s="55"/>
      <c r="R392" s="57" t="str">
        <f t="shared" si="17"/>
        <v/>
      </c>
    </row>
    <row r="393" spans="2:18" ht="26.25" customHeight="1" x14ac:dyDescent="0.25">
      <c r="B393" s="49">
        <f t="shared" si="15"/>
        <v>0</v>
      </c>
      <c r="C393" s="50" t="str">
        <f t="array" ref="C393">IFERROR(INDEX('[1]REP DISEÑO'!$D$9:$D$1008,SMALL(IF('[1]REP DISEÑO'!$AW$9:$AW$1008=$J$1,ROW('[1]REP DISEÑO'!$N$9:$N$1008)-ROW('[1]REP DISEÑO'!$N$9),""),ROWS(C$14:C393))+1),"")</f>
        <v/>
      </c>
      <c r="D393" s="51" t="str">
        <f>IFERROR(INDEX('[1]REP DISEÑO'!$N$9:$N$1508,MATCH(C393,'[1]REP DISEÑO'!$D$9:$D$1508,0)),"")</f>
        <v/>
      </c>
      <c r="E393" s="51" t="str">
        <f>IFERROR(INDEX('[1]REP DISEÑO'!$G$9:$G$1508,MATCH(C393,'[1]REP DISEÑO'!$D$9:$D$1508,0)),"")</f>
        <v/>
      </c>
      <c r="F393" s="51" t="str">
        <f>IFERROR(INDEX('[1]REP DISEÑO'!$I$9:$I$1508,MATCH(C393,'[1]REP DISEÑO'!$D$9:$D$1508,0)),"")</f>
        <v/>
      </c>
      <c r="G393" s="51" t="str">
        <f>IFERROR(INDEX('[1]REP DISEÑO'!$M$9:$M$1508,MATCH(C393,'[1]REP DISEÑO'!$D$9:$D$1508,0)),"")</f>
        <v/>
      </c>
      <c r="H393" s="51" t="str">
        <f>IFERROR(INDEX('[1]REP DISEÑO'!$J$9:$J$1508,MATCH(C393,'[1]REP DISEÑO'!$D$9:$D$1508,0)),"")</f>
        <v/>
      </c>
      <c r="I393" s="52" t="str">
        <f>IFERROR(INDEX('[1]REP DISEÑO'!$C$9:$C$1508,MATCH(C393,'[1]REP DISEÑO'!$D$9:$D$1508,0)),"")</f>
        <v/>
      </c>
      <c r="J393" s="53" t="str">
        <f>IF(C393="","",IF(ISNUMBER(FIND("AMU",$C$14:$C$548)),1,(SUMIF('[1]REP PRODUCCIÓN'!$H$6:$H$1505,"*"&amp;C393&amp;"*",'[1]REP PRODUCCIÓN'!$E$6:$E$1505))))</f>
        <v/>
      </c>
      <c r="K393" s="53">
        <f t="shared" si="16"/>
        <v>0</v>
      </c>
      <c r="M393" s="54" t="str">
        <f>IFERROR(INDEX('[1]REP DISEÑO'!$BA$9:$BA$1008,MATCH('INDIC-DIS2'!C393,'[1]REP DISEÑO'!$D$9:$D$1008,0)),"")</f>
        <v/>
      </c>
      <c r="N393" s="55"/>
      <c r="O393" s="55"/>
      <c r="P393" s="55"/>
      <c r="R393" s="57" t="str">
        <f t="shared" si="17"/>
        <v/>
      </c>
    </row>
    <row r="394" spans="2:18" ht="26.25" customHeight="1" x14ac:dyDescent="0.25">
      <c r="B394" s="49">
        <f t="shared" si="15"/>
        <v>0</v>
      </c>
      <c r="C394" s="50" t="str">
        <f t="array" ref="C394">IFERROR(INDEX('[1]REP DISEÑO'!$D$9:$D$1008,SMALL(IF('[1]REP DISEÑO'!$AW$9:$AW$1008=$J$1,ROW('[1]REP DISEÑO'!$N$9:$N$1008)-ROW('[1]REP DISEÑO'!$N$9),""),ROWS(C$14:C394))+1),"")</f>
        <v/>
      </c>
      <c r="D394" s="51" t="str">
        <f>IFERROR(INDEX('[1]REP DISEÑO'!$N$9:$N$1508,MATCH(C394,'[1]REP DISEÑO'!$D$9:$D$1508,0)),"")</f>
        <v/>
      </c>
      <c r="E394" s="51" t="str">
        <f>IFERROR(INDEX('[1]REP DISEÑO'!$G$9:$G$1508,MATCH(C394,'[1]REP DISEÑO'!$D$9:$D$1508,0)),"")</f>
        <v/>
      </c>
      <c r="F394" s="51" t="str">
        <f>IFERROR(INDEX('[1]REP DISEÑO'!$I$9:$I$1508,MATCH(C394,'[1]REP DISEÑO'!$D$9:$D$1508,0)),"")</f>
        <v/>
      </c>
      <c r="G394" s="51" t="str">
        <f>IFERROR(INDEX('[1]REP DISEÑO'!$M$9:$M$1508,MATCH(C394,'[1]REP DISEÑO'!$D$9:$D$1508,0)),"")</f>
        <v/>
      </c>
      <c r="H394" s="51" t="str">
        <f>IFERROR(INDEX('[1]REP DISEÑO'!$J$9:$J$1508,MATCH(C394,'[1]REP DISEÑO'!$D$9:$D$1508,0)),"")</f>
        <v/>
      </c>
      <c r="I394" s="52" t="str">
        <f>IFERROR(INDEX('[1]REP DISEÑO'!$C$9:$C$1508,MATCH(C394,'[1]REP DISEÑO'!$D$9:$D$1508,0)),"")</f>
        <v/>
      </c>
      <c r="J394" s="53" t="str">
        <f>IF(C394="","",IF(ISNUMBER(FIND("AMU",$C$14:$C$548)),1,(SUMIF('[1]REP PRODUCCIÓN'!$H$6:$H$1505,"*"&amp;C394&amp;"*",'[1]REP PRODUCCIÓN'!$E$6:$E$1505))))</f>
        <v/>
      </c>
      <c r="K394" s="53">
        <f t="shared" si="16"/>
        <v>0</v>
      </c>
      <c r="M394" s="54" t="str">
        <f>IFERROR(INDEX('[1]REP DISEÑO'!$BA$9:$BA$1008,MATCH('INDIC-DIS2'!C394,'[1]REP DISEÑO'!$D$9:$D$1008,0)),"")</f>
        <v/>
      </c>
      <c r="N394" s="55"/>
      <c r="O394" s="55"/>
      <c r="P394" s="55"/>
      <c r="R394" s="57" t="str">
        <f t="shared" si="17"/>
        <v/>
      </c>
    </row>
    <row r="395" spans="2:18" ht="26.25" customHeight="1" x14ac:dyDescent="0.25">
      <c r="B395" s="49">
        <f t="shared" si="15"/>
        <v>0</v>
      </c>
      <c r="C395" s="50" t="str">
        <f t="array" ref="C395">IFERROR(INDEX('[1]REP DISEÑO'!$D$9:$D$1008,SMALL(IF('[1]REP DISEÑO'!$AW$9:$AW$1008=$J$1,ROW('[1]REP DISEÑO'!$N$9:$N$1008)-ROW('[1]REP DISEÑO'!$N$9),""),ROWS(C$14:C395))+1),"")</f>
        <v/>
      </c>
      <c r="D395" s="51" t="str">
        <f>IFERROR(INDEX('[1]REP DISEÑO'!$N$9:$N$1508,MATCH(C395,'[1]REP DISEÑO'!$D$9:$D$1508,0)),"")</f>
        <v/>
      </c>
      <c r="E395" s="51" t="str">
        <f>IFERROR(INDEX('[1]REP DISEÑO'!$G$9:$G$1508,MATCH(C395,'[1]REP DISEÑO'!$D$9:$D$1508,0)),"")</f>
        <v/>
      </c>
      <c r="F395" s="51" t="str">
        <f>IFERROR(INDEX('[1]REP DISEÑO'!$I$9:$I$1508,MATCH(C395,'[1]REP DISEÑO'!$D$9:$D$1508,0)),"")</f>
        <v/>
      </c>
      <c r="G395" s="51" t="str">
        <f>IFERROR(INDEX('[1]REP DISEÑO'!$M$9:$M$1508,MATCH(C395,'[1]REP DISEÑO'!$D$9:$D$1508,0)),"")</f>
        <v/>
      </c>
      <c r="H395" s="51" t="str">
        <f>IFERROR(INDEX('[1]REP DISEÑO'!$J$9:$J$1508,MATCH(C395,'[1]REP DISEÑO'!$D$9:$D$1508,0)),"")</f>
        <v/>
      </c>
      <c r="I395" s="52" t="str">
        <f>IFERROR(INDEX('[1]REP DISEÑO'!$C$9:$C$1508,MATCH(C395,'[1]REP DISEÑO'!$D$9:$D$1508,0)),"")</f>
        <v/>
      </c>
      <c r="J395" s="53" t="str">
        <f>IF(C395="","",IF(ISNUMBER(FIND("AMU",$C$14:$C$548)),1,(SUMIF('[1]REP PRODUCCIÓN'!$H$6:$H$1505,"*"&amp;C395&amp;"*",'[1]REP PRODUCCIÓN'!$E$6:$E$1505))))</f>
        <v/>
      </c>
      <c r="K395" s="53">
        <f t="shared" si="16"/>
        <v>0</v>
      </c>
      <c r="M395" s="54" t="str">
        <f>IFERROR(INDEX('[1]REP DISEÑO'!$BA$9:$BA$1008,MATCH('INDIC-DIS2'!C395,'[1]REP DISEÑO'!$D$9:$D$1008,0)),"")</f>
        <v/>
      </c>
      <c r="N395" s="55"/>
      <c r="O395" s="55"/>
      <c r="P395" s="55"/>
      <c r="R395" s="57" t="str">
        <f t="shared" si="17"/>
        <v/>
      </c>
    </row>
    <row r="396" spans="2:18" ht="26.25" customHeight="1" x14ac:dyDescent="0.25">
      <c r="B396" s="49">
        <f t="shared" si="15"/>
        <v>0</v>
      </c>
      <c r="C396" s="50" t="str">
        <f t="array" ref="C396">IFERROR(INDEX('[1]REP DISEÑO'!$D$9:$D$1008,SMALL(IF('[1]REP DISEÑO'!$AW$9:$AW$1008=$J$1,ROW('[1]REP DISEÑO'!$N$9:$N$1008)-ROW('[1]REP DISEÑO'!$N$9),""),ROWS(C$14:C396))+1),"")</f>
        <v/>
      </c>
      <c r="D396" s="51" t="str">
        <f>IFERROR(INDEX('[1]REP DISEÑO'!$N$9:$N$1508,MATCH(C396,'[1]REP DISEÑO'!$D$9:$D$1508,0)),"")</f>
        <v/>
      </c>
      <c r="E396" s="51" t="str">
        <f>IFERROR(INDEX('[1]REP DISEÑO'!$G$9:$G$1508,MATCH(C396,'[1]REP DISEÑO'!$D$9:$D$1508,0)),"")</f>
        <v/>
      </c>
      <c r="F396" s="51" t="str">
        <f>IFERROR(INDEX('[1]REP DISEÑO'!$I$9:$I$1508,MATCH(C396,'[1]REP DISEÑO'!$D$9:$D$1508,0)),"")</f>
        <v/>
      </c>
      <c r="G396" s="51" t="str">
        <f>IFERROR(INDEX('[1]REP DISEÑO'!$M$9:$M$1508,MATCH(C396,'[1]REP DISEÑO'!$D$9:$D$1508,0)),"")</f>
        <v/>
      </c>
      <c r="H396" s="51" t="str">
        <f>IFERROR(INDEX('[1]REP DISEÑO'!$J$9:$J$1508,MATCH(C396,'[1]REP DISEÑO'!$D$9:$D$1508,0)),"")</f>
        <v/>
      </c>
      <c r="I396" s="52" t="str">
        <f>IFERROR(INDEX('[1]REP DISEÑO'!$C$9:$C$1508,MATCH(C396,'[1]REP DISEÑO'!$D$9:$D$1508,0)),"")</f>
        <v/>
      </c>
      <c r="J396" s="53" t="str">
        <f>IF(C396="","",IF(ISNUMBER(FIND("AMU",$C$14:$C$548)),1,(SUMIF('[1]REP PRODUCCIÓN'!$H$6:$H$1505,"*"&amp;C396&amp;"*",'[1]REP PRODUCCIÓN'!$E$6:$E$1505))))</f>
        <v/>
      </c>
      <c r="K396" s="53">
        <f t="shared" si="16"/>
        <v>0</v>
      </c>
      <c r="M396" s="54" t="str">
        <f>IFERROR(INDEX('[1]REP DISEÑO'!$BA$9:$BA$1008,MATCH('INDIC-DIS2'!C396,'[1]REP DISEÑO'!$D$9:$D$1008,0)),"")</f>
        <v/>
      </c>
      <c r="N396" s="55"/>
      <c r="O396" s="55"/>
      <c r="P396" s="55"/>
      <c r="R396" s="57" t="str">
        <f t="shared" si="17"/>
        <v/>
      </c>
    </row>
    <row r="397" spans="2:18" ht="26.25" customHeight="1" x14ac:dyDescent="0.25">
      <c r="B397" s="49">
        <f t="shared" si="15"/>
        <v>0</v>
      </c>
      <c r="C397" s="50" t="str">
        <f t="array" ref="C397">IFERROR(INDEX('[1]REP DISEÑO'!$D$9:$D$1008,SMALL(IF('[1]REP DISEÑO'!$AW$9:$AW$1008=$J$1,ROW('[1]REP DISEÑO'!$N$9:$N$1008)-ROW('[1]REP DISEÑO'!$N$9),""),ROWS(C$14:C397))+1),"")</f>
        <v/>
      </c>
      <c r="D397" s="51" t="str">
        <f>IFERROR(INDEX('[1]REP DISEÑO'!$N$9:$N$1508,MATCH(C397,'[1]REP DISEÑO'!$D$9:$D$1508,0)),"")</f>
        <v/>
      </c>
      <c r="E397" s="51" t="str">
        <f>IFERROR(INDEX('[1]REP DISEÑO'!$G$9:$G$1508,MATCH(C397,'[1]REP DISEÑO'!$D$9:$D$1508,0)),"")</f>
        <v/>
      </c>
      <c r="F397" s="51" t="str">
        <f>IFERROR(INDEX('[1]REP DISEÑO'!$I$9:$I$1508,MATCH(C397,'[1]REP DISEÑO'!$D$9:$D$1508,0)),"")</f>
        <v/>
      </c>
      <c r="G397" s="51" t="str">
        <f>IFERROR(INDEX('[1]REP DISEÑO'!$M$9:$M$1508,MATCH(C397,'[1]REP DISEÑO'!$D$9:$D$1508,0)),"")</f>
        <v/>
      </c>
      <c r="H397" s="51" t="str">
        <f>IFERROR(INDEX('[1]REP DISEÑO'!$J$9:$J$1508,MATCH(C397,'[1]REP DISEÑO'!$D$9:$D$1508,0)),"")</f>
        <v/>
      </c>
      <c r="I397" s="52" t="str">
        <f>IFERROR(INDEX('[1]REP DISEÑO'!$C$9:$C$1508,MATCH(C397,'[1]REP DISEÑO'!$D$9:$D$1508,0)),"")</f>
        <v/>
      </c>
      <c r="J397" s="53" t="str">
        <f>IF(C397="","",IF(ISNUMBER(FIND("AMU",$C$14:$C$548)),1,(SUMIF('[1]REP PRODUCCIÓN'!$H$6:$H$1505,"*"&amp;C397&amp;"*",'[1]REP PRODUCCIÓN'!$E$6:$E$1505))))</f>
        <v/>
      </c>
      <c r="K397" s="53">
        <f t="shared" si="16"/>
        <v>0</v>
      </c>
      <c r="M397" s="54" t="str">
        <f>IFERROR(INDEX('[1]REP DISEÑO'!$BA$9:$BA$1008,MATCH('INDIC-DIS2'!C397,'[1]REP DISEÑO'!$D$9:$D$1008,0)),"")</f>
        <v/>
      </c>
      <c r="N397" s="55"/>
      <c r="O397" s="55"/>
      <c r="P397" s="55"/>
      <c r="R397" s="57" t="str">
        <f t="shared" si="17"/>
        <v/>
      </c>
    </row>
    <row r="398" spans="2:18" ht="26.25" customHeight="1" x14ac:dyDescent="0.25">
      <c r="B398" s="49">
        <f t="shared" si="15"/>
        <v>0</v>
      </c>
      <c r="C398" s="50" t="str">
        <f t="array" ref="C398">IFERROR(INDEX('[1]REP DISEÑO'!$D$9:$D$1008,SMALL(IF('[1]REP DISEÑO'!$AW$9:$AW$1008=$J$1,ROW('[1]REP DISEÑO'!$N$9:$N$1008)-ROW('[1]REP DISEÑO'!$N$9),""),ROWS(C$14:C398))+1),"")</f>
        <v/>
      </c>
      <c r="D398" s="51" t="str">
        <f>IFERROR(INDEX('[1]REP DISEÑO'!$N$9:$N$1508,MATCH(C398,'[1]REP DISEÑO'!$D$9:$D$1508,0)),"")</f>
        <v/>
      </c>
      <c r="E398" s="51" t="str">
        <f>IFERROR(INDEX('[1]REP DISEÑO'!$G$9:$G$1508,MATCH(C398,'[1]REP DISEÑO'!$D$9:$D$1508,0)),"")</f>
        <v/>
      </c>
      <c r="F398" s="51" t="str">
        <f>IFERROR(INDEX('[1]REP DISEÑO'!$I$9:$I$1508,MATCH(C398,'[1]REP DISEÑO'!$D$9:$D$1508,0)),"")</f>
        <v/>
      </c>
      <c r="G398" s="51" t="str">
        <f>IFERROR(INDEX('[1]REP DISEÑO'!$M$9:$M$1508,MATCH(C398,'[1]REP DISEÑO'!$D$9:$D$1508,0)),"")</f>
        <v/>
      </c>
      <c r="H398" s="51" t="str">
        <f>IFERROR(INDEX('[1]REP DISEÑO'!$J$9:$J$1508,MATCH(C398,'[1]REP DISEÑO'!$D$9:$D$1508,0)),"")</f>
        <v/>
      </c>
      <c r="I398" s="52" t="str">
        <f>IFERROR(INDEX('[1]REP DISEÑO'!$C$9:$C$1508,MATCH(C398,'[1]REP DISEÑO'!$D$9:$D$1508,0)),"")</f>
        <v/>
      </c>
      <c r="J398" s="53" t="str">
        <f>IF(C398="","",IF(ISNUMBER(FIND("AMU",$C$14:$C$548)),1,(SUMIF('[1]REP PRODUCCIÓN'!$H$6:$H$1505,"*"&amp;C398&amp;"*",'[1]REP PRODUCCIÓN'!$E$6:$E$1505))))</f>
        <v/>
      </c>
      <c r="K398" s="53">
        <f t="shared" si="16"/>
        <v>0</v>
      </c>
      <c r="M398" s="54" t="str">
        <f>IFERROR(INDEX('[1]REP DISEÑO'!$BA$9:$BA$1008,MATCH('INDIC-DIS2'!C398,'[1]REP DISEÑO'!$D$9:$D$1008,0)),"")</f>
        <v/>
      </c>
      <c r="N398" s="55"/>
      <c r="O398" s="55"/>
      <c r="P398" s="55"/>
      <c r="R398" s="57" t="str">
        <f t="shared" si="17"/>
        <v/>
      </c>
    </row>
    <row r="399" spans="2:18" ht="26.25" customHeight="1" x14ac:dyDescent="0.25">
      <c r="B399" s="49">
        <f t="shared" ref="B399:B462" si="18">IF(J399="",0,IF(OR(J399&gt;0,ISNUMBER(FIND("AMU",$C$14:$C$548))),1,0))</f>
        <v>0</v>
      </c>
      <c r="C399" s="50" t="str">
        <f t="array" ref="C399">IFERROR(INDEX('[1]REP DISEÑO'!$D$9:$D$1008,SMALL(IF('[1]REP DISEÑO'!$AW$9:$AW$1008=$J$1,ROW('[1]REP DISEÑO'!$N$9:$N$1008)-ROW('[1]REP DISEÑO'!$N$9),""),ROWS(C$14:C399))+1),"")</f>
        <v/>
      </c>
      <c r="D399" s="51" t="str">
        <f>IFERROR(INDEX('[1]REP DISEÑO'!$N$9:$N$1508,MATCH(C399,'[1]REP DISEÑO'!$D$9:$D$1508,0)),"")</f>
        <v/>
      </c>
      <c r="E399" s="51" t="str">
        <f>IFERROR(INDEX('[1]REP DISEÑO'!$G$9:$G$1508,MATCH(C399,'[1]REP DISEÑO'!$D$9:$D$1508,0)),"")</f>
        <v/>
      </c>
      <c r="F399" s="51" t="str">
        <f>IFERROR(INDEX('[1]REP DISEÑO'!$I$9:$I$1508,MATCH(C399,'[1]REP DISEÑO'!$D$9:$D$1508,0)),"")</f>
        <v/>
      </c>
      <c r="G399" s="51" t="str">
        <f>IFERROR(INDEX('[1]REP DISEÑO'!$M$9:$M$1508,MATCH(C399,'[1]REP DISEÑO'!$D$9:$D$1508,0)),"")</f>
        <v/>
      </c>
      <c r="H399" s="51" t="str">
        <f>IFERROR(INDEX('[1]REP DISEÑO'!$J$9:$J$1508,MATCH(C399,'[1]REP DISEÑO'!$D$9:$D$1508,0)),"")</f>
        <v/>
      </c>
      <c r="I399" s="52" t="str">
        <f>IFERROR(INDEX('[1]REP DISEÑO'!$C$9:$C$1508,MATCH(C399,'[1]REP DISEÑO'!$D$9:$D$1508,0)),"")</f>
        <v/>
      </c>
      <c r="J399" s="53" t="str">
        <f>IF(C399="","",IF(ISNUMBER(FIND("AMU",$C$14:$C$548)),1,(SUMIF('[1]REP PRODUCCIÓN'!$H$6:$H$1505,"*"&amp;C399&amp;"*",'[1]REP PRODUCCIÓN'!$E$6:$E$1505))))</f>
        <v/>
      </c>
      <c r="K399" s="53">
        <f t="shared" ref="K399:K462" si="19">IF(B399=1,"OK",0)</f>
        <v>0</v>
      </c>
      <c r="M399" s="54" t="str">
        <f>IFERROR(INDEX('[1]REP DISEÑO'!$BA$9:$BA$1008,MATCH('INDIC-DIS2'!C399,'[1]REP DISEÑO'!$D$9:$D$1008,0)),"")</f>
        <v/>
      </c>
      <c r="N399" s="55"/>
      <c r="O399" s="55"/>
      <c r="P399" s="55"/>
      <c r="R399" s="57" t="str">
        <f t="shared" ref="R399:R462" si="20">IF(M399="","",1)</f>
        <v/>
      </c>
    </row>
    <row r="400" spans="2:18" ht="26.25" customHeight="1" x14ac:dyDescent="0.25">
      <c r="B400" s="49">
        <f t="shared" si="18"/>
        <v>0</v>
      </c>
      <c r="C400" s="50" t="str">
        <f t="array" ref="C400">IFERROR(INDEX('[1]REP DISEÑO'!$D$9:$D$1008,SMALL(IF('[1]REP DISEÑO'!$AW$9:$AW$1008=$J$1,ROW('[1]REP DISEÑO'!$N$9:$N$1008)-ROW('[1]REP DISEÑO'!$N$9),""),ROWS(C$14:C400))+1),"")</f>
        <v/>
      </c>
      <c r="D400" s="51" t="str">
        <f>IFERROR(INDEX('[1]REP DISEÑO'!$N$9:$N$1508,MATCH(C400,'[1]REP DISEÑO'!$D$9:$D$1508,0)),"")</f>
        <v/>
      </c>
      <c r="E400" s="51" t="str">
        <f>IFERROR(INDEX('[1]REP DISEÑO'!$G$9:$G$1508,MATCH(C400,'[1]REP DISEÑO'!$D$9:$D$1508,0)),"")</f>
        <v/>
      </c>
      <c r="F400" s="51" t="str">
        <f>IFERROR(INDEX('[1]REP DISEÑO'!$I$9:$I$1508,MATCH(C400,'[1]REP DISEÑO'!$D$9:$D$1508,0)),"")</f>
        <v/>
      </c>
      <c r="G400" s="51" t="str">
        <f>IFERROR(INDEX('[1]REP DISEÑO'!$M$9:$M$1508,MATCH(C400,'[1]REP DISEÑO'!$D$9:$D$1508,0)),"")</f>
        <v/>
      </c>
      <c r="H400" s="51" t="str">
        <f>IFERROR(INDEX('[1]REP DISEÑO'!$J$9:$J$1508,MATCH(C400,'[1]REP DISEÑO'!$D$9:$D$1508,0)),"")</f>
        <v/>
      </c>
      <c r="I400" s="52" t="str">
        <f>IFERROR(INDEX('[1]REP DISEÑO'!$C$9:$C$1508,MATCH(C400,'[1]REP DISEÑO'!$D$9:$D$1508,0)),"")</f>
        <v/>
      </c>
      <c r="J400" s="53" t="str">
        <f>IF(C400="","",IF(ISNUMBER(FIND("AMU",$C$14:$C$548)),1,(SUMIF('[1]REP PRODUCCIÓN'!$H$6:$H$1505,"*"&amp;C400&amp;"*",'[1]REP PRODUCCIÓN'!$E$6:$E$1505))))</f>
        <v/>
      </c>
      <c r="K400" s="53">
        <f t="shared" si="19"/>
        <v>0</v>
      </c>
      <c r="M400" s="54" t="str">
        <f>IFERROR(INDEX('[1]REP DISEÑO'!$BA$9:$BA$1008,MATCH('INDIC-DIS2'!C400,'[1]REP DISEÑO'!$D$9:$D$1008,0)),"")</f>
        <v/>
      </c>
      <c r="N400" s="55"/>
      <c r="O400" s="55"/>
      <c r="P400" s="55"/>
      <c r="R400" s="57" t="str">
        <f t="shared" si="20"/>
        <v/>
      </c>
    </row>
    <row r="401" spans="2:18" ht="26.25" customHeight="1" x14ac:dyDescent="0.25">
      <c r="B401" s="49">
        <f t="shared" si="18"/>
        <v>0</v>
      </c>
      <c r="C401" s="50" t="str">
        <f t="array" ref="C401">IFERROR(INDEX('[1]REP DISEÑO'!$D$9:$D$1008,SMALL(IF('[1]REP DISEÑO'!$AW$9:$AW$1008=$J$1,ROW('[1]REP DISEÑO'!$N$9:$N$1008)-ROW('[1]REP DISEÑO'!$N$9),""),ROWS(C$14:C401))+1),"")</f>
        <v/>
      </c>
      <c r="D401" s="51" t="str">
        <f>IFERROR(INDEX('[1]REP DISEÑO'!$N$9:$N$1508,MATCH(C401,'[1]REP DISEÑO'!$D$9:$D$1508,0)),"")</f>
        <v/>
      </c>
      <c r="E401" s="51" t="str">
        <f>IFERROR(INDEX('[1]REP DISEÑO'!$G$9:$G$1508,MATCH(C401,'[1]REP DISEÑO'!$D$9:$D$1508,0)),"")</f>
        <v/>
      </c>
      <c r="F401" s="51" t="str">
        <f>IFERROR(INDEX('[1]REP DISEÑO'!$I$9:$I$1508,MATCH(C401,'[1]REP DISEÑO'!$D$9:$D$1508,0)),"")</f>
        <v/>
      </c>
      <c r="G401" s="51" t="str">
        <f>IFERROR(INDEX('[1]REP DISEÑO'!$M$9:$M$1508,MATCH(C401,'[1]REP DISEÑO'!$D$9:$D$1508,0)),"")</f>
        <v/>
      </c>
      <c r="H401" s="51" t="str">
        <f>IFERROR(INDEX('[1]REP DISEÑO'!$J$9:$J$1508,MATCH(C401,'[1]REP DISEÑO'!$D$9:$D$1508,0)),"")</f>
        <v/>
      </c>
      <c r="I401" s="52" t="str">
        <f>IFERROR(INDEX('[1]REP DISEÑO'!$C$9:$C$1508,MATCH(C401,'[1]REP DISEÑO'!$D$9:$D$1508,0)),"")</f>
        <v/>
      </c>
      <c r="J401" s="53" t="str">
        <f>IF(C401="","",IF(ISNUMBER(FIND("AMU",$C$14:$C$548)),1,(SUMIF('[1]REP PRODUCCIÓN'!$H$6:$H$1505,"*"&amp;C401&amp;"*",'[1]REP PRODUCCIÓN'!$E$6:$E$1505))))</f>
        <v/>
      </c>
      <c r="K401" s="53">
        <f t="shared" si="19"/>
        <v>0</v>
      </c>
      <c r="M401" s="54" t="str">
        <f>IFERROR(INDEX('[1]REP DISEÑO'!$BA$9:$BA$1008,MATCH('INDIC-DIS2'!C401,'[1]REP DISEÑO'!$D$9:$D$1008,0)),"")</f>
        <v/>
      </c>
      <c r="N401" s="55"/>
      <c r="O401" s="55"/>
      <c r="P401" s="55"/>
      <c r="R401" s="57" t="str">
        <f t="shared" si="20"/>
        <v/>
      </c>
    </row>
    <row r="402" spans="2:18" ht="26.25" customHeight="1" x14ac:dyDescent="0.25">
      <c r="B402" s="49">
        <f t="shared" si="18"/>
        <v>0</v>
      </c>
      <c r="C402" s="50" t="str">
        <f t="array" ref="C402">IFERROR(INDEX('[1]REP DISEÑO'!$D$9:$D$1008,SMALL(IF('[1]REP DISEÑO'!$AW$9:$AW$1008=$J$1,ROW('[1]REP DISEÑO'!$N$9:$N$1008)-ROW('[1]REP DISEÑO'!$N$9),""),ROWS(C$14:C402))+1),"")</f>
        <v/>
      </c>
      <c r="D402" s="51" t="str">
        <f>IFERROR(INDEX('[1]REP DISEÑO'!$N$9:$N$1508,MATCH(C402,'[1]REP DISEÑO'!$D$9:$D$1508,0)),"")</f>
        <v/>
      </c>
      <c r="E402" s="51" t="str">
        <f>IFERROR(INDEX('[1]REP DISEÑO'!$G$9:$G$1508,MATCH(C402,'[1]REP DISEÑO'!$D$9:$D$1508,0)),"")</f>
        <v/>
      </c>
      <c r="F402" s="51" t="str">
        <f>IFERROR(INDEX('[1]REP DISEÑO'!$I$9:$I$1508,MATCH(C402,'[1]REP DISEÑO'!$D$9:$D$1508,0)),"")</f>
        <v/>
      </c>
      <c r="G402" s="51" t="str">
        <f>IFERROR(INDEX('[1]REP DISEÑO'!$M$9:$M$1508,MATCH(C402,'[1]REP DISEÑO'!$D$9:$D$1508,0)),"")</f>
        <v/>
      </c>
      <c r="H402" s="51" t="str">
        <f>IFERROR(INDEX('[1]REP DISEÑO'!$J$9:$J$1508,MATCH(C402,'[1]REP DISEÑO'!$D$9:$D$1508,0)),"")</f>
        <v/>
      </c>
      <c r="I402" s="52" t="str">
        <f>IFERROR(INDEX('[1]REP DISEÑO'!$C$9:$C$1508,MATCH(C402,'[1]REP DISEÑO'!$D$9:$D$1508,0)),"")</f>
        <v/>
      </c>
      <c r="J402" s="53" t="str">
        <f>IF(C402="","",IF(ISNUMBER(FIND("AMU",$C$14:$C$548)),1,(SUMIF('[1]REP PRODUCCIÓN'!$H$6:$H$1505,"*"&amp;C402&amp;"*",'[1]REP PRODUCCIÓN'!$E$6:$E$1505))))</f>
        <v/>
      </c>
      <c r="K402" s="53">
        <f t="shared" si="19"/>
        <v>0</v>
      </c>
      <c r="M402" s="54" t="str">
        <f>IFERROR(INDEX('[1]REP DISEÑO'!$BA$9:$BA$1008,MATCH('INDIC-DIS2'!C402,'[1]REP DISEÑO'!$D$9:$D$1008,0)),"")</f>
        <v/>
      </c>
      <c r="N402" s="55"/>
      <c r="O402" s="55"/>
      <c r="P402" s="55"/>
      <c r="R402" s="57" t="str">
        <f t="shared" si="20"/>
        <v/>
      </c>
    </row>
    <row r="403" spans="2:18" ht="26.25" customHeight="1" x14ac:dyDescent="0.25">
      <c r="B403" s="49">
        <f t="shared" si="18"/>
        <v>0</v>
      </c>
      <c r="C403" s="50" t="str">
        <f t="array" ref="C403">IFERROR(INDEX('[1]REP DISEÑO'!$D$9:$D$1008,SMALL(IF('[1]REP DISEÑO'!$AW$9:$AW$1008=$J$1,ROW('[1]REP DISEÑO'!$N$9:$N$1008)-ROW('[1]REP DISEÑO'!$N$9),""),ROWS(C$14:C403))+1),"")</f>
        <v/>
      </c>
      <c r="D403" s="51" t="str">
        <f>IFERROR(INDEX('[1]REP DISEÑO'!$N$9:$N$1508,MATCH(C403,'[1]REP DISEÑO'!$D$9:$D$1508,0)),"")</f>
        <v/>
      </c>
      <c r="E403" s="51" t="str">
        <f>IFERROR(INDEX('[1]REP DISEÑO'!$G$9:$G$1508,MATCH(C403,'[1]REP DISEÑO'!$D$9:$D$1508,0)),"")</f>
        <v/>
      </c>
      <c r="F403" s="51" t="str">
        <f>IFERROR(INDEX('[1]REP DISEÑO'!$I$9:$I$1508,MATCH(C403,'[1]REP DISEÑO'!$D$9:$D$1508,0)),"")</f>
        <v/>
      </c>
      <c r="G403" s="51" t="str">
        <f>IFERROR(INDEX('[1]REP DISEÑO'!$M$9:$M$1508,MATCH(C403,'[1]REP DISEÑO'!$D$9:$D$1508,0)),"")</f>
        <v/>
      </c>
      <c r="H403" s="51" t="str">
        <f>IFERROR(INDEX('[1]REP DISEÑO'!$J$9:$J$1508,MATCH(C403,'[1]REP DISEÑO'!$D$9:$D$1508,0)),"")</f>
        <v/>
      </c>
      <c r="I403" s="52" t="str">
        <f>IFERROR(INDEX('[1]REP DISEÑO'!$C$9:$C$1508,MATCH(C403,'[1]REP DISEÑO'!$D$9:$D$1508,0)),"")</f>
        <v/>
      </c>
      <c r="J403" s="53" t="str">
        <f>IF(C403="","",IF(ISNUMBER(FIND("AMU",$C$14:$C$548)),1,(SUMIF('[1]REP PRODUCCIÓN'!$H$6:$H$1505,"*"&amp;C403&amp;"*",'[1]REP PRODUCCIÓN'!$E$6:$E$1505))))</f>
        <v/>
      </c>
      <c r="K403" s="53">
        <f t="shared" si="19"/>
        <v>0</v>
      </c>
      <c r="M403" s="54" t="str">
        <f>IFERROR(INDEX('[1]REP DISEÑO'!$BA$9:$BA$1008,MATCH('INDIC-DIS2'!C403,'[1]REP DISEÑO'!$D$9:$D$1008,0)),"")</f>
        <v/>
      </c>
      <c r="N403" s="55"/>
      <c r="O403" s="55"/>
      <c r="P403" s="55"/>
      <c r="R403" s="57" t="str">
        <f t="shared" si="20"/>
        <v/>
      </c>
    </row>
    <row r="404" spans="2:18" ht="26.25" customHeight="1" x14ac:dyDescent="0.25">
      <c r="B404" s="49">
        <f t="shared" si="18"/>
        <v>0</v>
      </c>
      <c r="C404" s="50" t="str">
        <f t="array" ref="C404">IFERROR(INDEX('[1]REP DISEÑO'!$D$9:$D$1008,SMALL(IF('[1]REP DISEÑO'!$AW$9:$AW$1008=$J$1,ROW('[1]REP DISEÑO'!$N$9:$N$1008)-ROW('[1]REP DISEÑO'!$N$9),""),ROWS(C$14:C404))+1),"")</f>
        <v/>
      </c>
      <c r="D404" s="51" t="str">
        <f>IFERROR(INDEX('[1]REP DISEÑO'!$N$9:$N$1508,MATCH(C404,'[1]REP DISEÑO'!$D$9:$D$1508,0)),"")</f>
        <v/>
      </c>
      <c r="E404" s="51" t="str">
        <f>IFERROR(INDEX('[1]REP DISEÑO'!$G$9:$G$1508,MATCH(C404,'[1]REP DISEÑO'!$D$9:$D$1508,0)),"")</f>
        <v/>
      </c>
      <c r="F404" s="51" t="str">
        <f>IFERROR(INDEX('[1]REP DISEÑO'!$I$9:$I$1508,MATCH(C404,'[1]REP DISEÑO'!$D$9:$D$1508,0)),"")</f>
        <v/>
      </c>
      <c r="G404" s="51" t="str">
        <f>IFERROR(INDEX('[1]REP DISEÑO'!$M$9:$M$1508,MATCH(C404,'[1]REP DISEÑO'!$D$9:$D$1508,0)),"")</f>
        <v/>
      </c>
      <c r="H404" s="51" t="str">
        <f>IFERROR(INDEX('[1]REP DISEÑO'!$J$9:$J$1508,MATCH(C404,'[1]REP DISEÑO'!$D$9:$D$1508,0)),"")</f>
        <v/>
      </c>
      <c r="I404" s="52" t="str">
        <f>IFERROR(INDEX('[1]REP DISEÑO'!$C$9:$C$1508,MATCH(C404,'[1]REP DISEÑO'!$D$9:$D$1508,0)),"")</f>
        <v/>
      </c>
      <c r="J404" s="53" t="str">
        <f>IF(C404="","",IF(ISNUMBER(FIND("AMU",$C$14:$C$548)),1,(SUMIF('[1]REP PRODUCCIÓN'!$H$6:$H$1505,"*"&amp;C404&amp;"*",'[1]REP PRODUCCIÓN'!$E$6:$E$1505))))</f>
        <v/>
      </c>
      <c r="K404" s="53">
        <f t="shared" si="19"/>
        <v>0</v>
      </c>
      <c r="M404" s="54" t="str">
        <f>IFERROR(INDEX('[1]REP DISEÑO'!$BA$9:$BA$1008,MATCH('INDIC-DIS2'!C404,'[1]REP DISEÑO'!$D$9:$D$1008,0)),"")</f>
        <v/>
      </c>
      <c r="N404" s="55"/>
      <c r="O404" s="55"/>
      <c r="P404" s="55"/>
      <c r="R404" s="57" t="str">
        <f t="shared" si="20"/>
        <v/>
      </c>
    </row>
    <row r="405" spans="2:18" ht="26.25" customHeight="1" x14ac:dyDescent="0.25">
      <c r="B405" s="49">
        <f t="shared" si="18"/>
        <v>0</v>
      </c>
      <c r="C405" s="50" t="str">
        <f t="array" ref="C405">IFERROR(INDEX('[1]REP DISEÑO'!$D$9:$D$1008,SMALL(IF('[1]REP DISEÑO'!$AW$9:$AW$1008=$J$1,ROW('[1]REP DISEÑO'!$N$9:$N$1008)-ROW('[1]REP DISEÑO'!$N$9),""),ROWS(C$14:C405))+1),"")</f>
        <v/>
      </c>
      <c r="D405" s="51" t="str">
        <f>IFERROR(INDEX('[1]REP DISEÑO'!$N$9:$N$1508,MATCH(C405,'[1]REP DISEÑO'!$D$9:$D$1508,0)),"")</f>
        <v/>
      </c>
      <c r="E405" s="51" t="str">
        <f>IFERROR(INDEX('[1]REP DISEÑO'!$G$9:$G$1508,MATCH(C405,'[1]REP DISEÑO'!$D$9:$D$1508,0)),"")</f>
        <v/>
      </c>
      <c r="F405" s="51" t="str">
        <f>IFERROR(INDEX('[1]REP DISEÑO'!$I$9:$I$1508,MATCH(C405,'[1]REP DISEÑO'!$D$9:$D$1508,0)),"")</f>
        <v/>
      </c>
      <c r="G405" s="51" t="str">
        <f>IFERROR(INDEX('[1]REP DISEÑO'!$M$9:$M$1508,MATCH(C405,'[1]REP DISEÑO'!$D$9:$D$1508,0)),"")</f>
        <v/>
      </c>
      <c r="H405" s="51" t="str">
        <f>IFERROR(INDEX('[1]REP DISEÑO'!$J$9:$J$1508,MATCH(C405,'[1]REP DISEÑO'!$D$9:$D$1508,0)),"")</f>
        <v/>
      </c>
      <c r="I405" s="52" t="str">
        <f>IFERROR(INDEX('[1]REP DISEÑO'!$C$9:$C$1508,MATCH(C405,'[1]REP DISEÑO'!$D$9:$D$1508,0)),"")</f>
        <v/>
      </c>
      <c r="J405" s="53" t="str">
        <f>IF(C405="","",IF(ISNUMBER(FIND("AMU",$C$14:$C$548)),1,(SUMIF('[1]REP PRODUCCIÓN'!$H$6:$H$1505,"*"&amp;C405&amp;"*",'[1]REP PRODUCCIÓN'!$E$6:$E$1505))))</f>
        <v/>
      </c>
      <c r="K405" s="53">
        <f t="shared" si="19"/>
        <v>0</v>
      </c>
      <c r="M405" s="54" t="str">
        <f>IFERROR(INDEX('[1]REP DISEÑO'!$BA$9:$BA$1008,MATCH('INDIC-DIS2'!C405,'[1]REP DISEÑO'!$D$9:$D$1008,0)),"")</f>
        <v/>
      </c>
      <c r="N405" s="55"/>
      <c r="O405" s="55"/>
      <c r="P405" s="55"/>
      <c r="R405" s="57" t="str">
        <f t="shared" si="20"/>
        <v/>
      </c>
    </row>
    <row r="406" spans="2:18" ht="26.25" customHeight="1" x14ac:dyDescent="0.25">
      <c r="B406" s="49">
        <f t="shared" si="18"/>
        <v>0</v>
      </c>
      <c r="C406" s="50" t="str">
        <f t="array" ref="C406">IFERROR(INDEX('[1]REP DISEÑO'!$D$9:$D$1008,SMALL(IF('[1]REP DISEÑO'!$AW$9:$AW$1008=$J$1,ROW('[1]REP DISEÑO'!$N$9:$N$1008)-ROW('[1]REP DISEÑO'!$N$9),""),ROWS(C$14:C406))+1),"")</f>
        <v/>
      </c>
      <c r="D406" s="51" t="str">
        <f>IFERROR(INDEX('[1]REP DISEÑO'!$N$9:$N$1508,MATCH(C406,'[1]REP DISEÑO'!$D$9:$D$1508,0)),"")</f>
        <v/>
      </c>
      <c r="E406" s="51" t="str">
        <f>IFERROR(INDEX('[1]REP DISEÑO'!$G$9:$G$1508,MATCH(C406,'[1]REP DISEÑO'!$D$9:$D$1508,0)),"")</f>
        <v/>
      </c>
      <c r="F406" s="51" t="str">
        <f>IFERROR(INDEX('[1]REP DISEÑO'!$I$9:$I$1508,MATCH(C406,'[1]REP DISEÑO'!$D$9:$D$1508,0)),"")</f>
        <v/>
      </c>
      <c r="G406" s="51" t="str">
        <f>IFERROR(INDEX('[1]REP DISEÑO'!$M$9:$M$1508,MATCH(C406,'[1]REP DISEÑO'!$D$9:$D$1508,0)),"")</f>
        <v/>
      </c>
      <c r="H406" s="51" t="str">
        <f>IFERROR(INDEX('[1]REP DISEÑO'!$J$9:$J$1508,MATCH(C406,'[1]REP DISEÑO'!$D$9:$D$1508,0)),"")</f>
        <v/>
      </c>
      <c r="I406" s="52" t="str">
        <f>IFERROR(INDEX('[1]REP DISEÑO'!$C$9:$C$1508,MATCH(C406,'[1]REP DISEÑO'!$D$9:$D$1508,0)),"")</f>
        <v/>
      </c>
      <c r="J406" s="53" t="str">
        <f>IF(C406="","",IF(ISNUMBER(FIND("AMU",$C$14:$C$548)),1,(SUMIF('[1]REP PRODUCCIÓN'!$H$6:$H$1505,"*"&amp;C406&amp;"*",'[1]REP PRODUCCIÓN'!$E$6:$E$1505))))</f>
        <v/>
      </c>
      <c r="K406" s="53">
        <f t="shared" si="19"/>
        <v>0</v>
      </c>
      <c r="M406" s="54" t="str">
        <f>IFERROR(INDEX('[1]REP DISEÑO'!$BA$9:$BA$1008,MATCH('INDIC-DIS2'!C406,'[1]REP DISEÑO'!$D$9:$D$1008,0)),"")</f>
        <v/>
      </c>
      <c r="N406" s="55"/>
      <c r="O406" s="55"/>
      <c r="P406" s="55"/>
      <c r="R406" s="57" t="str">
        <f t="shared" si="20"/>
        <v/>
      </c>
    </row>
    <row r="407" spans="2:18" ht="26.25" customHeight="1" x14ac:dyDescent="0.25">
      <c r="B407" s="49">
        <f t="shared" si="18"/>
        <v>0</v>
      </c>
      <c r="C407" s="50" t="str">
        <f t="array" ref="C407">IFERROR(INDEX('[1]REP DISEÑO'!$D$9:$D$1008,SMALL(IF('[1]REP DISEÑO'!$AW$9:$AW$1008=$J$1,ROW('[1]REP DISEÑO'!$N$9:$N$1008)-ROW('[1]REP DISEÑO'!$N$9),""),ROWS(C$14:C407))+1),"")</f>
        <v/>
      </c>
      <c r="D407" s="51" t="str">
        <f>IFERROR(INDEX('[1]REP DISEÑO'!$N$9:$N$1508,MATCH(C407,'[1]REP DISEÑO'!$D$9:$D$1508,0)),"")</f>
        <v/>
      </c>
      <c r="E407" s="51" t="str">
        <f>IFERROR(INDEX('[1]REP DISEÑO'!$G$9:$G$1508,MATCH(C407,'[1]REP DISEÑO'!$D$9:$D$1508,0)),"")</f>
        <v/>
      </c>
      <c r="F407" s="51" t="str">
        <f>IFERROR(INDEX('[1]REP DISEÑO'!$I$9:$I$1508,MATCH(C407,'[1]REP DISEÑO'!$D$9:$D$1508,0)),"")</f>
        <v/>
      </c>
      <c r="G407" s="51" t="str">
        <f>IFERROR(INDEX('[1]REP DISEÑO'!$M$9:$M$1508,MATCH(C407,'[1]REP DISEÑO'!$D$9:$D$1508,0)),"")</f>
        <v/>
      </c>
      <c r="H407" s="51" t="str">
        <f>IFERROR(INDEX('[1]REP DISEÑO'!$J$9:$J$1508,MATCH(C407,'[1]REP DISEÑO'!$D$9:$D$1508,0)),"")</f>
        <v/>
      </c>
      <c r="I407" s="52" t="str">
        <f>IFERROR(INDEX('[1]REP DISEÑO'!$C$9:$C$1508,MATCH(C407,'[1]REP DISEÑO'!$D$9:$D$1508,0)),"")</f>
        <v/>
      </c>
      <c r="J407" s="53" t="str">
        <f>IF(C407="","",IF(ISNUMBER(FIND("AMU",$C$14:$C$548)),1,(SUMIF('[1]REP PRODUCCIÓN'!$H$6:$H$1505,"*"&amp;C407&amp;"*",'[1]REP PRODUCCIÓN'!$E$6:$E$1505))))</f>
        <v/>
      </c>
      <c r="K407" s="53">
        <f t="shared" si="19"/>
        <v>0</v>
      </c>
      <c r="M407" s="54" t="str">
        <f>IFERROR(INDEX('[1]REP DISEÑO'!$BA$9:$BA$1008,MATCH('INDIC-DIS2'!C407,'[1]REP DISEÑO'!$D$9:$D$1008,0)),"")</f>
        <v/>
      </c>
      <c r="N407" s="55"/>
      <c r="O407" s="55"/>
      <c r="P407" s="55"/>
      <c r="R407" s="57" t="str">
        <f t="shared" si="20"/>
        <v/>
      </c>
    </row>
    <row r="408" spans="2:18" ht="26.25" customHeight="1" x14ac:dyDescent="0.25">
      <c r="B408" s="49">
        <f t="shared" si="18"/>
        <v>0</v>
      </c>
      <c r="C408" s="50" t="str">
        <f t="array" ref="C408">IFERROR(INDEX('[1]REP DISEÑO'!$D$9:$D$1008,SMALL(IF('[1]REP DISEÑO'!$AW$9:$AW$1008=$J$1,ROW('[1]REP DISEÑO'!$N$9:$N$1008)-ROW('[1]REP DISEÑO'!$N$9),""),ROWS(C$14:C408))+1),"")</f>
        <v/>
      </c>
      <c r="D408" s="51" t="str">
        <f>IFERROR(INDEX('[1]REP DISEÑO'!$N$9:$N$1508,MATCH(C408,'[1]REP DISEÑO'!$D$9:$D$1508,0)),"")</f>
        <v/>
      </c>
      <c r="E408" s="51" t="str">
        <f>IFERROR(INDEX('[1]REP DISEÑO'!$G$9:$G$1508,MATCH(C408,'[1]REP DISEÑO'!$D$9:$D$1508,0)),"")</f>
        <v/>
      </c>
      <c r="F408" s="51" t="str">
        <f>IFERROR(INDEX('[1]REP DISEÑO'!$I$9:$I$1508,MATCH(C408,'[1]REP DISEÑO'!$D$9:$D$1508,0)),"")</f>
        <v/>
      </c>
      <c r="G408" s="51" t="str">
        <f>IFERROR(INDEX('[1]REP DISEÑO'!$M$9:$M$1508,MATCH(C408,'[1]REP DISEÑO'!$D$9:$D$1508,0)),"")</f>
        <v/>
      </c>
      <c r="H408" s="51" t="str">
        <f>IFERROR(INDEX('[1]REP DISEÑO'!$J$9:$J$1508,MATCH(C408,'[1]REP DISEÑO'!$D$9:$D$1508,0)),"")</f>
        <v/>
      </c>
      <c r="I408" s="52" t="str">
        <f>IFERROR(INDEX('[1]REP DISEÑO'!$C$9:$C$1508,MATCH(C408,'[1]REP DISEÑO'!$D$9:$D$1508,0)),"")</f>
        <v/>
      </c>
      <c r="J408" s="53" t="str">
        <f>IF(C408="","",IF(ISNUMBER(FIND("AMU",$C$14:$C$548)),1,(SUMIF('[1]REP PRODUCCIÓN'!$H$6:$H$1505,"*"&amp;C408&amp;"*",'[1]REP PRODUCCIÓN'!$E$6:$E$1505))))</f>
        <v/>
      </c>
      <c r="K408" s="53">
        <f t="shared" si="19"/>
        <v>0</v>
      </c>
      <c r="M408" s="54" t="str">
        <f>IFERROR(INDEX('[1]REP DISEÑO'!$BA$9:$BA$1008,MATCH('INDIC-DIS2'!C408,'[1]REP DISEÑO'!$D$9:$D$1008,0)),"")</f>
        <v/>
      </c>
      <c r="N408" s="55"/>
      <c r="O408" s="55"/>
      <c r="P408" s="55"/>
      <c r="R408" s="57" t="str">
        <f t="shared" si="20"/>
        <v/>
      </c>
    </row>
    <row r="409" spans="2:18" ht="26.25" customHeight="1" x14ac:dyDescent="0.25">
      <c r="B409" s="49">
        <f t="shared" si="18"/>
        <v>0</v>
      </c>
      <c r="C409" s="50" t="str">
        <f t="array" ref="C409">IFERROR(INDEX('[1]REP DISEÑO'!$D$9:$D$1008,SMALL(IF('[1]REP DISEÑO'!$AW$9:$AW$1008=$J$1,ROW('[1]REP DISEÑO'!$N$9:$N$1008)-ROW('[1]REP DISEÑO'!$N$9),""),ROWS(C$14:C409))+1),"")</f>
        <v/>
      </c>
      <c r="D409" s="51" t="str">
        <f>IFERROR(INDEX('[1]REP DISEÑO'!$N$9:$N$1508,MATCH(C409,'[1]REP DISEÑO'!$D$9:$D$1508,0)),"")</f>
        <v/>
      </c>
      <c r="E409" s="51" t="str">
        <f>IFERROR(INDEX('[1]REP DISEÑO'!$G$9:$G$1508,MATCH(C409,'[1]REP DISEÑO'!$D$9:$D$1508,0)),"")</f>
        <v/>
      </c>
      <c r="F409" s="51" t="str">
        <f>IFERROR(INDEX('[1]REP DISEÑO'!$I$9:$I$1508,MATCH(C409,'[1]REP DISEÑO'!$D$9:$D$1508,0)),"")</f>
        <v/>
      </c>
      <c r="G409" s="51" t="str">
        <f>IFERROR(INDEX('[1]REP DISEÑO'!$M$9:$M$1508,MATCH(C409,'[1]REP DISEÑO'!$D$9:$D$1508,0)),"")</f>
        <v/>
      </c>
      <c r="H409" s="51" t="str">
        <f>IFERROR(INDEX('[1]REP DISEÑO'!$J$9:$J$1508,MATCH(C409,'[1]REP DISEÑO'!$D$9:$D$1508,0)),"")</f>
        <v/>
      </c>
      <c r="I409" s="52" t="str">
        <f>IFERROR(INDEX('[1]REP DISEÑO'!$C$9:$C$1508,MATCH(C409,'[1]REP DISEÑO'!$D$9:$D$1508,0)),"")</f>
        <v/>
      </c>
      <c r="J409" s="53" t="str">
        <f>IF(C409="","",IF(ISNUMBER(FIND("AMU",$C$14:$C$548)),1,(SUMIF('[1]REP PRODUCCIÓN'!$H$6:$H$1505,"*"&amp;C409&amp;"*",'[1]REP PRODUCCIÓN'!$E$6:$E$1505))))</f>
        <v/>
      </c>
      <c r="K409" s="53">
        <f t="shared" si="19"/>
        <v>0</v>
      </c>
      <c r="M409" s="54" t="str">
        <f>IFERROR(INDEX('[1]REP DISEÑO'!$BA$9:$BA$1008,MATCH('INDIC-DIS2'!C409,'[1]REP DISEÑO'!$D$9:$D$1008,0)),"")</f>
        <v/>
      </c>
      <c r="N409" s="55"/>
      <c r="O409" s="55"/>
      <c r="P409" s="55"/>
      <c r="R409" s="57" t="str">
        <f t="shared" si="20"/>
        <v/>
      </c>
    </row>
    <row r="410" spans="2:18" ht="26.25" customHeight="1" x14ac:dyDescent="0.25">
      <c r="B410" s="49">
        <f t="shared" si="18"/>
        <v>0</v>
      </c>
      <c r="C410" s="50" t="str">
        <f t="array" ref="C410">IFERROR(INDEX('[1]REP DISEÑO'!$D$9:$D$1008,SMALL(IF('[1]REP DISEÑO'!$AW$9:$AW$1008=$J$1,ROW('[1]REP DISEÑO'!$N$9:$N$1008)-ROW('[1]REP DISEÑO'!$N$9),""),ROWS(C$14:C410))+1),"")</f>
        <v/>
      </c>
      <c r="D410" s="51" t="str">
        <f>IFERROR(INDEX('[1]REP DISEÑO'!$N$9:$N$1508,MATCH(C410,'[1]REP DISEÑO'!$D$9:$D$1508,0)),"")</f>
        <v/>
      </c>
      <c r="E410" s="51" t="str">
        <f>IFERROR(INDEX('[1]REP DISEÑO'!$G$9:$G$1508,MATCH(C410,'[1]REP DISEÑO'!$D$9:$D$1508,0)),"")</f>
        <v/>
      </c>
      <c r="F410" s="51" t="str">
        <f>IFERROR(INDEX('[1]REP DISEÑO'!$I$9:$I$1508,MATCH(C410,'[1]REP DISEÑO'!$D$9:$D$1508,0)),"")</f>
        <v/>
      </c>
      <c r="G410" s="51" t="str">
        <f>IFERROR(INDEX('[1]REP DISEÑO'!$M$9:$M$1508,MATCH(C410,'[1]REP DISEÑO'!$D$9:$D$1508,0)),"")</f>
        <v/>
      </c>
      <c r="H410" s="51" t="str">
        <f>IFERROR(INDEX('[1]REP DISEÑO'!$J$9:$J$1508,MATCH(C410,'[1]REP DISEÑO'!$D$9:$D$1508,0)),"")</f>
        <v/>
      </c>
      <c r="I410" s="52" t="str">
        <f>IFERROR(INDEX('[1]REP DISEÑO'!$C$9:$C$1508,MATCH(C410,'[1]REP DISEÑO'!$D$9:$D$1508,0)),"")</f>
        <v/>
      </c>
      <c r="J410" s="53" t="str">
        <f>IF(C410="","",IF(ISNUMBER(FIND("AMU",$C$14:$C$548)),1,(SUMIF('[1]REP PRODUCCIÓN'!$H$6:$H$1505,"*"&amp;C410&amp;"*",'[1]REP PRODUCCIÓN'!$E$6:$E$1505))))</f>
        <v/>
      </c>
      <c r="K410" s="53">
        <f t="shared" si="19"/>
        <v>0</v>
      </c>
      <c r="M410" s="54" t="str">
        <f>IFERROR(INDEX('[1]REP DISEÑO'!$BA$9:$BA$1008,MATCH('INDIC-DIS2'!C410,'[1]REP DISEÑO'!$D$9:$D$1008,0)),"")</f>
        <v/>
      </c>
      <c r="N410" s="55"/>
      <c r="O410" s="55"/>
      <c r="P410" s="55"/>
      <c r="R410" s="57" t="str">
        <f t="shared" si="20"/>
        <v/>
      </c>
    </row>
    <row r="411" spans="2:18" ht="26.25" customHeight="1" x14ac:dyDescent="0.25">
      <c r="B411" s="49">
        <f t="shared" si="18"/>
        <v>0</v>
      </c>
      <c r="C411" s="50" t="str">
        <f t="array" ref="C411">IFERROR(INDEX('[1]REP DISEÑO'!$D$9:$D$1008,SMALL(IF('[1]REP DISEÑO'!$AW$9:$AW$1008=$J$1,ROW('[1]REP DISEÑO'!$N$9:$N$1008)-ROW('[1]REP DISEÑO'!$N$9),""),ROWS(C$14:C411))+1),"")</f>
        <v/>
      </c>
      <c r="D411" s="51" t="str">
        <f>IFERROR(INDEX('[1]REP DISEÑO'!$N$9:$N$1508,MATCH(C411,'[1]REP DISEÑO'!$D$9:$D$1508,0)),"")</f>
        <v/>
      </c>
      <c r="E411" s="51" t="str">
        <f>IFERROR(INDEX('[1]REP DISEÑO'!$G$9:$G$1508,MATCH(C411,'[1]REP DISEÑO'!$D$9:$D$1508,0)),"")</f>
        <v/>
      </c>
      <c r="F411" s="51" t="str">
        <f>IFERROR(INDEX('[1]REP DISEÑO'!$I$9:$I$1508,MATCH(C411,'[1]REP DISEÑO'!$D$9:$D$1508,0)),"")</f>
        <v/>
      </c>
      <c r="G411" s="51" t="str">
        <f>IFERROR(INDEX('[1]REP DISEÑO'!$M$9:$M$1508,MATCH(C411,'[1]REP DISEÑO'!$D$9:$D$1508,0)),"")</f>
        <v/>
      </c>
      <c r="H411" s="51" t="str">
        <f>IFERROR(INDEX('[1]REP DISEÑO'!$J$9:$J$1508,MATCH(C411,'[1]REP DISEÑO'!$D$9:$D$1508,0)),"")</f>
        <v/>
      </c>
      <c r="I411" s="52" t="str">
        <f>IFERROR(INDEX('[1]REP DISEÑO'!$C$9:$C$1508,MATCH(C411,'[1]REP DISEÑO'!$D$9:$D$1508,0)),"")</f>
        <v/>
      </c>
      <c r="J411" s="53" t="str">
        <f>IF(C411="","",IF(ISNUMBER(FIND("AMU",$C$14:$C$548)),1,(SUMIF('[1]REP PRODUCCIÓN'!$H$6:$H$1505,"*"&amp;C411&amp;"*",'[1]REP PRODUCCIÓN'!$E$6:$E$1505))))</f>
        <v/>
      </c>
      <c r="K411" s="53">
        <f t="shared" si="19"/>
        <v>0</v>
      </c>
      <c r="M411" s="54" t="str">
        <f>IFERROR(INDEX('[1]REP DISEÑO'!$BA$9:$BA$1008,MATCH('INDIC-DIS2'!C411,'[1]REP DISEÑO'!$D$9:$D$1008,0)),"")</f>
        <v/>
      </c>
      <c r="N411" s="55"/>
      <c r="O411" s="55"/>
      <c r="P411" s="55"/>
      <c r="R411" s="57" t="str">
        <f t="shared" si="20"/>
        <v/>
      </c>
    </row>
    <row r="412" spans="2:18" ht="26.25" customHeight="1" x14ac:dyDescent="0.25">
      <c r="B412" s="49">
        <f t="shared" si="18"/>
        <v>0</v>
      </c>
      <c r="C412" s="50" t="str">
        <f t="array" ref="C412">IFERROR(INDEX('[1]REP DISEÑO'!$D$9:$D$1008,SMALL(IF('[1]REP DISEÑO'!$AW$9:$AW$1008=$J$1,ROW('[1]REP DISEÑO'!$N$9:$N$1008)-ROW('[1]REP DISEÑO'!$N$9),""),ROWS(C$14:C412))+1),"")</f>
        <v/>
      </c>
      <c r="D412" s="51" t="str">
        <f>IFERROR(INDEX('[1]REP DISEÑO'!$N$9:$N$1508,MATCH(C412,'[1]REP DISEÑO'!$D$9:$D$1508,0)),"")</f>
        <v/>
      </c>
      <c r="E412" s="51" t="str">
        <f>IFERROR(INDEX('[1]REP DISEÑO'!$G$9:$G$1508,MATCH(C412,'[1]REP DISEÑO'!$D$9:$D$1508,0)),"")</f>
        <v/>
      </c>
      <c r="F412" s="51" t="str">
        <f>IFERROR(INDEX('[1]REP DISEÑO'!$I$9:$I$1508,MATCH(C412,'[1]REP DISEÑO'!$D$9:$D$1508,0)),"")</f>
        <v/>
      </c>
      <c r="G412" s="51" t="str">
        <f>IFERROR(INDEX('[1]REP DISEÑO'!$M$9:$M$1508,MATCH(C412,'[1]REP DISEÑO'!$D$9:$D$1508,0)),"")</f>
        <v/>
      </c>
      <c r="H412" s="51" t="str">
        <f>IFERROR(INDEX('[1]REP DISEÑO'!$J$9:$J$1508,MATCH(C412,'[1]REP DISEÑO'!$D$9:$D$1508,0)),"")</f>
        <v/>
      </c>
      <c r="I412" s="52" t="str">
        <f>IFERROR(INDEX('[1]REP DISEÑO'!$C$9:$C$1508,MATCH(C412,'[1]REP DISEÑO'!$D$9:$D$1508,0)),"")</f>
        <v/>
      </c>
      <c r="J412" s="53" t="str">
        <f>IF(C412="","",IF(ISNUMBER(FIND("AMU",$C$14:$C$548)),1,(SUMIF('[1]REP PRODUCCIÓN'!$H$6:$H$1505,"*"&amp;C412&amp;"*",'[1]REP PRODUCCIÓN'!$E$6:$E$1505))))</f>
        <v/>
      </c>
      <c r="K412" s="53">
        <f t="shared" si="19"/>
        <v>0</v>
      </c>
      <c r="M412" s="54" t="str">
        <f>IFERROR(INDEX('[1]REP DISEÑO'!$BA$9:$BA$1008,MATCH('INDIC-DIS2'!C412,'[1]REP DISEÑO'!$D$9:$D$1008,0)),"")</f>
        <v/>
      </c>
      <c r="N412" s="55"/>
      <c r="O412" s="55"/>
      <c r="P412" s="55"/>
      <c r="R412" s="57" t="str">
        <f t="shared" si="20"/>
        <v/>
      </c>
    </row>
    <row r="413" spans="2:18" ht="26.25" customHeight="1" x14ac:dyDescent="0.25">
      <c r="B413" s="49">
        <f t="shared" si="18"/>
        <v>0</v>
      </c>
      <c r="C413" s="50" t="str">
        <f t="array" ref="C413">IFERROR(INDEX('[1]REP DISEÑO'!$D$9:$D$1008,SMALL(IF('[1]REP DISEÑO'!$AW$9:$AW$1008=$J$1,ROW('[1]REP DISEÑO'!$N$9:$N$1008)-ROW('[1]REP DISEÑO'!$N$9),""),ROWS(C$14:C413))+1),"")</f>
        <v/>
      </c>
      <c r="D413" s="51" t="str">
        <f>IFERROR(INDEX('[1]REP DISEÑO'!$N$9:$N$1508,MATCH(C413,'[1]REP DISEÑO'!$D$9:$D$1508,0)),"")</f>
        <v/>
      </c>
      <c r="E413" s="51" t="str">
        <f>IFERROR(INDEX('[1]REP DISEÑO'!$G$9:$G$1508,MATCH(C413,'[1]REP DISEÑO'!$D$9:$D$1508,0)),"")</f>
        <v/>
      </c>
      <c r="F413" s="51" t="str">
        <f>IFERROR(INDEX('[1]REP DISEÑO'!$I$9:$I$1508,MATCH(C413,'[1]REP DISEÑO'!$D$9:$D$1508,0)),"")</f>
        <v/>
      </c>
      <c r="G413" s="51" t="str">
        <f>IFERROR(INDEX('[1]REP DISEÑO'!$M$9:$M$1508,MATCH(C413,'[1]REP DISEÑO'!$D$9:$D$1508,0)),"")</f>
        <v/>
      </c>
      <c r="H413" s="51" t="str">
        <f>IFERROR(INDEX('[1]REP DISEÑO'!$J$9:$J$1508,MATCH(C413,'[1]REP DISEÑO'!$D$9:$D$1508,0)),"")</f>
        <v/>
      </c>
      <c r="I413" s="52" t="str">
        <f>IFERROR(INDEX('[1]REP DISEÑO'!$C$9:$C$1508,MATCH(C413,'[1]REP DISEÑO'!$D$9:$D$1508,0)),"")</f>
        <v/>
      </c>
      <c r="J413" s="53" t="str">
        <f>IF(C413="","",IF(ISNUMBER(FIND("AMU",$C$14:$C$548)),1,(SUMIF('[1]REP PRODUCCIÓN'!$H$6:$H$1505,"*"&amp;C413&amp;"*",'[1]REP PRODUCCIÓN'!$E$6:$E$1505))))</f>
        <v/>
      </c>
      <c r="K413" s="53">
        <f t="shared" si="19"/>
        <v>0</v>
      </c>
      <c r="M413" s="54" t="str">
        <f>IFERROR(INDEX('[1]REP DISEÑO'!$BA$9:$BA$1008,MATCH('INDIC-DIS2'!C413,'[1]REP DISEÑO'!$D$9:$D$1008,0)),"")</f>
        <v/>
      </c>
      <c r="N413" s="55"/>
      <c r="O413" s="55"/>
      <c r="P413" s="55"/>
      <c r="R413" s="57" t="str">
        <f t="shared" si="20"/>
        <v/>
      </c>
    </row>
    <row r="414" spans="2:18" ht="26.25" customHeight="1" x14ac:dyDescent="0.25">
      <c r="B414" s="49">
        <f t="shared" si="18"/>
        <v>0</v>
      </c>
      <c r="C414" s="50" t="str">
        <f t="array" ref="C414">IFERROR(INDEX('[1]REP DISEÑO'!$D$9:$D$1008,SMALL(IF('[1]REP DISEÑO'!$AW$9:$AW$1008=$J$1,ROW('[1]REP DISEÑO'!$N$9:$N$1008)-ROW('[1]REP DISEÑO'!$N$9),""),ROWS(C$14:C414))+1),"")</f>
        <v/>
      </c>
      <c r="D414" s="51" t="str">
        <f>IFERROR(INDEX('[1]REP DISEÑO'!$N$9:$N$1508,MATCH(C414,'[1]REP DISEÑO'!$D$9:$D$1508,0)),"")</f>
        <v/>
      </c>
      <c r="E414" s="51" t="str">
        <f>IFERROR(INDEX('[1]REP DISEÑO'!$G$9:$G$1508,MATCH(C414,'[1]REP DISEÑO'!$D$9:$D$1508,0)),"")</f>
        <v/>
      </c>
      <c r="F414" s="51" t="str">
        <f>IFERROR(INDEX('[1]REP DISEÑO'!$I$9:$I$1508,MATCH(C414,'[1]REP DISEÑO'!$D$9:$D$1508,0)),"")</f>
        <v/>
      </c>
      <c r="G414" s="51" t="str">
        <f>IFERROR(INDEX('[1]REP DISEÑO'!$M$9:$M$1508,MATCH(C414,'[1]REP DISEÑO'!$D$9:$D$1508,0)),"")</f>
        <v/>
      </c>
      <c r="H414" s="51" t="str">
        <f>IFERROR(INDEX('[1]REP DISEÑO'!$J$9:$J$1508,MATCH(C414,'[1]REP DISEÑO'!$D$9:$D$1508,0)),"")</f>
        <v/>
      </c>
      <c r="I414" s="52" t="str">
        <f>IFERROR(INDEX('[1]REP DISEÑO'!$C$9:$C$1508,MATCH(C414,'[1]REP DISEÑO'!$D$9:$D$1508,0)),"")</f>
        <v/>
      </c>
      <c r="J414" s="53" t="str">
        <f>IF(C414="","",IF(ISNUMBER(FIND("AMU",$C$14:$C$548)),1,(SUMIF('[1]REP PRODUCCIÓN'!$H$6:$H$1505,"*"&amp;C414&amp;"*",'[1]REP PRODUCCIÓN'!$E$6:$E$1505))))</f>
        <v/>
      </c>
      <c r="K414" s="53">
        <f t="shared" si="19"/>
        <v>0</v>
      </c>
      <c r="M414" s="54" t="str">
        <f>IFERROR(INDEX('[1]REP DISEÑO'!$BA$9:$BA$1008,MATCH('INDIC-DIS2'!C414,'[1]REP DISEÑO'!$D$9:$D$1008,0)),"")</f>
        <v/>
      </c>
      <c r="N414" s="55"/>
      <c r="O414" s="55"/>
      <c r="P414" s="55"/>
      <c r="R414" s="57" t="str">
        <f t="shared" si="20"/>
        <v/>
      </c>
    </row>
    <row r="415" spans="2:18" ht="26.25" customHeight="1" x14ac:dyDescent="0.25">
      <c r="B415" s="49">
        <f t="shared" si="18"/>
        <v>0</v>
      </c>
      <c r="C415" s="50" t="str">
        <f t="array" ref="C415">IFERROR(INDEX('[1]REP DISEÑO'!$D$9:$D$1008,SMALL(IF('[1]REP DISEÑO'!$AW$9:$AW$1008=$J$1,ROW('[1]REP DISEÑO'!$N$9:$N$1008)-ROW('[1]REP DISEÑO'!$N$9),""),ROWS(C$14:C415))+1),"")</f>
        <v/>
      </c>
      <c r="D415" s="51" t="str">
        <f>IFERROR(INDEX('[1]REP DISEÑO'!$N$9:$N$1508,MATCH(C415,'[1]REP DISEÑO'!$D$9:$D$1508,0)),"")</f>
        <v/>
      </c>
      <c r="E415" s="51" t="str">
        <f>IFERROR(INDEX('[1]REP DISEÑO'!$G$9:$G$1508,MATCH(C415,'[1]REP DISEÑO'!$D$9:$D$1508,0)),"")</f>
        <v/>
      </c>
      <c r="F415" s="51" t="str">
        <f>IFERROR(INDEX('[1]REP DISEÑO'!$I$9:$I$1508,MATCH(C415,'[1]REP DISEÑO'!$D$9:$D$1508,0)),"")</f>
        <v/>
      </c>
      <c r="G415" s="51" t="str">
        <f>IFERROR(INDEX('[1]REP DISEÑO'!$M$9:$M$1508,MATCH(C415,'[1]REP DISEÑO'!$D$9:$D$1508,0)),"")</f>
        <v/>
      </c>
      <c r="H415" s="51" t="str">
        <f>IFERROR(INDEX('[1]REP DISEÑO'!$J$9:$J$1508,MATCH(C415,'[1]REP DISEÑO'!$D$9:$D$1508,0)),"")</f>
        <v/>
      </c>
      <c r="I415" s="52" t="str">
        <f>IFERROR(INDEX('[1]REP DISEÑO'!$C$9:$C$1508,MATCH(C415,'[1]REP DISEÑO'!$D$9:$D$1508,0)),"")</f>
        <v/>
      </c>
      <c r="J415" s="53" t="str">
        <f>IF(C415="","",IF(ISNUMBER(FIND("AMU",$C$14:$C$548)),1,(SUMIF('[1]REP PRODUCCIÓN'!$H$6:$H$1505,"*"&amp;C415&amp;"*",'[1]REP PRODUCCIÓN'!$E$6:$E$1505))))</f>
        <v/>
      </c>
      <c r="K415" s="53">
        <f t="shared" si="19"/>
        <v>0</v>
      </c>
      <c r="M415" s="54" t="str">
        <f>IFERROR(INDEX('[1]REP DISEÑO'!$BA$9:$BA$1008,MATCH('INDIC-DIS2'!C415,'[1]REP DISEÑO'!$D$9:$D$1008,0)),"")</f>
        <v/>
      </c>
      <c r="N415" s="55"/>
      <c r="O415" s="55"/>
      <c r="P415" s="55"/>
      <c r="R415" s="57" t="str">
        <f t="shared" si="20"/>
        <v/>
      </c>
    </row>
    <row r="416" spans="2:18" ht="26.25" customHeight="1" x14ac:dyDescent="0.25">
      <c r="B416" s="49">
        <f t="shared" si="18"/>
        <v>0</v>
      </c>
      <c r="C416" s="50" t="str">
        <f t="array" ref="C416">IFERROR(INDEX('[1]REP DISEÑO'!$D$9:$D$1008,SMALL(IF('[1]REP DISEÑO'!$AW$9:$AW$1008=$J$1,ROW('[1]REP DISEÑO'!$N$9:$N$1008)-ROW('[1]REP DISEÑO'!$N$9),""),ROWS(C$14:C416))+1),"")</f>
        <v/>
      </c>
      <c r="D416" s="51" t="str">
        <f>IFERROR(INDEX('[1]REP DISEÑO'!$N$9:$N$1508,MATCH(C416,'[1]REP DISEÑO'!$D$9:$D$1508,0)),"")</f>
        <v/>
      </c>
      <c r="E416" s="51" t="str">
        <f>IFERROR(INDEX('[1]REP DISEÑO'!$G$9:$G$1508,MATCH(C416,'[1]REP DISEÑO'!$D$9:$D$1508,0)),"")</f>
        <v/>
      </c>
      <c r="F416" s="51" t="str">
        <f>IFERROR(INDEX('[1]REP DISEÑO'!$I$9:$I$1508,MATCH(C416,'[1]REP DISEÑO'!$D$9:$D$1508,0)),"")</f>
        <v/>
      </c>
      <c r="G416" s="51" t="str">
        <f>IFERROR(INDEX('[1]REP DISEÑO'!$M$9:$M$1508,MATCH(C416,'[1]REP DISEÑO'!$D$9:$D$1508,0)),"")</f>
        <v/>
      </c>
      <c r="H416" s="51" t="str">
        <f>IFERROR(INDEX('[1]REP DISEÑO'!$J$9:$J$1508,MATCH(C416,'[1]REP DISEÑO'!$D$9:$D$1508,0)),"")</f>
        <v/>
      </c>
      <c r="I416" s="52" t="str">
        <f>IFERROR(INDEX('[1]REP DISEÑO'!$C$9:$C$1508,MATCH(C416,'[1]REP DISEÑO'!$D$9:$D$1508,0)),"")</f>
        <v/>
      </c>
      <c r="J416" s="53" t="str">
        <f>IF(C416="","",IF(ISNUMBER(FIND("AMU",$C$14:$C$548)),1,(SUMIF('[1]REP PRODUCCIÓN'!$H$6:$H$1505,"*"&amp;C416&amp;"*",'[1]REP PRODUCCIÓN'!$E$6:$E$1505))))</f>
        <v/>
      </c>
      <c r="K416" s="53">
        <f t="shared" si="19"/>
        <v>0</v>
      </c>
      <c r="M416" s="54" t="str">
        <f>IFERROR(INDEX('[1]REP DISEÑO'!$BA$9:$BA$1008,MATCH('INDIC-DIS2'!C416,'[1]REP DISEÑO'!$D$9:$D$1008,0)),"")</f>
        <v/>
      </c>
      <c r="N416" s="55"/>
      <c r="O416" s="55"/>
      <c r="P416" s="55"/>
      <c r="R416" s="57" t="str">
        <f t="shared" si="20"/>
        <v/>
      </c>
    </row>
    <row r="417" spans="2:18" ht="26.25" customHeight="1" x14ac:dyDescent="0.25">
      <c r="B417" s="49">
        <f t="shared" si="18"/>
        <v>0</v>
      </c>
      <c r="C417" s="50" t="str">
        <f t="array" ref="C417">IFERROR(INDEX('[1]REP DISEÑO'!$D$9:$D$1008,SMALL(IF('[1]REP DISEÑO'!$AW$9:$AW$1008=$J$1,ROW('[1]REP DISEÑO'!$N$9:$N$1008)-ROW('[1]REP DISEÑO'!$N$9),""),ROWS(C$14:C417))+1),"")</f>
        <v/>
      </c>
      <c r="D417" s="51" t="str">
        <f>IFERROR(INDEX('[1]REP DISEÑO'!$N$9:$N$1508,MATCH(C417,'[1]REP DISEÑO'!$D$9:$D$1508,0)),"")</f>
        <v/>
      </c>
      <c r="E417" s="51" t="str">
        <f>IFERROR(INDEX('[1]REP DISEÑO'!$G$9:$G$1508,MATCH(C417,'[1]REP DISEÑO'!$D$9:$D$1508,0)),"")</f>
        <v/>
      </c>
      <c r="F417" s="51" t="str">
        <f>IFERROR(INDEX('[1]REP DISEÑO'!$I$9:$I$1508,MATCH(C417,'[1]REP DISEÑO'!$D$9:$D$1508,0)),"")</f>
        <v/>
      </c>
      <c r="G417" s="51" t="str">
        <f>IFERROR(INDEX('[1]REP DISEÑO'!$M$9:$M$1508,MATCH(C417,'[1]REP DISEÑO'!$D$9:$D$1508,0)),"")</f>
        <v/>
      </c>
      <c r="H417" s="51" t="str">
        <f>IFERROR(INDEX('[1]REP DISEÑO'!$J$9:$J$1508,MATCH(C417,'[1]REP DISEÑO'!$D$9:$D$1508,0)),"")</f>
        <v/>
      </c>
      <c r="I417" s="52" t="str">
        <f>IFERROR(INDEX('[1]REP DISEÑO'!$C$9:$C$1508,MATCH(C417,'[1]REP DISEÑO'!$D$9:$D$1508,0)),"")</f>
        <v/>
      </c>
      <c r="J417" s="53" t="str">
        <f>IF(C417="","",IF(ISNUMBER(FIND("AMU",$C$14:$C$548)),1,(SUMIF('[1]REP PRODUCCIÓN'!$H$6:$H$1505,"*"&amp;C417&amp;"*",'[1]REP PRODUCCIÓN'!$E$6:$E$1505))))</f>
        <v/>
      </c>
      <c r="K417" s="53">
        <f t="shared" si="19"/>
        <v>0</v>
      </c>
      <c r="M417" s="54" t="str">
        <f>IFERROR(INDEX('[1]REP DISEÑO'!$BA$9:$BA$1008,MATCH('INDIC-DIS2'!C417,'[1]REP DISEÑO'!$D$9:$D$1008,0)),"")</f>
        <v/>
      </c>
      <c r="N417" s="55"/>
      <c r="O417" s="55"/>
      <c r="P417" s="55"/>
      <c r="R417" s="57" t="str">
        <f t="shared" si="20"/>
        <v/>
      </c>
    </row>
    <row r="418" spans="2:18" ht="26.25" customHeight="1" x14ac:dyDescent="0.25">
      <c r="B418" s="49">
        <f t="shared" si="18"/>
        <v>0</v>
      </c>
      <c r="C418" s="50" t="str">
        <f t="array" ref="C418">IFERROR(INDEX('[1]REP DISEÑO'!$D$9:$D$1008,SMALL(IF('[1]REP DISEÑO'!$AW$9:$AW$1008=$J$1,ROW('[1]REP DISEÑO'!$N$9:$N$1008)-ROW('[1]REP DISEÑO'!$N$9),""),ROWS(C$14:C418))+1),"")</f>
        <v/>
      </c>
      <c r="D418" s="51" t="str">
        <f>IFERROR(INDEX('[1]REP DISEÑO'!$N$9:$N$1508,MATCH(C418,'[1]REP DISEÑO'!$D$9:$D$1508,0)),"")</f>
        <v/>
      </c>
      <c r="E418" s="51" t="str">
        <f>IFERROR(INDEX('[1]REP DISEÑO'!$G$9:$G$1508,MATCH(C418,'[1]REP DISEÑO'!$D$9:$D$1508,0)),"")</f>
        <v/>
      </c>
      <c r="F418" s="51" t="str">
        <f>IFERROR(INDEX('[1]REP DISEÑO'!$I$9:$I$1508,MATCH(C418,'[1]REP DISEÑO'!$D$9:$D$1508,0)),"")</f>
        <v/>
      </c>
      <c r="G418" s="51" t="str">
        <f>IFERROR(INDEX('[1]REP DISEÑO'!$M$9:$M$1508,MATCH(C418,'[1]REP DISEÑO'!$D$9:$D$1508,0)),"")</f>
        <v/>
      </c>
      <c r="H418" s="51" t="str">
        <f>IFERROR(INDEX('[1]REP DISEÑO'!$J$9:$J$1508,MATCH(C418,'[1]REP DISEÑO'!$D$9:$D$1508,0)),"")</f>
        <v/>
      </c>
      <c r="I418" s="52" t="str">
        <f>IFERROR(INDEX('[1]REP DISEÑO'!$C$9:$C$1508,MATCH(C418,'[1]REP DISEÑO'!$D$9:$D$1508,0)),"")</f>
        <v/>
      </c>
      <c r="J418" s="53" t="str">
        <f>IF(C418="","",IF(ISNUMBER(FIND("AMU",$C$14:$C$548)),1,(SUMIF('[1]REP PRODUCCIÓN'!$H$6:$H$1505,"*"&amp;C418&amp;"*",'[1]REP PRODUCCIÓN'!$E$6:$E$1505))))</f>
        <v/>
      </c>
      <c r="K418" s="53">
        <f t="shared" si="19"/>
        <v>0</v>
      </c>
      <c r="M418" s="54" t="str">
        <f>IFERROR(INDEX('[1]REP DISEÑO'!$BA$9:$BA$1008,MATCH('INDIC-DIS2'!C418,'[1]REP DISEÑO'!$D$9:$D$1008,0)),"")</f>
        <v/>
      </c>
      <c r="N418" s="55"/>
      <c r="O418" s="55"/>
      <c r="P418" s="55"/>
      <c r="R418" s="57" t="str">
        <f t="shared" si="20"/>
        <v/>
      </c>
    </row>
    <row r="419" spans="2:18" ht="26.25" customHeight="1" x14ac:dyDescent="0.25">
      <c r="B419" s="49">
        <f t="shared" si="18"/>
        <v>0</v>
      </c>
      <c r="C419" s="50" t="str">
        <f t="array" ref="C419">IFERROR(INDEX('[1]REP DISEÑO'!$D$9:$D$1008,SMALL(IF('[1]REP DISEÑO'!$AW$9:$AW$1008=$J$1,ROW('[1]REP DISEÑO'!$N$9:$N$1008)-ROW('[1]REP DISEÑO'!$N$9),""),ROWS(C$14:C419))+1),"")</f>
        <v/>
      </c>
      <c r="D419" s="51" t="str">
        <f>IFERROR(INDEX('[1]REP DISEÑO'!$N$9:$N$1508,MATCH(C419,'[1]REP DISEÑO'!$D$9:$D$1508,0)),"")</f>
        <v/>
      </c>
      <c r="E419" s="51" t="str">
        <f>IFERROR(INDEX('[1]REP DISEÑO'!$G$9:$G$1508,MATCH(C419,'[1]REP DISEÑO'!$D$9:$D$1508,0)),"")</f>
        <v/>
      </c>
      <c r="F419" s="51" t="str">
        <f>IFERROR(INDEX('[1]REP DISEÑO'!$I$9:$I$1508,MATCH(C419,'[1]REP DISEÑO'!$D$9:$D$1508,0)),"")</f>
        <v/>
      </c>
      <c r="G419" s="51" t="str">
        <f>IFERROR(INDEX('[1]REP DISEÑO'!$M$9:$M$1508,MATCH(C419,'[1]REP DISEÑO'!$D$9:$D$1508,0)),"")</f>
        <v/>
      </c>
      <c r="H419" s="51" t="str">
        <f>IFERROR(INDEX('[1]REP DISEÑO'!$J$9:$J$1508,MATCH(C419,'[1]REP DISEÑO'!$D$9:$D$1508,0)),"")</f>
        <v/>
      </c>
      <c r="I419" s="52" t="str">
        <f>IFERROR(INDEX('[1]REP DISEÑO'!$C$9:$C$1508,MATCH(C419,'[1]REP DISEÑO'!$D$9:$D$1508,0)),"")</f>
        <v/>
      </c>
      <c r="J419" s="53" t="str">
        <f>IF(C419="","",IF(ISNUMBER(FIND("AMU",$C$14:$C$548)),1,(SUMIF('[1]REP PRODUCCIÓN'!$H$6:$H$1505,"*"&amp;C419&amp;"*",'[1]REP PRODUCCIÓN'!$E$6:$E$1505))))</f>
        <v/>
      </c>
      <c r="K419" s="53">
        <f t="shared" si="19"/>
        <v>0</v>
      </c>
      <c r="M419" s="54" t="str">
        <f>IFERROR(INDEX('[1]REP DISEÑO'!$BA$9:$BA$1008,MATCH('INDIC-DIS2'!C419,'[1]REP DISEÑO'!$D$9:$D$1008,0)),"")</f>
        <v/>
      </c>
      <c r="N419" s="55"/>
      <c r="O419" s="55"/>
      <c r="P419" s="55"/>
      <c r="R419" s="57" t="str">
        <f t="shared" si="20"/>
        <v/>
      </c>
    </row>
    <row r="420" spans="2:18" ht="26.25" customHeight="1" x14ac:dyDescent="0.25">
      <c r="B420" s="49">
        <f t="shared" si="18"/>
        <v>0</v>
      </c>
      <c r="C420" s="50" t="str">
        <f t="array" ref="C420">IFERROR(INDEX('[1]REP DISEÑO'!$D$9:$D$1008,SMALL(IF('[1]REP DISEÑO'!$AW$9:$AW$1008=$J$1,ROW('[1]REP DISEÑO'!$N$9:$N$1008)-ROW('[1]REP DISEÑO'!$N$9),""),ROWS(C$14:C420))+1),"")</f>
        <v/>
      </c>
      <c r="D420" s="51" t="str">
        <f>IFERROR(INDEX('[1]REP DISEÑO'!$N$9:$N$1508,MATCH(C420,'[1]REP DISEÑO'!$D$9:$D$1508,0)),"")</f>
        <v/>
      </c>
      <c r="E420" s="51" t="str">
        <f>IFERROR(INDEX('[1]REP DISEÑO'!$G$9:$G$1508,MATCH(C420,'[1]REP DISEÑO'!$D$9:$D$1508,0)),"")</f>
        <v/>
      </c>
      <c r="F420" s="51" t="str">
        <f>IFERROR(INDEX('[1]REP DISEÑO'!$I$9:$I$1508,MATCH(C420,'[1]REP DISEÑO'!$D$9:$D$1508,0)),"")</f>
        <v/>
      </c>
      <c r="G420" s="51" t="str">
        <f>IFERROR(INDEX('[1]REP DISEÑO'!$M$9:$M$1508,MATCH(C420,'[1]REP DISEÑO'!$D$9:$D$1508,0)),"")</f>
        <v/>
      </c>
      <c r="H420" s="51" t="str">
        <f>IFERROR(INDEX('[1]REP DISEÑO'!$J$9:$J$1508,MATCH(C420,'[1]REP DISEÑO'!$D$9:$D$1508,0)),"")</f>
        <v/>
      </c>
      <c r="I420" s="52" t="str">
        <f>IFERROR(INDEX('[1]REP DISEÑO'!$C$9:$C$1508,MATCH(C420,'[1]REP DISEÑO'!$D$9:$D$1508,0)),"")</f>
        <v/>
      </c>
      <c r="J420" s="53" t="str">
        <f>IF(C420="","",IF(ISNUMBER(FIND("AMU",$C$14:$C$548)),1,(SUMIF('[1]REP PRODUCCIÓN'!$H$6:$H$1505,"*"&amp;C420&amp;"*",'[1]REP PRODUCCIÓN'!$E$6:$E$1505))))</f>
        <v/>
      </c>
      <c r="K420" s="53">
        <f t="shared" si="19"/>
        <v>0</v>
      </c>
      <c r="M420" s="54" t="str">
        <f>IFERROR(INDEX('[1]REP DISEÑO'!$BA$9:$BA$1008,MATCH('INDIC-DIS2'!C420,'[1]REP DISEÑO'!$D$9:$D$1008,0)),"")</f>
        <v/>
      </c>
      <c r="N420" s="55"/>
      <c r="O420" s="55"/>
      <c r="P420" s="55"/>
      <c r="R420" s="57" t="str">
        <f t="shared" si="20"/>
        <v/>
      </c>
    </row>
    <row r="421" spans="2:18" ht="26.25" customHeight="1" x14ac:dyDescent="0.25">
      <c r="B421" s="49">
        <f t="shared" si="18"/>
        <v>0</v>
      </c>
      <c r="C421" s="50" t="str">
        <f t="array" ref="C421">IFERROR(INDEX('[1]REP DISEÑO'!$D$9:$D$1008,SMALL(IF('[1]REP DISEÑO'!$AW$9:$AW$1008=$J$1,ROW('[1]REP DISEÑO'!$N$9:$N$1008)-ROW('[1]REP DISEÑO'!$N$9),""),ROWS(C$14:C421))+1),"")</f>
        <v/>
      </c>
      <c r="D421" s="51" t="str">
        <f>IFERROR(INDEX('[1]REP DISEÑO'!$N$9:$N$1508,MATCH(C421,'[1]REP DISEÑO'!$D$9:$D$1508,0)),"")</f>
        <v/>
      </c>
      <c r="E421" s="51" t="str">
        <f>IFERROR(INDEX('[1]REP DISEÑO'!$G$9:$G$1508,MATCH(C421,'[1]REP DISEÑO'!$D$9:$D$1508,0)),"")</f>
        <v/>
      </c>
      <c r="F421" s="51" t="str">
        <f>IFERROR(INDEX('[1]REP DISEÑO'!$I$9:$I$1508,MATCH(C421,'[1]REP DISEÑO'!$D$9:$D$1508,0)),"")</f>
        <v/>
      </c>
      <c r="G421" s="51" t="str">
        <f>IFERROR(INDEX('[1]REP DISEÑO'!$M$9:$M$1508,MATCH(C421,'[1]REP DISEÑO'!$D$9:$D$1508,0)),"")</f>
        <v/>
      </c>
      <c r="H421" s="51" t="str">
        <f>IFERROR(INDEX('[1]REP DISEÑO'!$J$9:$J$1508,MATCH(C421,'[1]REP DISEÑO'!$D$9:$D$1508,0)),"")</f>
        <v/>
      </c>
      <c r="I421" s="52" t="str">
        <f>IFERROR(INDEX('[1]REP DISEÑO'!$C$9:$C$1508,MATCH(C421,'[1]REP DISEÑO'!$D$9:$D$1508,0)),"")</f>
        <v/>
      </c>
      <c r="J421" s="53" t="str">
        <f>IF(C421="","",IF(ISNUMBER(FIND("AMU",$C$14:$C$548)),1,(SUMIF('[1]REP PRODUCCIÓN'!$H$6:$H$1505,"*"&amp;C421&amp;"*",'[1]REP PRODUCCIÓN'!$E$6:$E$1505))))</f>
        <v/>
      </c>
      <c r="K421" s="53">
        <f t="shared" si="19"/>
        <v>0</v>
      </c>
      <c r="M421" s="54" t="str">
        <f>IFERROR(INDEX('[1]REP DISEÑO'!$BA$9:$BA$1008,MATCH('INDIC-DIS2'!C421,'[1]REP DISEÑO'!$D$9:$D$1008,0)),"")</f>
        <v/>
      </c>
      <c r="N421" s="55"/>
      <c r="O421" s="55"/>
      <c r="P421" s="55"/>
      <c r="R421" s="57" t="str">
        <f t="shared" si="20"/>
        <v/>
      </c>
    </row>
    <row r="422" spans="2:18" ht="26.25" customHeight="1" x14ac:dyDescent="0.25">
      <c r="B422" s="49">
        <f t="shared" si="18"/>
        <v>0</v>
      </c>
      <c r="C422" s="50" t="str">
        <f t="array" ref="C422">IFERROR(INDEX('[1]REP DISEÑO'!$D$9:$D$1008,SMALL(IF('[1]REP DISEÑO'!$AW$9:$AW$1008=$J$1,ROW('[1]REP DISEÑO'!$N$9:$N$1008)-ROW('[1]REP DISEÑO'!$N$9),""),ROWS(C$14:C422))+1),"")</f>
        <v/>
      </c>
      <c r="D422" s="51" t="str">
        <f>IFERROR(INDEX('[1]REP DISEÑO'!$N$9:$N$1508,MATCH(C422,'[1]REP DISEÑO'!$D$9:$D$1508,0)),"")</f>
        <v/>
      </c>
      <c r="E422" s="51" t="str">
        <f>IFERROR(INDEX('[1]REP DISEÑO'!$G$9:$G$1508,MATCH(C422,'[1]REP DISEÑO'!$D$9:$D$1508,0)),"")</f>
        <v/>
      </c>
      <c r="F422" s="51" t="str">
        <f>IFERROR(INDEX('[1]REP DISEÑO'!$I$9:$I$1508,MATCH(C422,'[1]REP DISEÑO'!$D$9:$D$1508,0)),"")</f>
        <v/>
      </c>
      <c r="G422" s="51" t="str">
        <f>IFERROR(INDEX('[1]REP DISEÑO'!$M$9:$M$1508,MATCH(C422,'[1]REP DISEÑO'!$D$9:$D$1508,0)),"")</f>
        <v/>
      </c>
      <c r="H422" s="51" t="str">
        <f>IFERROR(INDEX('[1]REP DISEÑO'!$J$9:$J$1508,MATCH(C422,'[1]REP DISEÑO'!$D$9:$D$1508,0)),"")</f>
        <v/>
      </c>
      <c r="I422" s="52" t="str">
        <f>IFERROR(INDEX('[1]REP DISEÑO'!$C$9:$C$1508,MATCH(C422,'[1]REP DISEÑO'!$D$9:$D$1508,0)),"")</f>
        <v/>
      </c>
      <c r="J422" s="53" t="str">
        <f>IF(C422="","",IF(ISNUMBER(FIND("AMU",$C$14:$C$548)),1,(SUMIF('[1]REP PRODUCCIÓN'!$H$6:$H$1505,"*"&amp;C422&amp;"*",'[1]REP PRODUCCIÓN'!$E$6:$E$1505))))</f>
        <v/>
      </c>
      <c r="K422" s="53">
        <f t="shared" si="19"/>
        <v>0</v>
      </c>
      <c r="M422" s="54" t="str">
        <f>IFERROR(INDEX('[1]REP DISEÑO'!$BA$9:$BA$1008,MATCH('INDIC-DIS2'!C422,'[1]REP DISEÑO'!$D$9:$D$1008,0)),"")</f>
        <v/>
      </c>
      <c r="N422" s="55"/>
      <c r="O422" s="55"/>
      <c r="P422" s="55"/>
      <c r="R422" s="57" t="str">
        <f t="shared" si="20"/>
        <v/>
      </c>
    </row>
    <row r="423" spans="2:18" ht="26.25" customHeight="1" x14ac:dyDescent="0.25">
      <c r="B423" s="49">
        <f t="shared" si="18"/>
        <v>0</v>
      </c>
      <c r="C423" s="50" t="str">
        <f t="array" ref="C423">IFERROR(INDEX('[1]REP DISEÑO'!$D$9:$D$1008,SMALL(IF('[1]REP DISEÑO'!$AW$9:$AW$1008=$J$1,ROW('[1]REP DISEÑO'!$N$9:$N$1008)-ROW('[1]REP DISEÑO'!$N$9),""),ROWS(C$14:C423))+1),"")</f>
        <v/>
      </c>
      <c r="D423" s="51" t="str">
        <f>IFERROR(INDEX('[1]REP DISEÑO'!$N$9:$N$1508,MATCH(C423,'[1]REP DISEÑO'!$D$9:$D$1508,0)),"")</f>
        <v/>
      </c>
      <c r="E423" s="51" t="str">
        <f>IFERROR(INDEX('[1]REP DISEÑO'!$G$9:$G$1508,MATCH(C423,'[1]REP DISEÑO'!$D$9:$D$1508,0)),"")</f>
        <v/>
      </c>
      <c r="F423" s="51" t="str">
        <f>IFERROR(INDEX('[1]REP DISEÑO'!$I$9:$I$1508,MATCH(C423,'[1]REP DISEÑO'!$D$9:$D$1508,0)),"")</f>
        <v/>
      </c>
      <c r="G423" s="51" t="str">
        <f>IFERROR(INDEX('[1]REP DISEÑO'!$M$9:$M$1508,MATCH(C423,'[1]REP DISEÑO'!$D$9:$D$1508,0)),"")</f>
        <v/>
      </c>
      <c r="H423" s="51" t="str">
        <f>IFERROR(INDEX('[1]REP DISEÑO'!$J$9:$J$1508,MATCH(C423,'[1]REP DISEÑO'!$D$9:$D$1508,0)),"")</f>
        <v/>
      </c>
      <c r="I423" s="52" t="str">
        <f>IFERROR(INDEX('[1]REP DISEÑO'!$C$9:$C$1508,MATCH(C423,'[1]REP DISEÑO'!$D$9:$D$1508,0)),"")</f>
        <v/>
      </c>
      <c r="J423" s="53" t="str">
        <f>IF(C423="","",IF(ISNUMBER(FIND("AMU",$C$14:$C$548)),1,(SUMIF('[1]REP PRODUCCIÓN'!$H$6:$H$1505,"*"&amp;C423&amp;"*",'[1]REP PRODUCCIÓN'!$E$6:$E$1505))))</f>
        <v/>
      </c>
      <c r="K423" s="53">
        <f t="shared" si="19"/>
        <v>0</v>
      </c>
      <c r="M423" s="54" t="str">
        <f>IFERROR(INDEX('[1]REP DISEÑO'!$BA$9:$BA$1008,MATCH('INDIC-DIS2'!C423,'[1]REP DISEÑO'!$D$9:$D$1008,0)),"")</f>
        <v/>
      </c>
      <c r="N423" s="55"/>
      <c r="O423" s="55"/>
      <c r="P423" s="55"/>
      <c r="R423" s="57" t="str">
        <f t="shared" si="20"/>
        <v/>
      </c>
    </row>
    <row r="424" spans="2:18" ht="26.25" customHeight="1" x14ac:dyDescent="0.25">
      <c r="B424" s="49">
        <f t="shared" si="18"/>
        <v>0</v>
      </c>
      <c r="C424" s="50" t="str">
        <f t="array" ref="C424">IFERROR(INDEX('[1]REP DISEÑO'!$D$9:$D$1008,SMALL(IF('[1]REP DISEÑO'!$AW$9:$AW$1008=$J$1,ROW('[1]REP DISEÑO'!$N$9:$N$1008)-ROW('[1]REP DISEÑO'!$N$9),""),ROWS(C$14:C424))+1),"")</f>
        <v/>
      </c>
      <c r="D424" s="51" t="str">
        <f>IFERROR(INDEX('[1]REP DISEÑO'!$N$9:$N$1508,MATCH(C424,'[1]REP DISEÑO'!$D$9:$D$1508,0)),"")</f>
        <v/>
      </c>
      <c r="E424" s="51" t="str">
        <f>IFERROR(INDEX('[1]REP DISEÑO'!$G$9:$G$1508,MATCH(C424,'[1]REP DISEÑO'!$D$9:$D$1508,0)),"")</f>
        <v/>
      </c>
      <c r="F424" s="51" t="str">
        <f>IFERROR(INDEX('[1]REP DISEÑO'!$I$9:$I$1508,MATCH(C424,'[1]REP DISEÑO'!$D$9:$D$1508,0)),"")</f>
        <v/>
      </c>
      <c r="G424" s="51" t="str">
        <f>IFERROR(INDEX('[1]REP DISEÑO'!$M$9:$M$1508,MATCH(C424,'[1]REP DISEÑO'!$D$9:$D$1508,0)),"")</f>
        <v/>
      </c>
      <c r="H424" s="51" t="str">
        <f>IFERROR(INDEX('[1]REP DISEÑO'!$J$9:$J$1508,MATCH(C424,'[1]REP DISEÑO'!$D$9:$D$1508,0)),"")</f>
        <v/>
      </c>
      <c r="I424" s="52" t="str">
        <f>IFERROR(INDEX('[1]REP DISEÑO'!$C$9:$C$1508,MATCH(C424,'[1]REP DISEÑO'!$D$9:$D$1508,0)),"")</f>
        <v/>
      </c>
      <c r="J424" s="53" t="str">
        <f>IF(C424="","",IF(ISNUMBER(FIND("AMU",$C$14:$C$548)),1,(SUMIF('[1]REP PRODUCCIÓN'!$H$6:$H$1505,"*"&amp;C424&amp;"*",'[1]REP PRODUCCIÓN'!$E$6:$E$1505))))</f>
        <v/>
      </c>
      <c r="K424" s="53">
        <f t="shared" si="19"/>
        <v>0</v>
      </c>
      <c r="M424" s="54" t="str">
        <f>IFERROR(INDEX('[1]REP DISEÑO'!$BA$9:$BA$1008,MATCH('INDIC-DIS2'!C424,'[1]REP DISEÑO'!$D$9:$D$1008,0)),"")</f>
        <v/>
      </c>
      <c r="N424" s="55"/>
      <c r="O424" s="55"/>
      <c r="P424" s="55"/>
      <c r="R424" s="57" t="str">
        <f t="shared" si="20"/>
        <v/>
      </c>
    </row>
    <row r="425" spans="2:18" ht="26.25" customHeight="1" x14ac:dyDescent="0.25">
      <c r="B425" s="49">
        <f t="shared" si="18"/>
        <v>0</v>
      </c>
      <c r="C425" s="50" t="str">
        <f t="array" ref="C425">IFERROR(INDEX('[1]REP DISEÑO'!$D$9:$D$1008,SMALL(IF('[1]REP DISEÑO'!$AW$9:$AW$1008=$J$1,ROW('[1]REP DISEÑO'!$N$9:$N$1008)-ROW('[1]REP DISEÑO'!$N$9),""),ROWS(C$14:C425))+1),"")</f>
        <v/>
      </c>
      <c r="D425" s="51" t="str">
        <f>IFERROR(INDEX('[1]REP DISEÑO'!$N$9:$N$1508,MATCH(C425,'[1]REP DISEÑO'!$D$9:$D$1508,0)),"")</f>
        <v/>
      </c>
      <c r="E425" s="51" t="str">
        <f>IFERROR(INDEX('[1]REP DISEÑO'!$G$9:$G$1508,MATCH(C425,'[1]REP DISEÑO'!$D$9:$D$1508,0)),"")</f>
        <v/>
      </c>
      <c r="F425" s="51" t="str">
        <f>IFERROR(INDEX('[1]REP DISEÑO'!$I$9:$I$1508,MATCH(C425,'[1]REP DISEÑO'!$D$9:$D$1508,0)),"")</f>
        <v/>
      </c>
      <c r="G425" s="51" t="str">
        <f>IFERROR(INDEX('[1]REP DISEÑO'!$M$9:$M$1508,MATCH(C425,'[1]REP DISEÑO'!$D$9:$D$1508,0)),"")</f>
        <v/>
      </c>
      <c r="H425" s="51" t="str">
        <f>IFERROR(INDEX('[1]REP DISEÑO'!$J$9:$J$1508,MATCH(C425,'[1]REP DISEÑO'!$D$9:$D$1508,0)),"")</f>
        <v/>
      </c>
      <c r="I425" s="52" t="str">
        <f>IFERROR(INDEX('[1]REP DISEÑO'!$C$9:$C$1508,MATCH(C425,'[1]REP DISEÑO'!$D$9:$D$1508,0)),"")</f>
        <v/>
      </c>
      <c r="J425" s="53" t="str">
        <f>IF(C425="","",IF(ISNUMBER(FIND("AMU",$C$14:$C$548)),1,(SUMIF('[1]REP PRODUCCIÓN'!$H$6:$H$1505,"*"&amp;C425&amp;"*",'[1]REP PRODUCCIÓN'!$E$6:$E$1505))))</f>
        <v/>
      </c>
      <c r="K425" s="53">
        <f t="shared" si="19"/>
        <v>0</v>
      </c>
      <c r="M425" s="54" t="str">
        <f>IFERROR(INDEX('[1]REP DISEÑO'!$BA$9:$BA$1008,MATCH('INDIC-DIS2'!C425,'[1]REP DISEÑO'!$D$9:$D$1008,0)),"")</f>
        <v/>
      </c>
      <c r="N425" s="55"/>
      <c r="O425" s="55"/>
      <c r="P425" s="55"/>
      <c r="R425" s="57" t="str">
        <f t="shared" si="20"/>
        <v/>
      </c>
    </row>
    <row r="426" spans="2:18" ht="26.25" customHeight="1" x14ac:dyDescent="0.25">
      <c r="B426" s="49">
        <f t="shared" si="18"/>
        <v>0</v>
      </c>
      <c r="C426" s="50" t="str">
        <f t="array" ref="C426">IFERROR(INDEX('[1]REP DISEÑO'!$D$9:$D$1008,SMALL(IF('[1]REP DISEÑO'!$AW$9:$AW$1008=$J$1,ROW('[1]REP DISEÑO'!$N$9:$N$1008)-ROW('[1]REP DISEÑO'!$N$9),""),ROWS(C$14:C426))+1),"")</f>
        <v/>
      </c>
      <c r="D426" s="51" t="str">
        <f>IFERROR(INDEX('[1]REP DISEÑO'!$N$9:$N$1508,MATCH(C426,'[1]REP DISEÑO'!$D$9:$D$1508,0)),"")</f>
        <v/>
      </c>
      <c r="E426" s="51" t="str">
        <f>IFERROR(INDEX('[1]REP DISEÑO'!$G$9:$G$1508,MATCH(C426,'[1]REP DISEÑO'!$D$9:$D$1508,0)),"")</f>
        <v/>
      </c>
      <c r="F426" s="51" t="str">
        <f>IFERROR(INDEX('[1]REP DISEÑO'!$I$9:$I$1508,MATCH(C426,'[1]REP DISEÑO'!$D$9:$D$1508,0)),"")</f>
        <v/>
      </c>
      <c r="G426" s="51" t="str">
        <f>IFERROR(INDEX('[1]REP DISEÑO'!$M$9:$M$1508,MATCH(C426,'[1]REP DISEÑO'!$D$9:$D$1508,0)),"")</f>
        <v/>
      </c>
      <c r="H426" s="51" t="str">
        <f>IFERROR(INDEX('[1]REP DISEÑO'!$J$9:$J$1508,MATCH(C426,'[1]REP DISEÑO'!$D$9:$D$1508,0)),"")</f>
        <v/>
      </c>
      <c r="I426" s="52" t="str">
        <f>IFERROR(INDEX('[1]REP DISEÑO'!$C$9:$C$1508,MATCH(C426,'[1]REP DISEÑO'!$D$9:$D$1508,0)),"")</f>
        <v/>
      </c>
      <c r="J426" s="53" t="str">
        <f>IF(C426="","",IF(ISNUMBER(FIND("AMU",$C$14:$C$548)),1,(SUMIF('[1]REP PRODUCCIÓN'!$H$6:$H$1505,"*"&amp;C426&amp;"*",'[1]REP PRODUCCIÓN'!$E$6:$E$1505))))</f>
        <v/>
      </c>
      <c r="K426" s="53">
        <f t="shared" si="19"/>
        <v>0</v>
      </c>
      <c r="M426" s="54" t="str">
        <f>IFERROR(INDEX('[1]REP DISEÑO'!$BA$9:$BA$1008,MATCH('INDIC-DIS2'!C426,'[1]REP DISEÑO'!$D$9:$D$1008,0)),"")</f>
        <v/>
      </c>
      <c r="N426" s="55"/>
      <c r="O426" s="55"/>
      <c r="P426" s="55"/>
      <c r="R426" s="57" t="str">
        <f t="shared" si="20"/>
        <v/>
      </c>
    </row>
    <row r="427" spans="2:18" ht="26.25" customHeight="1" x14ac:dyDescent="0.25">
      <c r="B427" s="49">
        <f t="shared" si="18"/>
        <v>0</v>
      </c>
      <c r="C427" s="50" t="str">
        <f t="array" ref="C427">IFERROR(INDEX('[1]REP DISEÑO'!$D$9:$D$1008,SMALL(IF('[1]REP DISEÑO'!$AW$9:$AW$1008=$J$1,ROW('[1]REP DISEÑO'!$N$9:$N$1008)-ROW('[1]REP DISEÑO'!$N$9),""),ROWS(C$14:C427))+1),"")</f>
        <v/>
      </c>
      <c r="D427" s="51" t="str">
        <f>IFERROR(INDEX('[1]REP DISEÑO'!$N$9:$N$1508,MATCH(C427,'[1]REP DISEÑO'!$D$9:$D$1508,0)),"")</f>
        <v/>
      </c>
      <c r="E427" s="51" t="str">
        <f>IFERROR(INDEX('[1]REP DISEÑO'!$G$9:$G$1508,MATCH(C427,'[1]REP DISEÑO'!$D$9:$D$1508,0)),"")</f>
        <v/>
      </c>
      <c r="F427" s="51" t="str">
        <f>IFERROR(INDEX('[1]REP DISEÑO'!$I$9:$I$1508,MATCH(C427,'[1]REP DISEÑO'!$D$9:$D$1508,0)),"")</f>
        <v/>
      </c>
      <c r="G427" s="51" t="str">
        <f>IFERROR(INDEX('[1]REP DISEÑO'!$M$9:$M$1508,MATCH(C427,'[1]REP DISEÑO'!$D$9:$D$1508,0)),"")</f>
        <v/>
      </c>
      <c r="H427" s="51" t="str">
        <f>IFERROR(INDEX('[1]REP DISEÑO'!$J$9:$J$1508,MATCH(C427,'[1]REP DISEÑO'!$D$9:$D$1508,0)),"")</f>
        <v/>
      </c>
      <c r="I427" s="52" t="str">
        <f>IFERROR(INDEX('[1]REP DISEÑO'!$C$9:$C$1508,MATCH(C427,'[1]REP DISEÑO'!$D$9:$D$1508,0)),"")</f>
        <v/>
      </c>
      <c r="J427" s="53" t="str">
        <f>IF(C427="","",IF(ISNUMBER(FIND("AMU",$C$14:$C$548)),1,(SUMIF('[1]REP PRODUCCIÓN'!$H$6:$H$1505,"*"&amp;C427&amp;"*",'[1]REP PRODUCCIÓN'!$E$6:$E$1505))))</f>
        <v/>
      </c>
      <c r="K427" s="53">
        <f t="shared" si="19"/>
        <v>0</v>
      </c>
      <c r="M427" s="54" t="str">
        <f>IFERROR(INDEX('[1]REP DISEÑO'!$BA$9:$BA$1008,MATCH('INDIC-DIS2'!C427,'[1]REP DISEÑO'!$D$9:$D$1008,0)),"")</f>
        <v/>
      </c>
      <c r="N427" s="55"/>
      <c r="O427" s="55"/>
      <c r="P427" s="55"/>
      <c r="R427" s="57" t="str">
        <f t="shared" si="20"/>
        <v/>
      </c>
    </row>
    <row r="428" spans="2:18" ht="26.25" customHeight="1" x14ac:dyDescent="0.25">
      <c r="B428" s="49">
        <f t="shared" si="18"/>
        <v>0</v>
      </c>
      <c r="C428" s="50" t="str">
        <f t="array" ref="C428">IFERROR(INDEX('[1]REP DISEÑO'!$D$9:$D$1008,SMALL(IF('[1]REP DISEÑO'!$AW$9:$AW$1008=$J$1,ROW('[1]REP DISEÑO'!$N$9:$N$1008)-ROW('[1]REP DISEÑO'!$N$9),""),ROWS(C$14:C428))+1),"")</f>
        <v/>
      </c>
      <c r="D428" s="51" t="str">
        <f>IFERROR(INDEX('[1]REP DISEÑO'!$N$9:$N$1508,MATCH(C428,'[1]REP DISEÑO'!$D$9:$D$1508,0)),"")</f>
        <v/>
      </c>
      <c r="E428" s="51" t="str">
        <f>IFERROR(INDEX('[1]REP DISEÑO'!$G$9:$G$1508,MATCH(C428,'[1]REP DISEÑO'!$D$9:$D$1508,0)),"")</f>
        <v/>
      </c>
      <c r="F428" s="51" t="str">
        <f>IFERROR(INDEX('[1]REP DISEÑO'!$I$9:$I$1508,MATCH(C428,'[1]REP DISEÑO'!$D$9:$D$1508,0)),"")</f>
        <v/>
      </c>
      <c r="G428" s="51" t="str">
        <f>IFERROR(INDEX('[1]REP DISEÑO'!$M$9:$M$1508,MATCH(C428,'[1]REP DISEÑO'!$D$9:$D$1508,0)),"")</f>
        <v/>
      </c>
      <c r="H428" s="51" t="str">
        <f>IFERROR(INDEX('[1]REP DISEÑO'!$J$9:$J$1508,MATCH(C428,'[1]REP DISEÑO'!$D$9:$D$1508,0)),"")</f>
        <v/>
      </c>
      <c r="I428" s="52" t="str">
        <f>IFERROR(INDEX('[1]REP DISEÑO'!$C$9:$C$1508,MATCH(C428,'[1]REP DISEÑO'!$D$9:$D$1508,0)),"")</f>
        <v/>
      </c>
      <c r="J428" s="53" t="str">
        <f>IF(C428="","",IF(ISNUMBER(FIND("AMU",$C$14:$C$548)),1,(SUMIF('[1]REP PRODUCCIÓN'!$H$6:$H$1505,"*"&amp;C428&amp;"*",'[1]REP PRODUCCIÓN'!$E$6:$E$1505))))</f>
        <v/>
      </c>
      <c r="K428" s="53">
        <f t="shared" si="19"/>
        <v>0</v>
      </c>
      <c r="M428" s="54" t="str">
        <f>IFERROR(INDEX('[1]REP DISEÑO'!$BA$9:$BA$1008,MATCH('INDIC-DIS2'!C428,'[1]REP DISEÑO'!$D$9:$D$1008,0)),"")</f>
        <v/>
      </c>
      <c r="N428" s="55"/>
      <c r="O428" s="55"/>
      <c r="P428" s="55"/>
      <c r="R428" s="57" t="str">
        <f t="shared" si="20"/>
        <v/>
      </c>
    </row>
    <row r="429" spans="2:18" ht="26.25" customHeight="1" x14ac:dyDescent="0.25">
      <c r="B429" s="49">
        <f t="shared" si="18"/>
        <v>0</v>
      </c>
      <c r="C429" s="50" t="str">
        <f t="array" ref="C429">IFERROR(INDEX('[1]REP DISEÑO'!$D$9:$D$1008,SMALL(IF('[1]REP DISEÑO'!$AW$9:$AW$1008=$J$1,ROW('[1]REP DISEÑO'!$N$9:$N$1008)-ROW('[1]REP DISEÑO'!$N$9),""),ROWS(C$14:C429))+1),"")</f>
        <v/>
      </c>
      <c r="D429" s="51" t="str">
        <f>IFERROR(INDEX('[1]REP DISEÑO'!$N$9:$N$1508,MATCH(C429,'[1]REP DISEÑO'!$D$9:$D$1508,0)),"")</f>
        <v/>
      </c>
      <c r="E429" s="51" t="str">
        <f>IFERROR(INDEX('[1]REP DISEÑO'!$G$9:$G$1508,MATCH(C429,'[1]REP DISEÑO'!$D$9:$D$1508,0)),"")</f>
        <v/>
      </c>
      <c r="F429" s="51" t="str">
        <f>IFERROR(INDEX('[1]REP DISEÑO'!$I$9:$I$1508,MATCH(C429,'[1]REP DISEÑO'!$D$9:$D$1508,0)),"")</f>
        <v/>
      </c>
      <c r="G429" s="51" t="str">
        <f>IFERROR(INDEX('[1]REP DISEÑO'!$M$9:$M$1508,MATCH(C429,'[1]REP DISEÑO'!$D$9:$D$1508,0)),"")</f>
        <v/>
      </c>
      <c r="H429" s="51" t="str">
        <f>IFERROR(INDEX('[1]REP DISEÑO'!$J$9:$J$1508,MATCH(C429,'[1]REP DISEÑO'!$D$9:$D$1508,0)),"")</f>
        <v/>
      </c>
      <c r="I429" s="52" t="str">
        <f>IFERROR(INDEX('[1]REP DISEÑO'!$C$9:$C$1508,MATCH(C429,'[1]REP DISEÑO'!$D$9:$D$1508,0)),"")</f>
        <v/>
      </c>
      <c r="J429" s="53" t="str">
        <f>IF(C429="","",IF(ISNUMBER(FIND("AMU",$C$14:$C$548)),1,(SUMIF('[1]REP PRODUCCIÓN'!$H$6:$H$1505,"*"&amp;C429&amp;"*",'[1]REP PRODUCCIÓN'!$E$6:$E$1505))))</f>
        <v/>
      </c>
      <c r="K429" s="53">
        <f t="shared" si="19"/>
        <v>0</v>
      </c>
      <c r="M429" s="54" t="str">
        <f>IFERROR(INDEX('[1]REP DISEÑO'!$BA$9:$BA$1008,MATCH('INDIC-DIS2'!C429,'[1]REP DISEÑO'!$D$9:$D$1008,0)),"")</f>
        <v/>
      </c>
      <c r="N429" s="55"/>
      <c r="O429" s="55"/>
      <c r="P429" s="55"/>
      <c r="R429" s="57" t="str">
        <f t="shared" si="20"/>
        <v/>
      </c>
    </row>
    <row r="430" spans="2:18" ht="26.25" customHeight="1" x14ac:dyDescent="0.25">
      <c r="B430" s="49">
        <f t="shared" si="18"/>
        <v>0</v>
      </c>
      <c r="C430" s="50" t="str">
        <f t="array" ref="C430">IFERROR(INDEX('[1]REP DISEÑO'!$D$9:$D$1008,SMALL(IF('[1]REP DISEÑO'!$AW$9:$AW$1008=$J$1,ROW('[1]REP DISEÑO'!$N$9:$N$1008)-ROW('[1]REP DISEÑO'!$N$9),""),ROWS(C$14:C430))+1),"")</f>
        <v/>
      </c>
      <c r="D430" s="51" t="str">
        <f>IFERROR(INDEX('[1]REP DISEÑO'!$N$9:$N$1508,MATCH(C430,'[1]REP DISEÑO'!$D$9:$D$1508,0)),"")</f>
        <v/>
      </c>
      <c r="E430" s="51" t="str">
        <f>IFERROR(INDEX('[1]REP DISEÑO'!$G$9:$G$1508,MATCH(C430,'[1]REP DISEÑO'!$D$9:$D$1508,0)),"")</f>
        <v/>
      </c>
      <c r="F430" s="51" t="str">
        <f>IFERROR(INDEX('[1]REP DISEÑO'!$I$9:$I$1508,MATCH(C430,'[1]REP DISEÑO'!$D$9:$D$1508,0)),"")</f>
        <v/>
      </c>
      <c r="G430" s="51" t="str">
        <f>IFERROR(INDEX('[1]REP DISEÑO'!$M$9:$M$1508,MATCH(C430,'[1]REP DISEÑO'!$D$9:$D$1508,0)),"")</f>
        <v/>
      </c>
      <c r="H430" s="51" t="str">
        <f>IFERROR(INDEX('[1]REP DISEÑO'!$J$9:$J$1508,MATCH(C430,'[1]REP DISEÑO'!$D$9:$D$1508,0)),"")</f>
        <v/>
      </c>
      <c r="I430" s="52" t="str">
        <f>IFERROR(INDEX('[1]REP DISEÑO'!$C$9:$C$1508,MATCH(C430,'[1]REP DISEÑO'!$D$9:$D$1508,0)),"")</f>
        <v/>
      </c>
      <c r="J430" s="53" t="str">
        <f>IF(C430="","",IF(ISNUMBER(FIND("AMU",$C$14:$C$548)),1,(SUMIF('[1]REP PRODUCCIÓN'!$H$6:$H$1505,"*"&amp;C430&amp;"*",'[1]REP PRODUCCIÓN'!$E$6:$E$1505))))</f>
        <v/>
      </c>
      <c r="K430" s="53">
        <f t="shared" si="19"/>
        <v>0</v>
      </c>
      <c r="M430" s="54" t="str">
        <f>IFERROR(INDEX('[1]REP DISEÑO'!$BA$9:$BA$1008,MATCH('INDIC-DIS2'!C430,'[1]REP DISEÑO'!$D$9:$D$1008,0)),"")</f>
        <v/>
      </c>
      <c r="N430" s="55"/>
      <c r="O430" s="55"/>
      <c r="P430" s="55"/>
      <c r="R430" s="57" t="str">
        <f t="shared" si="20"/>
        <v/>
      </c>
    </row>
    <row r="431" spans="2:18" ht="26.25" customHeight="1" x14ac:dyDescent="0.25">
      <c r="B431" s="49">
        <f t="shared" si="18"/>
        <v>0</v>
      </c>
      <c r="C431" s="50" t="str">
        <f t="array" ref="C431">IFERROR(INDEX('[1]REP DISEÑO'!$D$9:$D$1008,SMALL(IF('[1]REP DISEÑO'!$AW$9:$AW$1008=$J$1,ROW('[1]REP DISEÑO'!$N$9:$N$1008)-ROW('[1]REP DISEÑO'!$N$9),""),ROWS(C$14:C431))+1),"")</f>
        <v/>
      </c>
      <c r="D431" s="51" t="str">
        <f>IFERROR(INDEX('[1]REP DISEÑO'!$N$9:$N$1508,MATCH(C431,'[1]REP DISEÑO'!$D$9:$D$1508,0)),"")</f>
        <v/>
      </c>
      <c r="E431" s="51" t="str">
        <f>IFERROR(INDEX('[1]REP DISEÑO'!$G$9:$G$1508,MATCH(C431,'[1]REP DISEÑO'!$D$9:$D$1508,0)),"")</f>
        <v/>
      </c>
      <c r="F431" s="51" t="str">
        <f>IFERROR(INDEX('[1]REP DISEÑO'!$I$9:$I$1508,MATCH(C431,'[1]REP DISEÑO'!$D$9:$D$1508,0)),"")</f>
        <v/>
      </c>
      <c r="G431" s="51" t="str">
        <f>IFERROR(INDEX('[1]REP DISEÑO'!$M$9:$M$1508,MATCH(C431,'[1]REP DISEÑO'!$D$9:$D$1508,0)),"")</f>
        <v/>
      </c>
      <c r="H431" s="51" t="str">
        <f>IFERROR(INDEX('[1]REP DISEÑO'!$J$9:$J$1508,MATCH(C431,'[1]REP DISEÑO'!$D$9:$D$1508,0)),"")</f>
        <v/>
      </c>
      <c r="I431" s="52" t="str">
        <f>IFERROR(INDEX('[1]REP DISEÑO'!$C$9:$C$1508,MATCH(C431,'[1]REP DISEÑO'!$D$9:$D$1508,0)),"")</f>
        <v/>
      </c>
      <c r="J431" s="53" t="str">
        <f>IF(C431="","",IF(ISNUMBER(FIND("AMU",$C$14:$C$548)),1,(SUMIF('[1]REP PRODUCCIÓN'!$H$6:$H$1505,"*"&amp;C431&amp;"*",'[1]REP PRODUCCIÓN'!$E$6:$E$1505))))</f>
        <v/>
      </c>
      <c r="K431" s="53">
        <f t="shared" si="19"/>
        <v>0</v>
      </c>
      <c r="M431" s="54" t="str">
        <f>IFERROR(INDEX('[1]REP DISEÑO'!$BA$9:$BA$1008,MATCH('INDIC-DIS2'!C431,'[1]REP DISEÑO'!$D$9:$D$1008,0)),"")</f>
        <v/>
      </c>
      <c r="N431" s="55"/>
      <c r="O431" s="55"/>
      <c r="P431" s="55"/>
      <c r="R431" s="57" t="str">
        <f t="shared" si="20"/>
        <v/>
      </c>
    </row>
    <row r="432" spans="2:18" ht="26.25" customHeight="1" x14ac:dyDescent="0.25">
      <c r="B432" s="49">
        <f t="shared" si="18"/>
        <v>0</v>
      </c>
      <c r="C432" s="50" t="str">
        <f t="array" ref="C432">IFERROR(INDEX('[1]REP DISEÑO'!$D$9:$D$1008,SMALL(IF('[1]REP DISEÑO'!$AW$9:$AW$1008=$J$1,ROW('[1]REP DISEÑO'!$N$9:$N$1008)-ROW('[1]REP DISEÑO'!$N$9),""),ROWS(C$14:C432))+1),"")</f>
        <v/>
      </c>
      <c r="D432" s="51" t="str">
        <f>IFERROR(INDEX('[1]REP DISEÑO'!$N$9:$N$1508,MATCH(C432,'[1]REP DISEÑO'!$D$9:$D$1508,0)),"")</f>
        <v/>
      </c>
      <c r="E432" s="51" t="str">
        <f>IFERROR(INDEX('[1]REP DISEÑO'!$G$9:$G$1508,MATCH(C432,'[1]REP DISEÑO'!$D$9:$D$1508,0)),"")</f>
        <v/>
      </c>
      <c r="F432" s="51" t="str">
        <f>IFERROR(INDEX('[1]REP DISEÑO'!$I$9:$I$1508,MATCH(C432,'[1]REP DISEÑO'!$D$9:$D$1508,0)),"")</f>
        <v/>
      </c>
      <c r="G432" s="51" t="str">
        <f>IFERROR(INDEX('[1]REP DISEÑO'!$M$9:$M$1508,MATCH(C432,'[1]REP DISEÑO'!$D$9:$D$1508,0)),"")</f>
        <v/>
      </c>
      <c r="H432" s="51" t="str">
        <f>IFERROR(INDEX('[1]REP DISEÑO'!$J$9:$J$1508,MATCH(C432,'[1]REP DISEÑO'!$D$9:$D$1508,0)),"")</f>
        <v/>
      </c>
      <c r="I432" s="52" t="str">
        <f>IFERROR(INDEX('[1]REP DISEÑO'!$C$9:$C$1508,MATCH(C432,'[1]REP DISEÑO'!$D$9:$D$1508,0)),"")</f>
        <v/>
      </c>
      <c r="J432" s="53" t="str">
        <f>IF(C432="","",IF(ISNUMBER(FIND("AMU",$C$14:$C$548)),1,(SUMIF('[1]REP PRODUCCIÓN'!$H$6:$H$1505,"*"&amp;C432&amp;"*",'[1]REP PRODUCCIÓN'!$E$6:$E$1505))))</f>
        <v/>
      </c>
      <c r="K432" s="53">
        <f t="shared" si="19"/>
        <v>0</v>
      </c>
      <c r="M432" s="54" t="str">
        <f>IFERROR(INDEX('[1]REP DISEÑO'!$BA$9:$BA$1008,MATCH('INDIC-DIS2'!C432,'[1]REP DISEÑO'!$D$9:$D$1008,0)),"")</f>
        <v/>
      </c>
      <c r="N432" s="55"/>
      <c r="O432" s="55"/>
      <c r="P432" s="55"/>
      <c r="R432" s="57" t="str">
        <f t="shared" si="20"/>
        <v/>
      </c>
    </row>
    <row r="433" spans="2:18" ht="26.25" customHeight="1" x14ac:dyDescent="0.25">
      <c r="B433" s="49">
        <f t="shared" si="18"/>
        <v>0</v>
      </c>
      <c r="C433" s="50" t="str">
        <f t="array" ref="C433">IFERROR(INDEX('[1]REP DISEÑO'!$D$9:$D$1008,SMALL(IF('[1]REP DISEÑO'!$AW$9:$AW$1008=$J$1,ROW('[1]REP DISEÑO'!$N$9:$N$1008)-ROW('[1]REP DISEÑO'!$N$9),""),ROWS(C$14:C433))+1),"")</f>
        <v/>
      </c>
      <c r="D433" s="51" t="str">
        <f>IFERROR(INDEX('[1]REP DISEÑO'!$N$9:$N$1508,MATCH(C433,'[1]REP DISEÑO'!$D$9:$D$1508,0)),"")</f>
        <v/>
      </c>
      <c r="E433" s="51" t="str">
        <f>IFERROR(INDEX('[1]REP DISEÑO'!$G$9:$G$1508,MATCH(C433,'[1]REP DISEÑO'!$D$9:$D$1508,0)),"")</f>
        <v/>
      </c>
      <c r="F433" s="51" t="str">
        <f>IFERROR(INDEX('[1]REP DISEÑO'!$I$9:$I$1508,MATCH(C433,'[1]REP DISEÑO'!$D$9:$D$1508,0)),"")</f>
        <v/>
      </c>
      <c r="G433" s="51" t="str">
        <f>IFERROR(INDEX('[1]REP DISEÑO'!$M$9:$M$1508,MATCH(C433,'[1]REP DISEÑO'!$D$9:$D$1508,0)),"")</f>
        <v/>
      </c>
      <c r="H433" s="51" t="str">
        <f>IFERROR(INDEX('[1]REP DISEÑO'!$J$9:$J$1508,MATCH(C433,'[1]REP DISEÑO'!$D$9:$D$1508,0)),"")</f>
        <v/>
      </c>
      <c r="I433" s="52" t="str">
        <f>IFERROR(INDEX('[1]REP DISEÑO'!$C$9:$C$1508,MATCH(C433,'[1]REP DISEÑO'!$D$9:$D$1508,0)),"")</f>
        <v/>
      </c>
      <c r="J433" s="53" t="str">
        <f>IF(C433="","",IF(ISNUMBER(FIND("AMU",$C$14:$C$548)),1,(SUMIF('[1]REP PRODUCCIÓN'!$H$6:$H$1505,"*"&amp;C433&amp;"*",'[1]REP PRODUCCIÓN'!$E$6:$E$1505))))</f>
        <v/>
      </c>
      <c r="K433" s="53">
        <f t="shared" si="19"/>
        <v>0</v>
      </c>
      <c r="M433" s="54" t="str">
        <f>IFERROR(INDEX('[1]REP DISEÑO'!$BA$9:$BA$1008,MATCH('INDIC-DIS2'!C433,'[1]REP DISEÑO'!$D$9:$D$1008,0)),"")</f>
        <v/>
      </c>
      <c r="N433" s="55"/>
      <c r="O433" s="55"/>
      <c r="P433" s="55"/>
      <c r="R433" s="57" t="str">
        <f t="shared" si="20"/>
        <v/>
      </c>
    </row>
    <row r="434" spans="2:18" ht="26.25" customHeight="1" x14ac:dyDescent="0.25">
      <c r="B434" s="49">
        <f t="shared" si="18"/>
        <v>0</v>
      </c>
      <c r="C434" s="50" t="str">
        <f t="array" ref="C434">IFERROR(INDEX('[1]REP DISEÑO'!$D$9:$D$1008,SMALL(IF('[1]REP DISEÑO'!$AW$9:$AW$1008=$J$1,ROW('[1]REP DISEÑO'!$N$9:$N$1008)-ROW('[1]REP DISEÑO'!$N$9),""),ROWS(C$14:C434))+1),"")</f>
        <v/>
      </c>
      <c r="D434" s="51" t="str">
        <f>IFERROR(INDEX('[1]REP DISEÑO'!$N$9:$N$1508,MATCH(C434,'[1]REP DISEÑO'!$D$9:$D$1508,0)),"")</f>
        <v/>
      </c>
      <c r="E434" s="51" t="str">
        <f>IFERROR(INDEX('[1]REP DISEÑO'!$G$9:$G$1508,MATCH(C434,'[1]REP DISEÑO'!$D$9:$D$1508,0)),"")</f>
        <v/>
      </c>
      <c r="F434" s="51" t="str">
        <f>IFERROR(INDEX('[1]REP DISEÑO'!$I$9:$I$1508,MATCH(C434,'[1]REP DISEÑO'!$D$9:$D$1508,0)),"")</f>
        <v/>
      </c>
      <c r="G434" s="51" t="str">
        <f>IFERROR(INDEX('[1]REP DISEÑO'!$M$9:$M$1508,MATCH(C434,'[1]REP DISEÑO'!$D$9:$D$1508,0)),"")</f>
        <v/>
      </c>
      <c r="H434" s="51" t="str">
        <f>IFERROR(INDEX('[1]REP DISEÑO'!$J$9:$J$1508,MATCH(C434,'[1]REP DISEÑO'!$D$9:$D$1508,0)),"")</f>
        <v/>
      </c>
      <c r="I434" s="52" t="str">
        <f>IFERROR(INDEX('[1]REP DISEÑO'!$C$9:$C$1508,MATCH(C434,'[1]REP DISEÑO'!$D$9:$D$1508,0)),"")</f>
        <v/>
      </c>
      <c r="J434" s="53" t="str">
        <f>IF(C434="","",IF(ISNUMBER(FIND("AMU",$C$14:$C$548)),1,(SUMIF('[1]REP PRODUCCIÓN'!$H$6:$H$1505,"*"&amp;C434&amp;"*",'[1]REP PRODUCCIÓN'!$E$6:$E$1505))))</f>
        <v/>
      </c>
      <c r="K434" s="53">
        <f t="shared" si="19"/>
        <v>0</v>
      </c>
      <c r="M434" s="54" t="str">
        <f>IFERROR(INDEX('[1]REP DISEÑO'!$BA$9:$BA$1008,MATCH('INDIC-DIS2'!C434,'[1]REP DISEÑO'!$D$9:$D$1008,0)),"")</f>
        <v/>
      </c>
      <c r="N434" s="55"/>
      <c r="O434" s="55"/>
      <c r="P434" s="55"/>
      <c r="R434" s="57" t="str">
        <f t="shared" si="20"/>
        <v/>
      </c>
    </row>
    <row r="435" spans="2:18" ht="26.25" customHeight="1" x14ac:dyDescent="0.25">
      <c r="B435" s="49">
        <f t="shared" si="18"/>
        <v>0</v>
      </c>
      <c r="C435" s="50" t="str">
        <f t="array" ref="C435">IFERROR(INDEX('[1]REP DISEÑO'!$D$9:$D$1008,SMALL(IF('[1]REP DISEÑO'!$AW$9:$AW$1008=$J$1,ROW('[1]REP DISEÑO'!$N$9:$N$1008)-ROW('[1]REP DISEÑO'!$N$9),""),ROWS(C$14:C435))+1),"")</f>
        <v/>
      </c>
      <c r="D435" s="51" t="str">
        <f>IFERROR(INDEX('[1]REP DISEÑO'!$N$9:$N$1508,MATCH(C435,'[1]REP DISEÑO'!$D$9:$D$1508,0)),"")</f>
        <v/>
      </c>
      <c r="E435" s="51" t="str">
        <f>IFERROR(INDEX('[1]REP DISEÑO'!$G$9:$G$1508,MATCH(C435,'[1]REP DISEÑO'!$D$9:$D$1508,0)),"")</f>
        <v/>
      </c>
      <c r="F435" s="51" t="str">
        <f>IFERROR(INDEX('[1]REP DISEÑO'!$I$9:$I$1508,MATCH(C435,'[1]REP DISEÑO'!$D$9:$D$1508,0)),"")</f>
        <v/>
      </c>
      <c r="G435" s="51" t="str">
        <f>IFERROR(INDEX('[1]REP DISEÑO'!$M$9:$M$1508,MATCH(C435,'[1]REP DISEÑO'!$D$9:$D$1508,0)),"")</f>
        <v/>
      </c>
      <c r="H435" s="51" t="str">
        <f>IFERROR(INDEX('[1]REP DISEÑO'!$J$9:$J$1508,MATCH(C435,'[1]REP DISEÑO'!$D$9:$D$1508,0)),"")</f>
        <v/>
      </c>
      <c r="I435" s="52" t="str">
        <f>IFERROR(INDEX('[1]REP DISEÑO'!$C$9:$C$1508,MATCH(C435,'[1]REP DISEÑO'!$D$9:$D$1508,0)),"")</f>
        <v/>
      </c>
      <c r="J435" s="53" t="str">
        <f>IF(C435="","",IF(ISNUMBER(FIND("AMU",$C$14:$C$548)),1,(SUMIF('[1]REP PRODUCCIÓN'!$H$6:$H$1505,"*"&amp;C435&amp;"*",'[1]REP PRODUCCIÓN'!$E$6:$E$1505))))</f>
        <v/>
      </c>
      <c r="K435" s="53">
        <f t="shared" si="19"/>
        <v>0</v>
      </c>
      <c r="M435" s="54" t="str">
        <f>IFERROR(INDEX('[1]REP DISEÑO'!$BA$9:$BA$1008,MATCH('INDIC-DIS2'!C435,'[1]REP DISEÑO'!$D$9:$D$1008,0)),"")</f>
        <v/>
      </c>
      <c r="N435" s="55"/>
      <c r="O435" s="55"/>
      <c r="P435" s="55"/>
      <c r="R435" s="57" t="str">
        <f t="shared" si="20"/>
        <v/>
      </c>
    </row>
    <row r="436" spans="2:18" ht="26.25" customHeight="1" x14ac:dyDescent="0.25">
      <c r="B436" s="49">
        <f t="shared" si="18"/>
        <v>0</v>
      </c>
      <c r="C436" s="50" t="str">
        <f t="array" ref="C436">IFERROR(INDEX('[1]REP DISEÑO'!$D$9:$D$1008,SMALL(IF('[1]REP DISEÑO'!$AW$9:$AW$1008=$J$1,ROW('[1]REP DISEÑO'!$N$9:$N$1008)-ROW('[1]REP DISEÑO'!$N$9),""),ROWS(C$14:C436))+1),"")</f>
        <v/>
      </c>
      <c r="D436" s="51" t="str">
        <f>IFERROR(INDEX('[1]REP DISEÑO'!$N$9:$N$1508,MATCH(C436,'[1]REP DISEÑO'!$D$9:$D$1508,0)),"")</f>
        <v/>
      </c>
      <c r="E436" s="51" t="str">
        <f>IFERROR(INDEX('[1]REP DISEÑO'!$G$9:$G$1508,MATCH(C436,'[1]REP DISEÑO'!$D$9:$D$1508,0)),"")</f>
        <v/>
      </c>
      <c r="F436" s="51" t="str">
        <f>IFERROR(INDEX('[1]REP DISEÑO'!$I$9:$I$1508,MATCH(C436,'[1]REP DISEÑO'!$D$9:$D$1508,0)),"")</f>
        <v/>
      </c>
      <c r="G436" s="51" t="str">
        <f>IFERROR(INDEX('[1]REP DISEÑO'!$M$9:$M$1508,MATCH(C436,'[1]REP DISEÑO'!$D$9:$D$1508,0)),"")</f>
        <v/>
      </c>
      <c r="H436" s="51" t="str">
        <f>IFERROR(INDEX('[1]REP DISEÑO'!$J$9:$J$1508,MATCH(C436,'[1]REP DISEÑO'!$D$9:$D$1508,0)),"")</f>
        <v/>
      </c>
      <c r="I436" s="52" t="str">
        <f>IFERROR(INDEX('[1]REP DISEÑO'!$C$9:$C$1508,MATCH(C436,'[1]REP DISEÑO'!$D$9:$D$1508,0)),"")</f>
        <v/>
      </c>
      <c r="J436" s="53" t="str">
        <f>IF(C436="","",IF(ISNUMBER(FIND("AMU",$C$14:$C$548)),1,(SUMIF('[1]REP PRODUCCIÓN'!$H$6:$H$1505,"*"&amp;C436&amp;"*",'[1]REP PRODUCCIÓN'!$E$6:$E$1505))))</f>
        <v/>
      </c>
      <c r="K436" s="53">
        <f t="shared" si="19"/>
        <v>0</v>
      </c>
      <c r="M436" s="54" t="str">
        <f>IFERROR(INDEX('[1]REP DISEÑO'!$BA$9:$BA$1008,MATCH('INDIC-DIS2'!C436,'[1]REP DISEÑO'!$D$9:$D$1008,0)),"")</f>
        <v/>
      </c>
      <c r="N436" s="55"/>
      <c r="O436" s="55"/>
      <c r="P436" s="55"/>
      <c r="R436" s="57" t="str">
        <f t="shared" si="20"/>
        <v/>
      </c>
    </row>
    <row r="437" spans="2:18" ht="26.25" customHeight="1" x14ac:dyDescent="0.25">
      <c r="B437" s="49">
        <f t="shared" si="18"/>
        <v>0</v>
      </c>
      <c r="C437" s="50" t="str">
        <f t="array" ref="C437">IFERROR(INDEX('[1]REP DISEÑO'!$D$9:$D$1008,SMALL(IF('[1]REP DISEÑO'!$AW$9:$AW$1008=$J$1,ROW('[1]REP DISEÑO'!$N$9:$N$1008)-ROW('[1]REP DISEÑO'!$N$9),""),ROWS(C$14:C437))+1),"")</f>
        <v/>
      </c>
      <c r="D437" s="51" t="str">
        <f>IFERROR(INDEX('[1]REP DISEÑO'!$N$9:$N$1508,MATCH(C437,'[1]REP DISEÑO'!$D$9:$D$1508,0)),"")</f>
        <v/>
      </c>
      <c r="E437" s="51" t="str">
        <f>IFERROR(INDEX('[1]REP DISEÑO'!$G$9:$G$1508,MATCH(C437,'[1]REP DISEÑO'!$D$9:$D$1508,0)),"")</f>
        <v/>
      </c>
      <c r="F437" s="51" t="str">
        <f>IFERROR(INDEX('[1]REP DISEÑO'!$I$9:$I$1508,MATCH(C437,'[1]REP DISEÑO'!$D$9:$D$1508,0)),"")</f>
        <v/>
      </c>
      <c r="G437" s="51" t="str">
        <f>IFERROR(INDEX('[1]REP DISEÑO'!$M$9:$M$1508,MATCH(C437,'[1]REP DISEÑO'!$D$9:$D$1508,0)),"")</f>
        <v/>
      </c>
      <c r="H437" s="51" t="str">
        <f>IFERROR(INDEX('[1]REP DISEÑO'!$J$9:$J$1508,MATCH(C437,'[1]REP DISEÑO'!$D$9:$D$1508,0)),"")</f>
        <v/>
      </c>
      <c r="I437" s="52" t="str">
        <f>IFERROR(INDEX('[1]REP DISEÑO'!$C$9:$C$1508,MATCH(C437,'[1]REP DISEÑO'!$D$9:$D$1508,0)),"")</f>
        <v/>
      </c>
      <c r="J437" s="53" t="str">
        <f>IF(C437="","",IF(ISNUMBER(FIND("AMU",$C$14:$C$548)),1,(SUMIF('[1]REP PRODUCCIÓN'!$H$6:$H$1505,"*"&amp;C437&amp;"*",'[1]REP PRODUCCIÓN'!$E$6:$E$1505))))</f>
        <v/>
      </c>
      <c r="K437" s="53">
        <f t="shared" si="19"/>
        <v>0</v>
      </c>
      <c r="M437" s="54" t="str">
        <f>IFERROR(INDEX('[1]REP DISEÑO'!$BA$9:$BA$1008,MATCH('INDIC-DIS2'!C437,'[1]REP DISEÑO'!$D$9:$D$1008,0)),"")</f>
        <v/>
      </c>
      <c r="N437" s="55"/>
      <c r="O437" s="55"/>
      <c r="P437" s="55"/>
      <c r="R437" s="57" t="str">
        <f t="shared" si="20"/>
        <v/>
      </c>
    </row>
    <row r="438" spans="2:18" ht="26.25" customHeight="1" x14ac:dyDescent="0.25">
      <c r="B438" s="49">
        <f t="shared" si="18"/>
        <v>0</v>
      </c>
      <c r="C438" s="50" t="str">
        <f t="array" ref="C438">IFERROR(INDEX('[1]REP DISEÑO'!$D$9:$D$1008,SMALL(IF('[1]REP DISEÑO'!$AW$9:$AW$1008=$J$1,ROW('[1]REP DISEÑO'!$N$9:$N$1008)-ROW('[1]REP DISEÑO'!$N$9),""),ROWS(C$14:C438))+1),"")</f>
        <v/>
      </c>
      <c r="D438" s="51" t="str">
        <f>IFERROR(INDEX('[1]REP DISEÑO'!$N$9:$N$1508,MATCH(C438,'[1]REP DISEÑO'!$D$9:$D$1508,0)),"")</f>
        <v/>
      </c>
      <c r="E438" s="51" t="str">
        <f>IFERROR(INDEX('[1]REP DISEÑO'!$G$9:$G$1508,MATCH(C438,'[1]REP DISEÑO'!$D$9:$D$1508,0)),"")</f>
        <v/>
      </c>
      <c r="F438" s="51" t="str">
        <f>IFERROR(INDEX('[1]REP DISEÑO'!$I$9:$I$1508,MATCH(C438,'[1]REP DISEÑO'!$D$9:$D$1508,0)),"")</f>
        <v/>
      </c>
      <c r="G438" s="51" t="str">
        <f>IFERROR(INDEX('[1]REP DISEÑO'!$M$9:$M$1508,MATCH(C438,'[1]REP DISEÑO'!$D$9:$D$1508,0)),"")</f>
        <v/>
      </c>
      <c r="H438" s="51" t="str">
        <f>IFERROR(INDEX('[1]REP DISEÑO'!$J$9:$J$1508,MATCH(C438,'[1]REP DISEÑO'!$D$9:$D$1508,0)),"")</f>
        <v/>
      </c>
      <c r="I438" s="52" t="str">
        <f>IFERROR(INDEX('[1]REP DISEÑO'!$C$9:$C$1508,MATCH(C438,'[1]REP DISEÑO'!$D$9:$D$1508,0)),"")</f>
        <v/>
      </c>
      <c r="J438" s="53" t="str">
        <f>IF(C438="","",IF(ISNUMBER(FIND("AMU",$C$14:$C$548)),1,(SUMIF('[1]REP PRODUCCIÓN'!$H$6:$H$1505,"*"&amp;C438&amp;"*",'[1]REP PRODUCCIÓN'!$E$6:$E$1505))))</f>
        <v/>
      </c>
      <c r="K438" s="53">
        <f t="shared" si="19"/>
        <v>0</v>
      </c>
      <c r="M438" s="54" t="str">
        <f>IFERROR(INDEX('[1]REP DISEÑO'!$BA$9:$BA$1008,MATCH('INDIC-DIS2'!C438,'[1]REP DISEÑO'!$D$9:$D$1008,0)),"")</f>
        <v/>
      </c>
      <c r="N438" s="55"/>
      <c r="O438" s="55"/>
      <c r="P438" s="55"/>
      <c r="R438" s="57" t="str">
        <f t="shared" si="20"/>
        <v/>
      </c>
    </row>
    <row r="439" spans="2:18" ht="26.25" customHeight="1" x14ac:dyDescent="0.25">
      <c r="B439" s="49">
        <f t="shared" si="18"/>
        <v>0</v>
      </c>
      <c r="C439" s="50" t="str">
        <f t="array" ref="C439">IFERROR(INDEX('[1]REP DISEÑO'!$D$9:$D$1008,SMALL(IF('[1]REP DISEÑO'!$AW$9:$AW$1008=$J$1,ROW('[1]REP DISEÑO'!$N$9:$N$1008)-ROW('[1]REP DISEÑO'!$N$9),""),ROWS(C$14:C439))+1),"")</f>
        <v/>
      </c>
      <c r="D439" s="51" t="str">
        <f>IFERROR(INDEX('[1]REP DISEÑO'!$N$9:$N$1508,MATCH(C439,'[1]REP DISEÑO'!$D$9:$D$1508,0)),"")</f>
        <v/>
      </c>
      <c r="E439" s="51" t="str">
        <f>IFERROR(INDEX('[1]REP DISEÑO'!$G$9:$G$1508,MATCH(C439,'[1]REP DISEÑO'!$D$9:$D$1508,0)),"")</f>
        <v/>
      </c>
      <c r="F439" s="51" t="str">
        <f>IFERROR(INDEX('[1]REP DISEÑO'!$I$9:$I$1508,MATCH(C439,'[1]REP DISEÑO'!$D$9:$D$1508,0)),"")</f>
        <v/>
      </c>
      <c r="G439" s="51" t="str">
        <f>IFERROR(INDEX('[1]REP DISEÑO'!$M$9:$M$1508,MATCH(C439,'[1]REP DISEÑO'!$D$9:$D$1508,0)),"")</f>
        <v/>
      </c>
      <c r="H439" s="51" t="str">
        <f>IFERROR(INDEX('[1]REP DISEÑO'!$J$9:$J$1508,MATCH(C439,'[1]REP DISEÑO'!$D$9:$D$1508,0)),"")</f>
        <v/>
      </c>
      <c r="I439" s="52" t="str">
        <f>IFERROR(INDEX('[1]REP DISEÑO'!$C$9:$C$1508,MATCH(C439,'[1]REP DISEÑO'!$D$9:$D$1508,0)),"")</f>
        <v/>
      </c>
      <c r="J439" s="53" t="str">
        <f>IF(C439="","",IF(ISNUMBER(FIND("AMU",$C$14:$C$548)),1,(SUMIF('[1]REP PRODUCCIÓN'!$H$6:$H$1505,"*"&amp;C439&amp;"*",'[1]REP PRODUCCIÓN'!$E$6:$E$1505))))</f>
        <v/>
      </c>
      <c r="K439" s="53">
        <f t="shared" si="19"/>
        <v>0</v>
      </c>
      <c r="M439" s="54" t="str">
        <f>IFERROR(INDEX('[1]REP DISEÑO'!$BA$9:$BA$1008,MATCH('INDIC-DIS2'!C439,'[1]REP DISEÑO'!$D$9:$D$1008,0)),"")</f>
        <v/>
      </c>
      <c r="N439" s="55"/>
      <c r="O439" s="55"/>
      <c r="P439" s="55"/>
      <c r="R439" s="57" t="str">
        <f t="shared" si="20"/>
        <v/>
      </c>
    </row>
    <row r="440" spans="2:18" ht="26.25" customHeight="1" x14ac:dyDescent="0.25">
      <c r="B440" s="49">
        <f t="shared" si="18"/>
        <v>0</v>
      </c>
      <c r="C440" s="50" t="str">
        <f t="array" ref="C440">IFERROR(INDEX('[1]REP DISEÑO'!$D$9:$D$1008,SMALL(IF('[1]REP DISEÑO'!$AW$9:$AW$1008=$J$1,ROW('[1]REP DISEÑO'!$N$9:$N$1008)-ROW('[1]REP DISEÑO'!$N$9),""),ROWS(C$14:C440))+1),"")</f>
        <v/>
      </c>
      <c r="D440" s="51" t="str">
        <f>IFERROR(INDEX('[1]REP DISEÑO'!$N$9:$N$1508,MATCH(C440,'[1]REP DISEÑO'!$D$9:$D$1508,0)),"")</f>
        <v/>
      </c>
      <c r="E440" s="51" t="str">
        <f>IFERROR(INDEX('[1]REP DISEÑO'!$G$9:$G$1508,MATCH(C440,'[1]REP DISEÑO'!$D$9:$D$1508,0)),"")</f>
        <v/>
      </c>
      <c r="F440" s="51" t="str">
        <f>IFERROR(INDEX('[1]REP DISEÑO'!$I$9:$I$1508,MATCH(C440,'[1]REP DISEÑO'!$D$9:$D$1508,0)),"")</f>
        <v/>
      </c>
      <c r="G440" s="51" t="str">
        <f>IFERROR(INDEX('[1]REP DISEÑO'!$M$9:$M$1508,MATCH(C440,'[1]REP DISEÑO'!$D$9:$D$1508,0)),"")</f>
        <v/>
      </c>
      <c r="H440" s="51" t="str">
        <f>IFERROR(INDEX('[1]REP DISEÑO'!$J$9:$J$1508,MATCH(C440,'[1]REP DISEÑO'!$D$9:$D$1508,0)),"")</f>
        <v/>
      </c>
      <c r="I440" s="52" t="str">
        <f>IFERROR(INDEX('[1]REP DISEÑO'!$C$9:$C$1508,MATCH(C440,'[1]REP DISEÑO'!$D$9:$D$1508,0)),"")</f>
        <v/>
      </c>
      <c r="J440" s="53" t="str">
        <f>IF(C440="","",IF(ISNUMBER(FIND("AMU",$C$14:$C$548)),1,(SUMIF('[1]REP PRODUCCIÓN'!$H$6:$H$1505,"*"&amp;C440&amp;"*",'[1]REP PRODUCCIÓN'!$E$6:$E$1505))))</f>
        <v/>
      </c>
      <c r="K440" s="53">
        <f t="shared" si="19"/>
        <v>0</v>
      </c>
      <c r="M440" s="54" t="str">
        <f>IFERROR(INDEX('[1]REP DISEÑO'!$BA$9:$BA$1008,MATCH('INDIC-DIS2'!C440,'[1]REP DISEÑO'!$D$9:$D$1008,0)),"")</f>
        <v/>
      </c>
      <c r="N440" s="55"/>
      <c r="O440" s="55"/>
      <c r="P440" s="55"/>
      <c r="R440" s="57" t="str">
        <f t="shared" si="20"/>
        <v/>
      </c>
    </row>
    <row r="441" spans="2:18" ht="26.25" customHeight="1" x14ac:dyDescent="0.25">
      <c r="B441" s="49">
        <f t="shared" si="18"/>
        <v>0</v>
      </c>
      <c r="C441" s="50" t="str">
        <f t="array" ref="C441">IFERROR(INDEX('[1]REP DISEÑO'!$D$9:$D$1008,SMALL(IF('[1]REP DISEÑO'!$AW$9:$AW$1008=$J$1,ROW('[1]REP DISEÑO'!$N$9:$N$1008)-ROW('[1]REP DISEÑO'!$N$9),""),ROWS(C$14:C441))+1),"")</f>
        <v/>
      </c>
      <c r="D441" s="51" t="str">
        <f>IFERROR(INDEX('[1]REP DISEÑO'!$N$9:$N$1508,MATCH(C441,'[1]REP DISEÑO'!$D$9:$D$1508,0)),"")</f>
        <v/>
      </c>
      <c r="E441" s="51" t="str">
        <f>IFERROR(INDEX('[1]REP DISEÑO'!$G$9:$G$1508,MATCH(C441,'[1]REP DISEÑO'!$D$9:$D$1508,0)),"")</f>
        <v/>
      </c>
      <c r="F441" s="51" t="str">
        <f>IFERROR(INDEX('[1]REP DISEÑO'!$I$9:$I$1508,MATCH(C441,'[1]REP DISEÑO'!$D$9:$D$1508,0)),"")</f>
        <v/>
      </c>
      <c r="G441" s="51" t="str">
        <f>IFERROR(INDEX('[1]REP DISEÑO'!$M$9:$M$1508,MATCH(C441,'[1]REP DISEÑO'!$D$9:$D$1508,0)),"")</f>
        <v/>
      </c>
      <c r="H441" s="51" t="str">
        <f>IFERROR(INDEX('[1]REP DISEÑO'!$J$9:$J$1508,MATCH(C441,'[1]REP DISEÑO'!$D$9:$D$1508,0)),"")</f>
        <v/>
      </c>
      <c r="I441" s="52" t="str">
        <f>IFERROR(INDEX('[1]REP DISEÑO'!$C$9:$C$1508,MATCH(C441,'[1]REP DISEÑO'!$D$9:$D$1508,0)),"")</f>
        <v/>
      </c>
      <c r="J441" s="53" t="str">
        <f>IF(C441="","",IF(ISNUMBER(FIND("AMU",$C$14:$C$548)),1,(SUMIF('[1]REP PRODUCCIÓN'!$H$6:$H$1505,"*"&amp;C441&amp;"*",'[1]REP PRODUCCIÓN'!$E$6:$E$1505))))</f>
        <v/>
      </c>
      <c r="K441" s="53">
        <f t="shared" si="19"/>
        <v>0</v>
      </c>
      <c r="M441" s="54" t="str">
        <f>IFERROR(INDEX('[1]REP DISEÑO'!$BA$9:$BA$1008,MATCH('INDIC-DIS2'!C441,'[1]REP DISEÑO'!$D$9:$D$1008,0)),"")</f>
        <v/>
      </c>
      <c r="N441" s="55"/>
      <c r="O441" s="55"/>
      <c r="P441" s="55"/>
      <c r="R441" s="57" t="str">
        <f t="shared" si="20"/>
        <v/>
      </c>
    </row>
    <row r="442" spans="2:18" ht="26.25" customHeight="1" x14ac:dyDescent="0.25">
      <c r="B442" s="49">
        <f t="shared" si="18"/>
        <v>0</v>
      </c>
      <c r="C442" s="50" t="str">
        <f t="array" ref="C442">IFERROR(INDEX('[1]REP DISEÑO'!$D$9:$D$1008,SMALL(IF('[1]REP DISEÑO'!$AW$9:$AW$1008=$J$1,ROW('[1]REP DISEÑO'!$N$9:$N$1008)-ROW('[1]REP DISEÑO'!$N$9),""),ROWS(C$14:C442))+1),"")</f>
        <v/>
      </c>
      <c r="D442" s="51" t="str">
        <f>IFERROR(INDEX('[1]REP DISEÑO'!$N$9:$N$1508,MATCH(C442,'[1]REP DISEÑO'!$D$9:$D$1508,0)),"")</f>
        <v/>
      </c>
      <c r="E442" s="51" t="str">
        <f>IFERROR(INDEX('[1]REP DISEÑO'!$G$9:$G$1508,MATCH(C442,'[1]REP DISEÑO'!$D$9:$D$1508,0)),"")</f>
        <v/>
      </c>
      <c r="F442" s="51" t="str">
        <f>IFERROR(INDEX('[1]REP DISEÑO'!$I$9:$I$1508,MATCH(C442,'[1]REP DISEÑO'!$D$9:$D$1508,0)),"")</f>
        <v/>
      </c>
      <c r="G442" s="51" t="str">
        <f>IFERROR(INDEX('[1]REP DISEÑO'!$M$9:$M$1508,MATCH(C442,'[1]REP DISEÑO'!$D$9:$D$1508,0)),"")</f>
        <v/>
      </c>
      <c r="H442" s="51" t="str">
        <f>IFERROR(INDEX('[1]REP DISEÑO'!$J$9:$J$1508,MATCH(C442,'[1]REP DISEÑO'!$D$9:$D$1508,0)),"")</f>
        <v/>
      </c>
      <c r="I442" s="52" t="str">
        <f>IFERROR(INDEX('[1]REP DISEÑO'!$C$9:$C$1508,MATCH(C442,'[1]REP DISEÑO'!$D$9:$D$1508,0)),"")</f>
        <v/>
      </c>
      <c r="J442" s="53" t="str">
        <f>IF(C442="","",IF(ISNUMBER(FIND("AMU",$C$14:$C$548)),1,(SUMIF('[1]REP PRODUCCIÓN'!$H$6:$H$1505,"*"&amp;C442&amp;"*",'[1]REP PRODUCCIÓN'!$E$6:$E$1505))))</f>
        <v/>
      </c>
      <c r="K442" s="53">
        <f t="shared" si="19"/>
        <v>0</v>
      </c>
      <c r="M442" s="54" t="str">
        <f>IFERROR(INDEX('[1]REP DISEÑO'!$BA$9:$BA$1008,MATCH('INDIC-DIS2'!C442,'[1]REP DISEÑO'!$D$9:$D$1008,0)),"")</f>
        <v/>
      </c>
      <c r="N442" s="55"/>
      <c r="O442" s="55"/>
      <c r="P442" s="55"/>
      <c r="R442" s="57" t="str">
        <f t="shared" si="20"/>
        <v/>
      </c>
    </row>
    <row r="443" spans="2:18" ht="26.25" customHeight="1" x14ac:dyDescent="0.25">
      <c r="B443" s="49">
        <f t="shared" si="18"/>
        <v>0</v>
      </c>
      <c r="C443" s="50" t="str">
        <f t="array" ref="C443">IFERROR(INDEX('[1]REP DISEÑO'!$D$9:$D$1008,SMALL(IF('[1]REP DISEÑO'!$AW$9:$AW$1008=$J$1,ROW('[1]REP DISEÑO'!$N$9:$N$1008)-ROW('[1]REP DISEÑO'!$N$9),""),ROWS(C$14:C443))+1),"")</f>
        <v/>
      </c>
      <c r="D443" s="51" t="str">
        <f>IFERROR(INDEX('[1]REP DISEÑO'!$N$9:$N$1508,MATCH(C443,'[1]REP DISEÑO'!$D$9:$D$1508,0)),"")</f>
        <v/>
      </c>
      <c r="E443" s="51" t="str">
        <f>IFERROR(INDEX('[1]REP DISEÑO'!$G$9:$G$1508,MATCH(C443,'[1]REP DISEÑO'!$D$9:$D$1508,0)),"")</f>
        <v/>
      </c>
      <c r="F443" s="51" t="str">
        <f>IFERROR(INDEX('[1]REP DISEÑO'!$I$9:$I$1508,MATCH(C443,'[1]REP DISEÑO'!$D$9:$D$1508,0)),"")</f>
        <v/>
      </c>
      <c r="G443" s="51" t="str">
        <f>IFERROR(INDEX('[1]REP DISEÑO'!$M$9:$M$1508,MATCH(C443,'[1]REP DISEÑO'!$D$9:$D$1508,0)),"")</f>
        <v/>
      </c>
      <c r="H443" s="51" t="str">
        <f>IFERROR(INDEX('[1]REP DISEÑO'!$J$9:$J$1508,MATCH(C443,'[1]REP DISEÑO'!$D$9:$D$1508,0)),"")</f>
        <v/>
      </c>
      <c r="I443" s="52" t="str">
        <f>IFERROR(INDEX('[1]REP DISEÑO'!$C$9:$C$1508,MATCH(C443,'[1]REP DISEÑO'!$D$9:$D$1508,0)),"")</f>
        <v/>
      </c>
      <c r="J443" s="53" t="str">
        <f>IF(C443="","",IF(ISNUMBER(FIND("AMU",$C$14:$C$548)),1,(SUMIF('[1]REP PRODUCCIÓN'!$H$6:$H$1505,"*"&amp;C443&amp;"*",'[1]REP PRODUCCIÓN'!$E$6:$E$1505))))</f>
        <v/>
      </c>
      <c r="K443" s="53">
        <f t="shared" si="19"/>
        <v>0</v>
      </c>
      <c r="M443" s="54" t="str">
        <f>IFERROR(INDEX('[1]REP DISEÑO'!$BA$9:$BA$1008,MATCH('INDIC-DIS2'!C443,'[1]REP DISEÑO'!$D$9:$D$1008,0)),"")</f>
        <v/>
      </c>
      <c r="N443" s="55"/>
      <c r="O443" s="55"/>
      <c r="P443" s="55"/>
      <c r="R443" s="57" t="str">
        <f t="shared" si="20"/>
        <v/>
      </c>
    </row>
    <row r="444" spans="2:18" ht="26.25" customHeight="1" x14ac:dyDescent="0.25">
      <c r="B444" s="49">
        <f t="shared" si="18"/>
        <v>0</v>
      </c>
      <c r="C444" s="50" t="str">
        <f t="array" ref="C444">IFERROR(INDEX('[1]REP DISEÑO'!$D$9:$D$1008,SMALL(IF('[1]REP DISEÑO'!$AW$9:$AW$1008=$J$1,ROW('[1]REP DISEÑO'!$N$9:$N$1008)-ROW('[1]REP DISEÑO'!$N$9),""),ROWS(C$14:C444))+1),"")</f>
        <v/>
      </c>
      <c r="D444" s="51" t="str">
        <f>IFERROR(INDEX('[1]REP DISEÑO'!$N$9:$N$1508,MATCH(C444,'[1]REP DISEÑO'!$D$9:$D$1508,0)),"")</f>
        <v/>
      </c>
      <c r="E444" s="51" t="str">
        <f>IFERROR(INDEX('[1]REP DISEÑO'!$G$9:$G$1508,MATCH(C444,'[1]REP DISEÑO'!$D$9:$D$1508,0)),"")</f>
        <v/>
      </c>
      <c r="F444" s="51" t="str">
        <f>IFERROR(INDEX('[1]REP DISEÑO'!$I$9:$I$1508,MATCH(C444,'[1]REP DISEÑO'!$D$9:$D$1508,0)),"")</f>
        <v/>
      </c>
      <c r="G444" s="51" t="str">
        <f>IFERROR(INDEX('[1]REP DISEÑO'!$M$9:$M$1508,MATCH(C444,'[1]REP DISEÑO'!$D$9:$D$1508,0)),"")</f>
        <v/>
      </c>
      <c r="H444" s="51" t="str">
        <f>IFERROR(INDEX('[1]REP DISEÑO'!$J$9:$J$1508,MATCH(C444,'[1]REP DISEÑO'!$D$9:$D$1508,0)),"")</f>
        <v/>
      </c>
      <c r="I444" s="52" t="str">
        <f>IFERROR(INDEX('[1]REP DISEÑO'!$C$9:$C$1508,MATCH(C444,'[1]REP DISEÑO'!$D$9:$D$1508,0)),"")</f>
        <v/>
      </c>
      <c r="J444" s="53" t="str">
        <f>IF(C444="","",IF(ISNUMBER(FIND("AMU",$C$14:$C$548)),1,(SUMIF('[1]REP PRODUCCIÓN'!$H$6:$H$1505,"*"&amp;C444&amp;"*",'[1]REP PRODUCCIÓN'!$E$6:$E$1505))))</f>
        <v/>
      </c>
      <c r="K444" s="53">
        <f t="shared" si="19"/>
        <v>0</v>
      </c>
      <c r="M444" s="54" t="str">
        <f>IFERROR(INDEX('[1]REP DISEÑO'!$BA$9:$BA$1008,MATCH('INDIC-DIS2'!C444,'[1]REP DISEÑO'!$D$9:$D$1008,0)),"")</f>
        <v/>
      </c>
      <c r="N444" s="55"/>
      <c r="O444" s="55"/>
      <c r="P444" s="55"/>
      <c r="R444" s="57" t="str">
        <f t="shared" si="20"/>
        <v/>
      </c>
    </row>
    <row r="445" spans="2:18" ht="26.25" customHeight="1" x14ac:dyDescent="0.25">
      <c r="B445" s="49">
        <f t="shared" si="18"/>
        <v>0</v>
      </c>
      <c r="C445" s="50" t="str">
        <f t="array" ref="C445">IFERROR(INDEX('[1]REP DISEÑO'!$D$9:$D$1008,SMALL(IF('[1]REP DISEÑO'!$AW$9:$AW$1008=$J$1,ROW('[1]REP DISEÑO'!$N$9:$N$1008)-ROW('[1]REP DISEÑO'!$N$9),""),ROWS(C$14:C445))+1),"")</f>
        <v/>
      </c>
      <c r="D445" s="51" t="str">
        <f>IFERROR(INDEX('[1]REP DISEÑO'!$N$9:$N$1508,MATCH(C445,'[1]REP DISEÑO'!$D$9:$D$1508,0)),"")</f>
        <v/>
      </c>
      <c r="E445" s="51" t="str">
        <f>IFERROR(INDEX('[1]REP DISEÑO'!$G$9:$G$1508,MATCH(C445,'[1]REP DISEÑO'!$D$9:$D$1508,0)),"")</f>
        <v/>
      </c>
      <c r="F445" s="51" t="str">
        <f>IFERROR(INDEX('[1]REP DISEÑO'!$I$9:$I$1508,MATCH(C445,'[1]REP DISEÑO'!$D$9:$D$1508,0)),"")</f>
        <v/>
      </c>
      <c r="G445" s="51" t="str">
        <f>IFERROR(INDEX('[1]REP DISEÑO'!$M$9:$M$1508,MATCH(C445,'[1]REP DISEÑO'!$D$9:$D$1508,0)),"")</f>
        <v/>
      </c>
      <c r="H445" s="51" t="str">
        <f>IFERROR(INDEX('[1]REP DISEÑO'!$J$9:$J$1508,MATCH(C445,'[1]REP DISEÑO'!$D$9:$D$1508,0)),"")</f>
        <v/>
      </c>
      <c r="I445" s="52" t="str">
        <f>IFERROR(INDEX('[1]REP DISEÑO'!$C$9:$C$1508,MATCH(C445,'[1]REP DISEÑO'!$D$9:$D$1508,0)),"")</f>
        <v/>
      </c>
      <c r="J445" s="53" t="str">
        <f>IF(C445="","",IF(ISNUMBER(FIND("AMU",$C$14:$C$548)),1,(SUMIF('[1]REP PRODUCCIÓN'!$H$6:$H$1505,"*"&amp;C445&amp;"*",'[1]REP PRODUCCIÓN'!$E$6:$E$1505))))</f>
        <v/>
      </c>
      <c r="K445" s="53">
        <f t="shared" si="19"/>
        <v>0</v>
      </c>
      <c r="M445" s="54" t="str">
        <f>IFERROR(INDEX('[1]REP DISEÑO'!$BA$9:$BA$1008,MATCH('INDIC-DIS2'!C445,'[1]REP DISEÑO'!$D$9:$D$1008,0)),"")</f>
        <v/>
      </c>
      <c r="N445" s="55"/>
      <c r="O445" s="55"/>
      <c r="P445" s="55"/>
      <c r="R445" s="57" t="str">
        <f t="shared" si="20"/>
        <v/>
      </c>
    </row>
    <row r="446" spans="2:18" ht="26.25" customHeight="1" x14ac:dyDescent="0.25">
      <c r="B446" s="49">
        <f t="shared" si="18"/>
        <v>0</v>
      </c>
      <c r="C446" s="50" t="str">
        <f t="array" ref="C446">IFERROR(INDEX('[1]REP DISEÑO'!$D$9:$D$1008,SMALL(IF('[1]REP DISEÑO'!$AW$9:$AW$1008=$J$1,ROW('[1]REP DISEÑO'!$N$9:$N$1008)-ROW('[1]REP DISEÑO'!$N$9),""),ROWS(C$14:C446))+1),"")</f>
        <v/>
      </c>
      <c r="D446" s="51" t="str">
        <f>IFERROR(INDEX('[1]REP DISEÑO'!$N$9:$N$1508,MATCH(C446,'[1]REP DISEÑO'!$D$9:$D$1508,0)),"")</f>
        <v/>
      </c>
      <c r="E446" s="51" t="str">
        <f>IFERROR(INDEX('[1]REP DISEÑO'!$G$9:$G$1508,MATCH(C446,'[1]REP DISEÑO'!$D$9:$D$1508,0)),"")</f>
        <v/>
      </c>
      <c r="F446" s="51" t="str">
        <f>IFERROR(INDEX('[1]REP DISEÑO'!$I$9:$I$1508,MATCH(C446,'[1]REP DISEÑO'!$D$9:$D$1508,0)),"")</f>
        <v/>
      </c>
      <c r="G446" s="51" t="str">
        <f>IFERROR(INDEX('[1]REP DISEÑO'!$M$9:$M$1508,MATCH(C446,'[1]REP DISEÑO'!$D$9:$D$1508,0)),"")</f>
        <v/>
      </c>
      <c r="H446" s="51" t="str">
        <f>IFERROR(INDEX('[1]REP DISEÑO'!$J$9:$J$1508,MATCH(C446,'[1]REP DISEÑO'!$D$9:$D$1508,0)),"")</f>
        <v/>
      </c>
      <c r="I446" s="52" t="str">
        <f>IFERROR(INDEX('[1]REP DISEÑO'!$C$9:$C$1508,MATCH(C446,'[1]REP DISEÑO'!$D$9:$D$1508,0)),"")</f>
        <v/>
      </c>
      <c r="J446" s="53" t="str">
        <f>IF(C446="","",IF(ISNUMBER(FIND("AMU",$C$14:$C$548)),1,(SUMIF('[1]REP PRODUCCIÓN'!$H$6:$H$1505,"*"&amp;C446&amp;"*",'[1]REP PRODUCCIÓN'!$E$6:$E$1505))))</f>
        <v/>
      </c>
      <c r="K446" s="53">
        <f t="shared" si="19"/>
        <v>0</v>
      </c>
      <c r="M446" s="54" t="str">
        <f>IFERROR(INDEX('[1]REP DISEÑO'!$BA$9:$BA$1008,MATCH('INDIC-DIS2'!C446,'[1]REP DISEÑO'!$D$9:$D$1008,0)),"")</f>
        <v/>
      </c>
      <c r="N446" s="55"/>
      <c r="O446" s="55"/>
      <c r="P446" s="55"/>
      <c r="R446" s="57" t="str">
        <f t="shared" si="20"/>
        <v/>
      </c>
    </row>
    <row r="447" spans="2:18" ht="26.25" customHeight="1" x14ac:dyDescent="0.25">
      <c r="B447" s="49">
        <f t="shared" si="18"/>
        <v>0</v>
      </c>
      <c r="C447" s="50" t="str">
        <f t="array" ref="C447">IFERROR(INDEX('[1]REP DISEÑO'!$D$9:$D$1008,SMALL(IF('[1]REP DISEÑO'!$AW$9:$AW$1008=$J$1,ROW('[1]REP DISEÑO'!$N$9:$N$1008)-ROW('[1]REP DISEÑO'!$N$9),""),ROWS(C$14:C447))+1),"")</f>
        <v/>
      </c>
      <c r="D447" s="51" t="str">
        <f>IFERROR(INDEX('[1]REP DISEÑO'!$N$9:$N$1508,MATCH(C447,'[1]REP DISEÑO'!$D$9:$D$1508,0)),"")</f>
        <v/>
      </c>
      <c r="E447" s="51" t="str">
        <f>IFERROR(INDEX('[1]REP DISEÑO'!$G$9:$G$1508,MATCH(C447,'[1]REP DISEÑO'!$D$9:$D$1508,0)),"")</f>
        <v/>
      </c>
      <c r="F447" s="51" t="str">
        <f>IFERROR(INDEX('[1]REP DISEÑO'!$I$9:$I$1508,MATCH(C447,'[1]REP DISEÑO'!$D$9:$D$1508,0)),"")</f>
        <v/>
      </c>
      <c r="G447" s="51" t="str">
        <f>IFERROR(INDEX('[1]REP DISEÑO'!$M$9:$M$1508,MATCH(C447,'[1]REP DISEÑO'!$D$9:$D$1508,0)),"")</f>
        <v/>
      </c>
      <c r="H447" s="51" t="str">
        <f>IFERROR(INDEX('[1]REP DISEÑO'!$J$9:$J$1508,MATCH(C447,'[1]REP DISEÑO'!$D$9:$D$1508,0)),"")</f>
        <v/>
      </c>
      <c r="I447" s="52" t="str">
        <f>IFERROR(INDEX('[1]REP DISEÑO'!$C$9:$C$1508,MATCH(C447,'[1]REP DISEÑO'!$D$9:$D$1508,0)),"")</f>
        <v/>
      </c>
      <c r="J447" s="53" t="str">
        <f>IF(C447="","",IF(ISNUMBER(FIND("AMU",$C$14:$C$548)),1,(SUMIF('[1]REP PRODUCCIÓN'!$H$6:$H$1505,"*"&amp;C447&amp;"*",'[1]REP PRODUCCIÓN'!$E$6:$E$1505))))</f>
        <v/>
      </c>
      <c r="K447" s="53">
        <f t="shared" si="19"/>
        <v>0</v>
      </c>
      <c r="M447" s="54" t="str">
        <f>IFERROR(INDEX('[1]REP DISEÑO'!$BA$9:$BA$1008,MATCH('INDIC-DIS2'!C447,'[1]REP DISEÑO'!$D$9:$D$1008,0)),"")</f>
        <v/>
      </c>
      <c r="N447" s="55"/>
      <c r="O447" s="55"/>
      <c r="P447" s="55"/>
      <c r="R447" s="57" t="str">
        <f t="shared" si="20"/>
        <v/>
      </c>
    </row>
    <row r="448" spans="2:18" ht="26.25" customHeight="1" x14ac:dyDescent="0.25">
      <c r="B448" s="49">
        <f t="shared" si="18"/>
        <v>0</v>
      </c>
      <c r="C448" s="50" t="str">
        <f t="array" ref="C448">IFERROR(INDEX('[1]REP DISEÑO'!$D$9:$D$1008,SMALL(IF('[1]REP DISEÑO'!$AW$9:$AW$1008=$J$1,ROW('[1]REP DISEÑO'!$N$9:$N$1008)-ROW('[1]REP DISEÑO'!$N$9),""),ROWS(C$14:C448))+1),"")</f>
        <v/>
      </c>
      <c r="D448" s="51" t="str">
        <f>IFERROR(INDEX('[1]REP DISEÑO'!$N$9:$N$1508,MATCH(C448,'[1]REP DISEÑO'!$D$9:$D$1508,0)),"")</f>
        <v/>
      </c>
      <c r="E448" s="51" t="str">
        <f>IFERROR(INDEX('[1]REP DISEÑO'!$G$9:$G$1508,MATCH(C448,'[1]REP DISEÑO'!$D$9:$D$1508,0)),"")</f>
        <v/>
      </c>
      <c r="F448" s="51" t="str">
        <f>IFERROR(INDEX('[1]REP DISEÑO'!$I$9:$I$1508,MATCH(C448,'[1]REP DISEÑO'!$D$9:$D$1508,0)),"")</f>
        <v/>
      </c>
      <c r="G448" s="51" t="str">
        <f>IFERROR(INDEX('[1]REP DISEÑO'!$M$9:$M$1508,MATCH(C448,'[1]REP DISEÑO'!$D$9:$D$1508,0)),"")</f>
        <v/>
      </c>
      <c r="H448" s="51" t="str">
        <f>IFERROR(INDEX('[1]REP DISEÑO'!$J$9:$J$1508,MATCH(C448,'[1]REP DISEÑO'!$D$9:$D$1508,0)),"")</f>
        <v/>
      </c>
      <c r="I448" s="52" t="str">
        <f>IFERROR(INDEX('[1]REP DISEÑO'!$C$9:$C$1508,MATCH(C448,'[1]REP DISEÑO'!$D$9:$D$1508,0)),"")</f>
        <v/>
      </c>
      <c r="J448" s="53" t="str">
        <f>IF(C448="","",IF(ISNUMBER(FIND("AMU",$C$14:$C$548)),1,(SUMIF('[1]REP PRODUCCIÓN'!$H$6:$H$1505,"*"&amp;C448&amp;"*",'[1]REP PRODUCCIÓN'!$E$6:$E$1505))))</f>
        <v/>
      </c>
      <c r="K448" s="53">
        <f t="shared" si="19"/>
        <v>0</v>
      </c>
      <c r="M448" s="54" t="str">
        <f>IFERROR(INDEX('[1]REP DISEÑO'!$BA$9:$BA$1008,MATCH('INDIC-DIS2'!C448,'[1]REP DISEÑO'!$D$9:$D$1008,0)),"")</f>
        <v/>
      </c>
      <c r="N448" s="55"/>
      <c r="O448" s="55"/>
      <c r="P448" s="55"/>
      <c r="R448" s="57" t="str">
        <f t="shared" si="20"/>
        <v/>
      </c>
    </row>
    <row r="449" spans="2:18" ht="26.25" customHeight="1" x14ac:dyDescent="0.25">
      <c r="B449" s="49">
        <f t="shared" si="18"/>
        <v>0</v>
      </c>
      <c r="C449" s="50" t="str">
        <f t="array" ref="C449">IFERROR(INDEX('[1]REP DISEÑO'!$D$9:$D$1008,SMALL(IF('[1]REP DISEÑO'!$AW$9:$AW$1008=$J$1,ROW('[1]REP DISEÑO'!$N$9:$N$1008)-ROW('[1]REP DISEÑO'!$N$9),""),ROWS(C$14:C449))+1),"")</f>
        <v/>
      </c>
      <c r="D449" s="51" t="str">
        <f>IFERROR(INDEX('[1]REP DISEÑO'!$N$9:$N$1508,MATCH(C449,'[1]REP DISEÑO'!$D$9:$D$1508,0)),"")</f>
        <v/>
      </c>
      <c r="E449" s="51" t="str">
        <f>IFERROR(INDEX('[1]REP DISEÑO'!$G$9:$G$1508,MATCH(C449,'[1]REP DISEÑO'!$D$9:$D$1508,0)),"")</f>
        <v/>
      </c>
      <c r="F449" s="51" t="str">
        <f>IFERROR(INDEX('[1]REP DISEÑO'!$I$9:$I$1508,MATCH(C449,'[1]REP DISEÑO'!$D$9:$D$1508,0)),"")</f>
        <v/>
      </c>
      <c r="G449" s="51" t="str">
        <f>IFERROR(INDEX('[1]REP DISEÑO'!$M$9:$M$1508,MATCH(C449,'[1]REP DISEÑO'!$D$9:$D$1508,0)),"")</f>
        <v/>
      </c>
      <c r="H449" s="51" t="str">
        <f>IFERROR(INDEX('[1]REP DISEÑO'!$J$9:$J$1508,MATCH(C449,'[1]REP DISEÑO'!$D$9:$D$1508,0)),"")</f>
        <v/>
      </c>
      <c r="I449" s="52" t="str">
        <f>IFERROR(INDEX('[1]REP DISEÑO'!$C$9:$C$1508,MATCH(C449,'[1]REP DISEÑO'!$D$9:$D$1508,0)),"")</f>
        <v/>
      </c>
      <c r="J449" s="53" t="str">
        <f>IF(C449="","",IF(ISNUMBER(FIND("AMU",$C$14:$C$548)),1,(SUMIF('[1]REP PRODUCCIÓN'!$H$6:$H$1505,"*"&amp;C449&amp;"*",'[1]REP PRODUCCIÓN'!$E$6:$E$1505))))</f>
        <v/>
      </c>
      <c r="K449" s="53">
        <f t="shared" si="19"/>
        <v>0</v>
      </c>
      <c r="M449" s="54" t="str">
        <f>IFERROR(INDEX('[1]REP DISEÑO'!$BA$9:$BA$1008,MATCH('INDIC-DIS2'!C449,'[1]REP DISEÑO'!$D$9:$D$1008,0)),"")</f>
        <v/>
      </c>
      <c r="N449" s="55"/>
      <c r="O449" s="55"/>
      <c r="P449" s="55"/>
      <c r="R449" s="57" t="str">
        <f t="shared" si="20"/>
        <v/>
      </c>
    </row>
    <row r="450" spans="2:18" ht="26.25" customHeight="1" x14ac:dyDescent="0.25">
      <c r="B450" s="49">
        <f t="shared" si="18"/>
        <v>0</v>
      </c>
      <c r="C450" s="50" t="str">
        <f t="array" ref="C450">IFERROR(INDEX('[1]REP DISEÑO'!$D$9:$D$1008,SMALL(IF('[1]REP DISEÑO'!$AW$9:$AW$1008=$J$1,ROW('[1]REP DISEÑO'!$N$9:$N$1008)-ROW('[1]REP DISEÑO'!$N$9),""),ROWS(C$14:C450))+1),"")</f>
        <v/>
      </c>
      <c r="D450" s="51" t="str">
        <f>IFERROR(INDEX('[1]REP DISEÑO'!$N$9:$N$1508,MATCH(C450,'[1]REP DISEÑO'!$D$9:$D$1508,0)),"")</f>
        <v/>
      </c>
      <c r="E450" s="51" t="str">
        <f>IFERROR(INDEX('[1]REP DISEÑO'!$G$9:$G$1508,MATCH(C450,'[1]REP DISEÑO'!$D$9:$D$1508,0)),"")</f>
        <v/>
      </c>
      <c r="F450" s="51" t="str">
        <f>IFERROR(INDEX('[1]REP DISEÑO'!$I$9:$I$1508,MATCH(C450,'[1]REP DISEÑO'!$D$9:$D$1508,0)),"")</f>
        <v/>
      </c>
      <c r="G450" s="51" t="str">
        <f>IFERROR(INDEX('[1]REP DISEÑO'!$M$9:$M$1508,MATCH(C450,'[1]REP DISEÑO'!$D$9:$D$1508,0)),"")</f>
        <v/>
      </c>
      <c r="H450" s="51" t="str">
        <f>IFERROR(INDEX('[1]REP DISEÑO'!$J$9:$J$1508,MATCH(C450,'[1]REP DISEÑO'!$D$9:$D$1508,0)),"")</f>
        <v/>
      </c>
      <c r="I450" s="52" t="str">
        <f>IFERROR(INDEX('[1]REP DISEÑO'!$C$9:$C$1508,MATCH(C450,'[1]REP DISEÑO'!$D$9:$D$1508,0)),"")</f>
        <v/>
      </c>
      <c r="J450" s="53" t="str">
        <f>IF(C450="","",IF(ISNUMBER(FIND("AMU",$C$14:$C$548)),1,(SUMIF('[1]REP PRODUCCIÓN'!$H$6:$H$1505,"*"&amp;C450&amp;"*",'[1]REP PRODUCCIÓN'!$E$6:$E$1505))))</f>
        <v/>
      </c>
      <c r="K450" s="53">
        <f t="shared" si="19"/>
        <v>0</v>
      </c>
      <c r="M450" s="54" t="str">
        <f>IFERROR(INDEX('[1]REP DISEÑO'!$BA$9:$BA$1008,MATCH('INDIC-DIS2'!C450,'[1]REP DISEÑO'!$D$9:$D$1008,0)),"")</f>
        <v/>
      </c>
      <c r="N450" s="55"/>
      <c r="O450" s="55"/>
      <c r="P450" s="55"/>
      <c r="R450" s="57" t="str">
        <f t="shared" si="20"/>
        <v/>
      </c>
    </row>
    <row r="451" spans="2:18" ht="26.25" customHeight="1" x14ac:dyDescent="0.25">
      <c r="B451" s="49">
        <f t="shared" si="18"/>
        <v>0</v>
      </c>
      <c r="C451" s="50" t="str">
        <f t="array" ref="C451">IFERROR(INDEX('[1]REP DISEÑO'!$D$9:$D$1008,SMALL(IF('[1]REP DISEÑO'!$AW$9:$AW$1008=$J$1,ROW('[1]REP DISEÑO'!$N$9:$N$1008)-ROW('[1]REP DISEÑO'!$N$9),""),ROWS(C$14:C451))+1),"")</f>
        <v/>
      </c>
      <c r="D451" s="51" t="str">
        <f>IFERROR(INDEX('[1]REP DISEÑO'!$N$9:$N$1508,MATCH(C451,'[1]REP DISEÑO'!$D$9:$D$1508,0)),"")</f>
        <v/>
      </c>
      <c r="E451" s="51" t="str">
        <f>IFERROR(INDEX('[1]REP DISEÑO'!$G$9:$G$1508,MATCH(C451,'[1]REP DISEÑO'!$D$9:$D$1508,0)),"")</f>
        <v/>
      </c>
      <c r="F451" s="51" t="str">
        <f>IFERROR(INDEX('[1]REP DISEÑO'!$I$9:$I$1508,MATCH(C451,'[1]REP DISEÑO'!$D$9:$D$1508,0)),"")</f>
        <v/>
      </c>
      <c r="G451" s="51" t="str">
        <f>IFERROR(INDEX('[1]REP DISEÑO'!$M$9:$M$1508,MATCH(C451,'[1]REP DISEÑO'!$D$9:$D$1508,0)),"")</f>
        <v/>
      </c>
      <c r="H451" s="51" t="str">
        <f>IFERROR(INDEX('[1]REP DISEÑO'!$J$9:$J$1508,MATCH(C451,'[1]REP DISEÑO'!$D$9:$D$1508,0)),"")</f>
        <v/>
      </c>
      <c r="I451" s="52" t="str">
        <f>IFERROR(INDEX('[1]REP DISEÑO'!$C$9:$C$1508,MATCH(C451,'[1]REP DISEÑO'!$D$9:$D$1508,0)),"")</f>
        <v/>
      </c>
      <c r="J451" s="53" t="str">
        <f>IF(C451="","",IF(ISNUMBER(FIND("AMU",$C$14:$C$548)),1,(SUMIF('[1]REP PRODUCCIÓN'!$H$6:$H$1505,"*"&amp;C451&amp;"*",'[1]REP PRODUCCIÓN'!$E$6:$E$1505))))</f>
        <v/>
      </c>
      <c r="K451" s="53">
        <f t="shared" si="19"/>
        <v>0</v>
      </c>
      <c r="M451" s="54" t="str">
        <f>IFERROR(INDEX('[1]REP DISEÑO'!$BA$9:$BA$1008,MATCH('INDIC-DIS2'!C451,'[1]REP DISEÑO'!$D$9:$D$1008,0)),"")</f>
        <v/>
      </c>
      <c r="N451" s="55"/>
      <c r="O451" s="55"/>
      <c r="P451" s="55"/>
      <c r="R451" s="57" t="str">
        <f t="shared" si="20"/>
        <v/>
      </c>
    </row>
    <row r="452" spans="2:18" ht="26.25" customHeight="1" x14ac:dyDescent="0.25">
      <c r="B452" s="49">
        <f t="shared" si="18"/>
        <v>0</v>
      </c>
      <c r="C452" s="50" t="str">
        <f t="array" ref="C452">IFERROR(INDEX('[1]REP DISEÑO'!$D$9:$D$1008,SMALL(IF('[1]REP DISEÑO'!$AW$9:$AW$1008=$J$1,ROW('[1]REP DISEÑO'!$N$9:$N$1008)-ROW('[1]REP DISEÑO'!$N$9),""),ROWS(C$14:C452))+1),"")</f>
        <v/>
      </c>
      <c r="D452" s="51" t="str">
        <f>IFERROR(INDEX('[1]REP DISEÑO'!$N$9:$N$1508,MATCH(C452,'[1]REP DISEÑO'!$D$9:$D$1508,0)),"")</f>
        <v/>
      </c>
      <c r="E452" s="51" t="str">
        <f>IFERROR(INDEX('[1]REP DISEÑO'!$G$9:$G$1508,MATCH(C452,'[1]REP DISEÑO'!$D$9:$D$1508,0)),"")</f>
        <v/>
      </c>
      <c r="F452" s="51" t="str">
        <f>IFERROR(INDEX('[1]REP DISEÑO'!$I$9:$I$1508,MATCH(C452,'[1]REP DISEÑO'!$D$9:$D$1508,0)),"")</f>
        <v/>
      </c>
      <c r="G452" s="51" t="str">
        <f>IFERROR(INDEX('[1]REP DISEÑO'!$M$9:$M$1508,MATCH(C452,'[1]REP DISEÑO'!$D$9:$D$1508,0)),"")</f>
        <v/>
      </c>
      <c r="H452" s="51" t="str">
        <f>IFERROR(INDEX('[1]REP DISEÑO'!$J$9:$J$1508,MATCH(C452,'[1]REP DISEÑO'!$D$9:$D$1508,0)),"")</f>
        <v/>
      </c>
      <c r="I452" s="52" t="str">
        <f>IFERROR(INDEX('[1]REP DISEÑO'!$C$9:$C$1508,MATCH(C452,'[1]REP DISEÑO'!$D$9:$D$1508,0)),"")</f>
        <v/>
      </c>
      <c r="J452" s="53" t="str">
        <f>IF(C452="","",IF(ISNUMBER(FIND("AMU",$C$14:$C$548)),1,(SUMIF('[1]REP PRODUCCIÓN'!$H$6:$H$1505,"*"&amp;C452&amp;"*",'[1]REP PRODUCCIÓN'!$E$6:$E$1505))))</f>
        <v/>
      </c>
      <c r="K452" s="53">
        <f t="shared" si="19"/>
        <v>0</v>
      </c>
      <c r="M452" s="54" t="str">
        <f>IFERROR(INDEX('[1]REP DISEÑO'!$BA$9:$BA$1008,MATCH('INDIC-DIS2'!C452,'[1]REP DISEÑO'!$D$9:$D$1008,0)),"")</f>
        <v/>
      </c>
      <c r="N452" s="55"/>
      <c r="O452" s="55"/>
      <c r="P452" s="55"/>
      <c r="R452" s="57" t="str">
        <f t="shared" si="20"/>
        <v/>
      </c>
    </row>
    <row r="453" spans="2:18" ht="26.25" customHeight="1" x14ac:dyDescent="0.25">
      <c r="B453" s="49">
        <f t="shared" si="18"/>
        <v>0</v>
      </c>
      <c r="C453" s="50" t="str">
        <f t="array" ref="C453">IFERROR(INDEX('[1]REP DISEÑO'!$D$9:$D$1008,SMALL(IF('[1]REP DISEÑO'!$AW$9:$AW$1008=$J$1,ROW('[1]REP DISEÑO'!$N$9:$N$1008)-ROW('[1]REP DISEÑO'!$N$9),""),ROWS(C$14:C453))+1),"")</f>
        <v/>
      </c>
      <c r="D453" s="51" t="str">
        <f>IFERROR(INDEX('[1]REP DISEÑO'!$N$9:$N$1508,MATCH(C453,'[1]REP DISEÑO'!$D$9:$D$1508,0)),"")</f>
        <v/>
      </c>
      <c r="E453" s="51" t="str">
        <f>IFERROR(INDEX('[1]REP DISEÑO'!$G$9:$G$1508,MATCH(C453,'[1]REP DISEÑO'!$D$9:$D$1508,0)),"")</f>
        <v/>
      </c>
      <c r="F453" s="51" t="str">
        <f>IFERROR(INDEX('[1]REP DISEÑO'!$I$9:$I$1508,MATCH(C453,'[1]REP DISEÑO'!$D$9:$D$1508,0)),"")</f>
        <v/>
      </c>
      <c r="G453" s="51" t="str">
        <f>IFERROR(INDEX('[1]REP DISEÑO'!$M$9:$M$1508,MATCH(C453,'[1]REP DISEÑO'!$D$9:$D$1508,0)),"")</f>
        <v/>
      </c>
      <c r="H453" s="51" t="str">
        <f>IFERROR(INDEX('[1]REP DISEÑO'!$J$9:$J$1508,MATCH(C453,'[1]REP DISEÑO'!$D$9:$D$1508,0)),"")</f>
        <v/>
      </c>
      <c r="I453" s="52" t="str">
        <f>IFERROR(INDEX('[1]REP DISEÑO'!$C$9:$C$1508,MATCH(C453,'[1]REP DISEÑO'!$D$9:$D$1508,0)),"")</f>
        <v/>
      </c>
      <c r="J453" s="53" t="str">
        <f>IF(C453="","",IF(ISNUMBER(FIND("AMU",$C$14:$C$548)),1,(SUMIF('[1]REP PRODUCCIÓN'!$H$6:$H$1505,"*"&amp;C453&amp;"*",'[1]REP PRODUCCIÓN'!$E$6:$E$1505))))</f>
        <v/>
      </c>
      <c r="K453" s="53">
        <f t="shared" si="19"/>
        <v>0</v>
      </c>
      <c r="M453" s="54" t="str">
        <f>IFERROR(INDEX('[1]REP DISEÑO'!$BA$9:$BA$1008,MATCH('INDIC-DIS2'!C453,'[1]REP DISEÑO'!$D$9:$D$1008,0)),"")</f>
        <v/>
      </c>
      <c r="N453" s="55"/>
      <c r="O453" s="55"/>
      <c r="P453" s="55"/>
      <c r="R453" s="57" t="str">
        <f t="shared" si="20"/>
        <v/>
      </c>
    </row>
    <row r="454" spans="2:18" ht="26.25" customHeight="1" x14ac:dyDescent="0.25">
      <c r="B454" s="49">
        <f t="shared" si="18"/>
        <v>0</v>
      </c>
      <c r="C454" s="50" t="str">
        <f t="array" ref="C454">IFERROR(INDEX('[1]REP DISEÑO'!$D$9:$D$1008,SMALL(IF('[1]REP DISEÑO'!$AW$9:$AW$1008=$J$1,ROW('[1]REP DISEÑO'!$N$9:$N$1008)-ROW('[1]REP DISEÑO'!$N$9),""),ROWS(C$14:C454))+1),"")</f>
        <v/>
      </c>
      <c r="D454" s="51" t="str">
        <f>IFERROR(INDEX('[1]REP DISEÑO'!$N$9:$N$1508,MATCH(C454,'[1]REP DISEÑO'!$D$9:$D$1508,0)),"")</f>
        <v/>
      </c>
      <c r="E454" s="51" t="str">
        <f>IFERROR(INDEX('[1]REP DISEÑO'!$G$9:$G$1508,MATCH(C454,'[1]REP DISEÑO'!$D$9:$D$1508,0)),"")</f>
        <v/>
      </c>
      <c r="F454" s="51" t="str">
        <f>IFERROR(INDEX('[1]REP DISEÑO'!$I$9:$I$1508,MATCH(C454,'[1]REP DISEÑO'!$D$9:$D$1508,0)),"")</f>
        <v/>
      </c>
      <c r="G454" s="51" t="str">
        <f>IFERROR(INDEX('[1]REP DISEÑO'!$M$9:$M$1508,MATCH(C454,'[1]REP DISEÑO'!$D$9:$D$1508,0)),"")</f>
        <v/>
      </c>
      <c r="H454" s="51" t="str">
        <f>IFERROR(INDEX('[1]REP DISEÑO'!$J$9:$J$1508,MATCH(C454,'[1]REP DISEÑO'!$D$9:$D$1508,0)),"")</f>
        <v/>
      </c>
      <c r="I454" s="52" t="str">
        <f>IFERROR(INDEX('[1]REP DISEÑO'!$C$9:$C$1508,MATCH(C454,'[1]REP DISEÑO'!$D$9:$D$1508,0)),"")</f>
        <v/>
      </c>
      <c r="J454" s="53" t="str">
        <f>IF(C454="","",IF(ISNUMBER(FIND("AMU",$C$14:$C$548)),1,(SUMIF('[1]REP PRODUCCIÓN'!$H$6:$H$1505,"*"&amp;C454&amp;"*",'[1]REP PRODUCCIÓN'!$E$6:$E$1505))))</f>
        <v/>
      </c>
      <c r="K454" s="53">
        <f t="shared" si="19"/>
        <v>0</v>
      </c>
      <c r="M454" s="54" t="str">
        <f>IFERROR(INDEX('[1]REP DISEÑO'!$BA$9:$BA$1008,MATCH('INDIC-DIS2'!C454,'[1]REP DISEÑO'!$D$9:$D$1008,0)),"")</f>
        <v/>
      </c>
      <c r="N454" s="55"/>
      <c r="O454" s="55"/>
      <c r="P454" s="55"/>
      <c r="R454" s="57" t="str">
        <f t="shared" si="20"/>
        <v/>
      </c>
    </row>
    <row r="455" spans="2:18" ht="26.25" customHeight="1" x14ac:dyDescent="0.25">
      <c r="B455" s="49">
        <f t="shared" si="18"/>
        <v>0</v>
      </c>
      <c r="C455" s="50" t="str">
        <f t="array" ref="C455">IFERROR(INDEX('[1]REP DISEÑO'!$D$9:$D$1008,SMALL(IF('[1]REP DISEÑO'!$AW$9:$AW$1008=$J$1,ROW('[1]REP DISEÑO'!$N$9:$N$1008)-ROW('[1]REP DISEÑO'!$N$9),""),ROWS(C$14:C455))+1),"")</f>
        <v/>
      </c>
      <c r="D455" s="51" t="str">
        <f>IFERROR(INDEX('[1]REP DISEÑO'!$N$9:$N$1508,MATCH(C455,'[1]REP DISEÑO'!$D$9:$D$1508,0)),"")</f>
        <v/>
      </c>
      <c r="E455" s="51" t="str">
        <f>IFERROR(INDEX('[1]REP DISEÑO'!$G$9:$G$1508,MATCH(C455,'[1]REP DISEÑO'!$D$9:$D$1508,0)),"")</f>
        <v/>
      </c>
      <c r="F455" s="51" t="str">
        <f>IFERROR(INDEX('[1]REP DISEÑO'!$I$9:$I$1508,MATCH(C455,'[1]REP DISEÑO'!$D$9:$D$1508,0)),"")</f>
        <v/>
      </c>
      <c r="G455" s="51" t="str">
        <f>IFERROR(INDEX('[1]REP DISEÑO'!$M$9:$M$1508,MATCH(C455,'[1]REP DISEÑO'!$D$9:$D$1508,0)),"")</f>
        <v/>
      </c>
      <c r="H455" s="51" t="str">
        <f>IFERROR(INDEX('[1]REP DISEÑO'!$J$9:$J$1508,MATCH(C455,'[1]REP DISEÑO'!$D$9:$D$1508,0)),"")</f>
        <v/>
      </c>
      <c r="I455" s="52" t="str">
        <f>IFERROR(INDEX('[1]REP DISEÑO'!$C$9:$C$1508,MATCH(C455,'[1]REP DISEÑO'!$D$9:$D$1508,0)),"")</f>
        <v/>
      </c>
      <c r="J455" s="53" t="str">
        <f>IF(C455="","",IF(ISNUMBER(FIND("AMU",$C$14:$C$548)),1,(SUMIF('[1]REP PRODUCCIÓN'!$H$6:$H$1505,"*"&amp;C455&amp;"*",'[1]REP PRODUCCIÓN'!$E$6:$E$1505))))</f>
        <v/>
      </c>
      <c r="K455" s="53">
        <f t="shared" si="19"/>
        <v>0</v>
      </c>
      <c r="M455" s="54" t="str">
        <f>IFERROR(INDEX('[1]REP DISEÑO'!$BA$9:$BA$1008,MATCH('INDIC-DIS2'!C455,'[1]REP DISEÑO'!$D$9:$D$1008,0)),"")</f>
        <v/>
      </c>
      <c r="N455" s="55"/>
      <c r="O455" s="55"/>
      <c r="P455" s="55"/>
      <c r="R455" s="57" t="str">
        <f t="shared" si="20"/>
        <v/>
      </c>
    </row>
    <row r="456" spans="2:18" ht="26.25" customHeight="1" x14ac:dyDescent="0.25">
      <c r="B456" s="49">
        <f t="shared" si="18"/>
        <v>0</v>
      </c>
      <c r="C456" s="50" t="str">
        <f t="array" ref="C456">IFERROR(INDEX('[1]REP DISEÑO'!$D$9:$D$1008,SMALL(IF('[1]REP DISEÑO'!$AW$9:$AW$1008=$J$1,ROW('[1]REP DISEÑO'!$N$9:$N$1008)-ROW('[1]REP DISEÑO'!$N$9),""),ROWS(C$14:C456))+1),"")</f>
        <v/>
      </c>
      <c r="D456" s="51" t="str">
        <f>IFERROR(INDEX('[1]REP DISEÑO'!$N$9:$N$1508,MATCH(C456,'[1]REP DISEÑO'!$D$9:$D$1508,0)),"")</f>
        <v/>
      </c>
      <c r="E456" s="51" t="str">
        <f>IFERROR(INDEX('[1]REP DISEÑO'!$G$9:$G$1508,MATCH(C456,'[1]REP DISEÑO'!$D$9:$D$1508,0)),"")</f>
        <v/>
      </c>
      <c r="F456" s="51" t="str">
        <f>IFERROR(INDEX('[1]REP DISEÑO'!$I$9:$I$1508,MATCH(C456,'[1]REP DISEÑO'!$D$9:$D$1508,0)),"")</f>
        <v/>
      </c>
      <c r="G456" s="51" t="str">
        <f>IFERROR(INDEX('[1]REP DISEÑO'!$M$9:$M$1508,MATCH(C456,'[1]REP DISEÑO'!$D$9:$D$1508,0)),"")</f>
        <v/>
      </c>
      <c r="H456" s="51" t="str">
        <f>IFERROR(INDEX('[1]REP DISEÑO'!$J$9:$J$1508,MATCH(C456,'[1]REP DISEÑO'!$D$9:$D$1508,0)),"")</f>
        <v/>
      </c>
      <c r="I456" s="52" t="str">
        <f>IFERROR(INDEX('[1]REP DISEÑO'!$C$9:$C$1508,MATCH(C456,'[1]REP DISEÑO'!$D$9:$D$1508,0)),"")</f>
        <v/>
      </c>
      <c r="J456" s="53" t="str">
        <f>IF(C456="","",IF(ISNUMBER(FIND("AMU",$C$14:$C$548)),1,(SUMIF('[1]REP PRODUCCIÓN'!$H$6:$H$1505,"*"&amp;C456&amp;"*",'[1]REP PRODUCCIÓN'!$E$6:$E$1505))))</f>
        <v/>
      </c>
      <c r="K456" s="53">
        <f t="shared" si="19"/>
        <v>0</v>
      </c>
      <c r="M456" s="54" t="str">
        <f>IFERROR(INDEX('[1]REP DISEÑO'!$BA$9:$BA$1008,MATCH('INDIC-DIS2'!C456,'[1]REP DISEÑO'!$D$9:$D$1008,0)),"")</f>
        <v/>
      </c>
      <c r="N456" s="55"/>
      <c r="O456" s="55"/>
      <c r="P456" s="55"/>
      <c r="R456" s="57" t="str">
        <f t="shared" si="20"/>
        <v/>
      </c>
    </row>
    <row r="457" spans="2:18" ht="26.25" customHeight="1" x14ac:dyDescent="0.25">
      <c r="B457" s="49">
        <f t="shared" si="18"/>
        <v>0</v>
      </c>
      <c r="C457" s="50" t="str">
        <f t="array" ref="C457">IFERROR(INDEX('[1]REP DISEÑO'!$D$9:$D$1008,SMALL(IF('[1]REP DISEÑO'!$AW$9:$AW$1008=$J$1,ROW('[1]REP DISEÑO'!$N$9:$N$1008)-ROW('[1]REP DISEÑO'!$N$9),""),ROWS(C$14:C457))+1),"")</f>
        <v/>
      </c>
      <c r="D457" s="51" t="str">
        <f>IFERROR(INDEX('[1]REP DISEÑO'!$N$9:$N$1508,MATCH(C457,'[1]REP DISEÑO'!$D$9:$D$1508,0)),"")</f>
        <v/>
      </c>
      <c r="E457" s="51" t="str">
        <f>IFERROR(INDEX('[1]REP DISEÑO'!$G$9:$G$1508,MATCH(C457,'[1]REP DISEÑO'!$D$9:$D$1508,0)),"")</f>
        <v/>
      </c>
      <c r="F457" s="51" t="str">
        <f>IFERROR(INDEX('[1]REP DISEÑO'!$I$9:$I$1508,MATCH(C457,'[1]REP DISEÑO'!$D$9:$D$1508,0)),"")</f>
        <v/>
      </c>
      <c r="G457" s="51" t="str">
        <f>IFERROR(INDEX('[1]REP DISEÑO'!$M$9:$M$1508,MATCH(C457,'[1]REP DISEÑO'!$D$9:$D$1508,0)),"")</f>
        <v/>
      </c>
      <c r="H457" s="51" t="str">
        <f>IFERROR(INDEX('[1]REP DISEÑO'!$J$9:$J$1508,MATCH(C457,'[1]REP DISEÑO'!$D$9:$D$1508,0)),"")</f>
        <v/>
      </c>
      <c r="I457" s="52" t="str">
        <f>IFERROR(INDEX('[1]REP DISEÑO'!$C$9:$C$1508,MATCH(C457,'[1]REP DISEÑO'!$D$9:$D$1508,0)),"")</f>
        <v/>
      </c>
      <c r="J457" s="53" t="str">
        <f>IF(C457="","",IF(ISNUMBER(FIND("AMU",$C$14:$C$548)),1,(SUMIF('[1]REP PRODUCCIÓN'!$H$6:$H$1505,"*"&amp;C457&amp;"*",'[1]REP PRODUCCIÓN'!$E$6:$E$1505))))</f>
        <v/>
      </c>
      <c r="K457" s="53">
        <f t="shared" si="19"/>
        <v>0</v>
      </c>
      <c r="M457" s="54" t="str">
        <f>IFERROR(INDEX('[1]REP DISEÑO'!$BA$9:$BA$1008,MATCH('INDIC-DIS2'!C457,'[1]REP DISEÑO'!$D$9:$D$1008,0)),"")</f>
        <v/>
      </c>
      <c r="N457" s="55"/>
      <c r="O457" s="55"/>
      <c r="P457" s="55"/>
      <c r="R457" s="57" t="str">
        <f t="shared" si="20"/>
        <v/>
      </c>
    </row>
    <row r="458" spans="2:18" ht="26.25" customHeight="1" x14ac:dyDescent="0.25">
      <c r="B458" s="49">
        <f t="shared" si="18"/>
        <v>0</v>
      </c>
      <c r="C458" s="50" t="str">
        <f t="array" ref="C458">IFERROR(INDEX('[1]REP DISEÑO'!$D$9:$D$1008,SMALL(IF('[1]REP DISEÑO'!$AW$9:$AW$1008=$J$1,ROW('[1]REP DISEÑO'!$N$9:$N$1008)-ROW('[1]REP DISEÑO'!$N$9),""),ROWS(C$14:C458))+1),"")</f>
        <v/>
      </c>
      <c r="D458" s="51" t="str">
        <f>IFERROR(INDEX('[1]REP DISEÑO'!$N$9:$N$1508,MATCH(C458,'[1]REP DISEÑO'!$D$9:$D$1508,0)),"")</f>
        <v/>
      </c>
      <c r="E458" s="51" t="str">
        <f>IFERROR(INDEX('[1]REP DISEÑO'!$G$9:$G$1508,MATCH(C458,'[1]REP DISEÑO'!$D$9:$D$1508,0)),"")</f>
        <v/>
      </c>
      <c r="F458" s="51" t="str">
        <f>IFERROR(INDEX('[1]REP DISEÑO'!$I$9:$I$1508,MATCH(C458,'[1]REP DISEÑO'!$D$9:$D$1508,0)),"")</f>
        <v/>
      </c>
      <c r="G458" s="51" t="str">
        <f>IFERROR(INDEX('[1]REP DISEÑO'!$M$9:$M$1508,MATCH(C458,'[1]REP DISEÑO'!$D$9:$D$1508,0)),"")</f>
        <v/>
      </c>
      <c r="H458" s="51" t="str">
        <f>IFERROR(INDEX('[1]REP DISEÑO'!$J$9:$J$1508,MATCH(C458,'[1]REP DISEÑO'!$D$9:$D$1508,0)),"")</f>
        <v/>
      </c>
      <c r="I458" s="52" t="str">
        <f>IFERROR(INDEX('[1]REP DISEÑO'!$C$9:$C$1508,MATCH(C458,'[1]REP DISEÑO'!$D$9:$D$1508,0)),"")</f>
        <v/>
      </c>
      <c r="J458" s="53" t="str">
        <f>IF(C458="","",IF(ISNUMBER(FIND("AMU",$C$14:$C$548)),1,(SUMIF('[1]REP PRODUCCIÓN'!$H$6:$H$1505,"*"&amp;C458&amp;"*",'[1]REP PRODUCCIÓN'!$E$6:$E$1505))))</f>
        <v/>
      </c>
      <c r="K458" s="53">
        <f t="shared" si="19"/>
        <v>0</v>
      </c>
      <c r="M458" s="54" t="str">
        <f>IFERROR(INDEX('[1]REP DISEÑO'!$BA$9:$BA$1008,MATCH('INDIC-DIS2'!C458,'[1]REP DISEÑO'!$D$9:$D$1008,0)),"")</f>
        <v/>
      </c>
      <c r="N458" s="55"/>
      <c r="O458" s="55"/>
      <c r="P458" s="55"/>
      <c r="R458" s="57" t="str">
        <f t="shared" si="20"/>
        <v/>
      </c>
    </row>
    <row r="459" spans="2:18" ht="26.25" customHeight="1" x14ac:dyDescent="0.25">
      <c r="B459" s="49">
        <f t="shared" si="18"/>
        <v>0</v>
      </c>
      <c r="C459" s="50" t="str">
        <f t="array" ref="C459">IFERROR(INDEX('[1]REP DISEÑO'!$D$9:$D$1008,SMALL(IF('[1]REP DISEÑO'!$AW$9:$AW$1008=$J$1,ROW('[1]REP DISEÑO'!$N$9:$N$1008)-ROW('[1]REP DISEÑO'!$N$9),""),ROWS(C$14:C459))+1),"")</f>
        <v/>
      </c>
      <c r="D459" s="51" t="str">
        <f>IFERROR(INDEX('[1]REP DISEÑO'!$N$9:$N$1508,MATCH(C459,'[1]REP DISEÑO'!$D$9:$D$1508,0)),"")</f>
        <v/>
      </c>
      <c r="E459" s="51" t="str">
        <f>IFERROR(INDEX('[1]REP DISEÑO'!$G$9:$G$1508,MATCH(C459,'[1]REP DISEÑO'!$D$9:$D$1508,0)),"")</f>
        <v/>
      </c>
      <c r="F459" s="51" t="str">
        <f>IFERROR(INDEX('[1]REP DISEÑO'!$I$9:$I$1508,MATCH(C459,'[1]REP DISEÑO'!$D$9:$D$1508,0)),"")</f>
        <v/>
      </c>
      <c r="G459" s="51" t="str">
        <f>IFERROR(INDEX('[1]REP DISEÑO'!$M$9:$M$1508,MATCH(C459,'[1]REP DISEÑO'!$D$9:$D$1508,0)),"")</f>
        <v/>
      </c>
      <c r="H459" s="51" t="str">
        <f>IFERROR(INDEX('[1]REP DISEÑO'!$J$9:$J$1508,MATCH(C459,'[1]REP DISEÑO'!$D$9:$D$1508,0)),"")</f>
        <v/>
      </c>
      <c r="I459" s="52" t="str">
        <f>IFERROR(INDEX('[1]REP DISEÑO'!$C$9:$C$1508,MATCH(C459,'[1]REP DISEÑO'!$D$9:$D$1508,0)),"")</f>
        <v/>
      </c>
      <c r="J459" s="53" t="str">
        <f>IF(C459="","",IF(ISNUMBER(FIND("AMU",$C$14:$C$548)),1,(SUMIF('[1]REP PRODUCCIÓN'!$H$6:$H$1505,"*"&amp;C459&amp;"*",'[1]REP PRODUCCIÓN'!$E$6:$E$1505))))</f>
        <v/>
      </c>
      <c r="K459" s="53">
        <f t="shared" si="19"/>
        <v>0</v>
      </c>
      <c r="M459" s="54" t="str">
        <f>IFERROR(INDEX('[1]REP DISEÑO'!$BA$9:$BA$1008,MATCH('INDIC-DIS2'!C459,'[1]REP DISEÑO'!$D$9:$D$1008,0)),"")</f>
        <v/>
      </c>
      <c r="N459" s="55"/>
      <c r="O459" s="55"/>
      <c r="P459" s="55"/>
      <c r="R459" s="57" t="str">
        <f t="shared" si="20"/>
        <v/>
      </c>
    </row>
    <row r="460" spans="2:18" ht="26.25" customHeight="1" x14ac:dyDescent="0.25">
      <c r="B460" s="49">
        <f t="shared" si="18"/>
        <v>0</v>
      </c>
      <c r="C460" s="50" t="str">
        <f t="array" ref="C460">IFERROR(INDEX('[1]REP DISEÑO'!$D$9:$D$1008,SMALL(IF('[1]REP DISEÑO'!$AW$9:$AW$1008=$J$1,ROW('[1]REP DISEÑO'!$N$9:$N$1008)-ROW('[1]REP DISEÑO'!$N$9),""),ROWS(C$14:C460))+1),"")</f>
        <v/>
      </c>
      <c r="D460" s="51" t="str">
        <f>IFERROR(INDEX('[1]REP DISEÑO'!$N$9:$N$1508,MATCH(C460,'[1]REP DISEÑO'!$D$9:$D$1508,0)),"")</f>
        <v/>
      </c>
      <c r="E460" s="51" t="str">
        <f>IFERROR(INDEX('[1]REP DISEÑO'!$G$9:$G$1508,MATCH(C460,'[1]REP DISEÑO'!$D$9:$D$1508,0)),"")</f>
        <v/>
      </c>
      <c r="F460" s="51" t="str">
        <f>IFERROR(INDEX('[1]REP DISEÑO'!$I$9:$I$1508,MATCH(C460,'[1]REP DISEÑO'!$D$9:$D$1508,0)),"")</f>
        <v/>
      </c>
      <c r="G460" s="51" t="str">
        <f>IFERROR(INDEX('[1]REP DISEÑO'!$M$9:$M$1508,MATCH(C460,'[1]REP DISEÑO'!$D$9:$D$1508,0)),"")</f>
        <v/>
      </c>
      <c r="H460" s="51" t="str">
        <f>IFERROR(INDEX('[1]REP DISEÑO'!$J$9:$J$1508,MATCH(C460,'[1]REP DISEÑO'!$D$9:$D$1508,0)),"")</f>
        <v/>
      </c>
      <c r="I460" s="52" t="str">
        <f>IFERROR(INDEX('[1]REP DISEÑO'!$C$9:$C$1508,MATCH(C460,'[1]REP DISEÑO'!$D$9:$D$1508,0)),"")</f>
        <v/>
      </c>
      <c r="J460" s="53" t="str">
        <f>IF(C460="","",IF(ISNUMBER(FIND("AMU",$C$14:$C$548)),1,(SUMIF('[1]REP PRODUCCIÓN'!$H$6:$H$1505,"*"&amp;C460&amp;"*",'[1]REP PRODUCCIÓN'!$E$6:$E$1505))))</f>
        <v/>
      </c>
      <c r="K460" s="53">
        <f t="shared" si="19"/>
        <v>0</v>
      </c>
      <c r="M460" s="54" t="str">
        <f>IFERROR(INDEX('[1]REP DISEÑO'!$BA$9:$BA$1008,MATCH('INDIC-DIS2'!C460,'[1]REP DISEÑO'!$D$9:$D$1008,0)),"")</f>
        <v/>
      </c>
      <c r="N460" s="55"/>
      <c r="O460" s="55"/>
      <c r="P460" s="55"/>
      <c r="R460" s="57" t="str">
        <f t="shared" si="20"/>
        <v/>
      </c>
    </row>
    <row r="461" spans="2:18" ht="26.25" customHeight="1" x14ac:dyDescent="0.25">
      <c r="B461" s="49">
        <f t="shared" si="18"/>
        <v>0</v>
      </c>
      <c r="C461" s="50" t="str">
        <f t="array" ref="C461">IFERROR(INDEX('[1]REP DISEÑO'!$D$9:$D$1008,SMALL(IF('[1]REP DISEÑO'!$AW$9:$AW$1008=$J$1,ROW('[1]REP DISEÑO'!$N$9:$N$1008)-ROW('[1]REP DISEÑO'!$N$9),""),ROWS(C$14:C461))+1),"")</f>
        <v/>
      </c>
      <c r="D461" s="51" t="str">
        <f>IFERROR(INDEX('[1]REP DISEÑO'!$N$9:$N$1508,MATCH(C461,'[1]REP DISEÑO'!$D$9:$D$1508,0)),"")</f>
        <v/>
      </c>
      <c r="E461" s="51" t="str">
        <f>IFERROR(INDEX('[1]REP DISEÑO'!$G$9:$G$1508,MATCH(C461,'[1]REP DISEÑO'!$D$9:$D$1508,0)),"")</f>
        <v/>
      </c>
      <c r="F461" s="51" t="str">
        <f>IFERROR(INDEX('[1]REP DISEÑO'!$I$9:$I$1508,MATCH(C461,'[1]REP DISEÑO'!$D$9:$D$1508,0)),"")</f>
        <v/>
      </c>
      <c r="G461" s="51" t="str">
        <f>IFERROR(INDEX('[1]REP DISEÑO'!$M$9:$M$1508,MATCH(C461,'[1]REP DISEÑO'!$D$9:$D$1508,0)),"")</f>
        <v/>
      </c>
      <c r="H461" s="51" t="str">
        <f>IFERROR(INDEX('[1]REP DISEÑO'!$J$9:$J$1508,MATCH(C461,'[1]REP DISEÑO'!$D$9:$D$1508,0)),"")</f>
        <v/>
      </c>
      <c r="I461" s="52" t="str">
        <f>IFERROR(INDEX('[1]REP DISEÑO'!$C$9:$C$1508,MATCH(C461,'[1]REP DISEÑO'!$D$9:$D$1508,0)),"")</f>
        <v/>
      </c>
      <c r="J461" s="53" t="str">
        <f>IF(C461="","",IF(ISNUMBER(FIND("AMU",$C$14:$C$548)),1,(SUMIF('[1]REP PRODUCCIÓN'!$H$6:$H$1505,"*"&amp;C461&amp;"*",'[1]REP PRODUCCIÓN'!$E$6:$E$1505))))</f>
        <v/>
      </c>
      <c r="K461" s="53">
        <f t="shared" si="19"/>
        <v>0</v>
      </c>
      <c r="M461" s="54" t="str">
        <f>IFERROR(INDEX('[1]REP DISEÑO'!$BA$9:$BA$1008,MATCH('INDIC-DIS2'!C461,'[1]REP DISEÑO'!$D$9:$D$1008,0)),"")</f>
        <v/>
      </c>
      <c r="N461" s="55"/>
      <c r="O461" s="55"/>
      <c r="P461" s="55"/>
      <c r="R461" s="57" t="str">
        <f t="shared" si="20"/>
        <v/>
      </c>
    </row>
    <row r="462" spans="2:18" ht="26.25" customHeight="1" x14ac:dyDescent="0.25">
      <c r="B462" s="49">
        <f t="shared" si="18"/>
        <v>0</v>
      </c>
      <c r="C462" s="50" t="str">
        <f t="array" ref="C462">IFERROR(INDEX('[1]REP DISEÑO'!$D$9:$D$1008,SMALL(IF('[1]REP DISEÑO'!$AW$9:$AW$1008=$J$1,ROW('[1]REP DISEÑO'!$N$9:$N$1008)-ROW('[1]REP DISEÑO'!$N$9),""),ROWS(C$14:C462))+1),"")</f>
        <v/>
      </c>
      <c r="D462" s="51" t="str">
        <f>IFERROR(INDEX('[1]REP DISEÑO'!$N$9:$N$1508,MATCH(C462,'[1]REP DISEÑO'!$D$9:$D$1508,0)),"")</f>
        <v/>
      </c>
      <c r="E462" s="51" t="str">
        <f>IFERROR(INDEX('[1]REP DISEÑO'!$G$9:$G$1508,MATCH(C462,'[1]REP DISEÑO'!$D$9:$D$1508,0)),"")</f>
        <v/>
      </c>
      <c r="F462" s="51" t="str">
        <f>IFERROR(INDEX('[1]REP DISEÑO'!$I$9:$I$1508,MATCH(C462,'[1]REP DISEÑO'!$D$9:$D$1508,0)),"")</f>
        <v/>
      </c>
      <c r="G462" s="51" t="str">
        <f>IFERROR(INDEX('[1]REP DISEÑO'!$M$9:$M$1508,MATCH(C462,'[1]REP DISEÑO'!$D$9:$D$1508,0)),"")</f>
        <v/>
      </c>
      <c r="H462" s="51" t="str">
        <f>IFERROR(INDEX('[1]REP DISEÑO'!$J$9:$J$1508,MATCH(C462,'[1]REP DISEÑO'!$D$9:$D$1508,0)),"")</f>
        <v/>
      </c>
      <c r="I462" s="52" t="str">
        <f>IFERROR(INDEX('[1]REP DISEÑO'!$C$9:$C$1508,MATCH(C462,'[1]REP DISEÑO'!$D$9:$D$1508,0)),"")</f>
        <v/>
      </c>
      <c r="J462" s="53" t="str">
        <f>IF(C462="","",IF(ISNUMBER(FIND("AMU",$C$14:$C$548)),1,(SUMIF('[1]REP PRODUCCIÓN'!$H$6:$H$1505,"*"&amp;C462&amp;"*",'[1]REP PRODUCCIÓN'!$E$6:$E$1505))))</f>
        <v/>
      </c>
      <c r="K462" s="53">
        <f t="shared" si="19"/>
        <v>0</v>
      </c>
      <c r="M462" s="54" t="str">
        <f>IFERROR(INDEX('[1]REP DISEÑO'!$BA$9:$BA$1008,MATCH('INDIC-DIS2'!C462,'[1]REP DISEÑO'!$D$9:$D$1008,0)),"")</f>
        <v/>
      </c>
      <c r="N462" s="55"/>
      <c r="O462" s="55"/>
      <c r="P462" s="55"/>
      <c r="R462" s="57" t="str">
        <f t="shared" si="20"/>
        <v/>
      </c>
    </row>
    <row r="463" spans="2:18" ht="26.25" customHeight="1" x14ac:dyDescent="0.25">
      <c r="B463" s="49">
        <f t="shared" ref="B463:B526" si="21">IF(J463="",0,IF(OR(J463&gt;0,ISNUMBER(FIND("AMU",$C$14:$C$548))),1,0))</f>
        <v>0</v>
      </c>
      <c r="C463" s="50" t="str">
        <f t="array" ref="C463">IFERROR(INDEX('[1]REP DISEÑO'!$D$9:$D$1008,SMALL(IF('[1]REP DISEÑO'!$AW$9:$AW$1008=$J$1,ROW('[1]REP DISEÑO'!$N$9:$N$1008)-ROW('[1]REP DISEÑO'!$N$9),""),ROWS(C$14:C463))+1),"")</f>
        <v/>
      </c>
      <c r="D463" s="51" t="str">
        <f>IFERROR(INDEX('[1]REP DISEÑO'!$N$9:$N$1508,MATCH(C463,'[1]REP DISEÑO'!$D$9:$D$1508,0)),"")</f>
        <v/>
      </c>
      <c r="E463" s="51" t="str">
        <f>IFERROR(INDEX('[1]REP DISEÑO'!$G$9:$G$1508,MATCH(C463,'[1]REP DISEÑO'!$D$9:$D$1508,0)),"")</f>
        <v/>
      </c>
      <c r="F463" s="51" t="str">
        <f>IFERROR(INDEX('[1]REP DISEÑO'!$I$9:$I$1508,MATCH(C463,'[1]REP DISEÑO'!$D$9:$D$1508,0)),"")</f>
        <v/>
      </c>
      <c r="G463" s="51" t="str">
        <f>IFERROR(INDEX('[1]REP DISEÑO'!$M$9:$M$1508,MATCH(C463,'[1]REP DISEÑO'!$D$9:$D$1508,0)),"")</f>
        <v/>
      </c>
      <c r="H463" s="51" t="str">
        <f>IFERROR(INDEX('[1]REP DISEÑO'!$J$9:$J$1508,MATCH(C463,'[1]REP DISEÑO'!$D$9:$D$1508,0)),"")</f>
        <v/>
      </c>
      <c r="I463" s="52" t="str">
        <f>IFERROR(INDEX('[1]REP DISEÑO'!$C$9:$C$1508,MATCH(C463,'[1]REP DISEÑO'!$D$9:$D$1508,0)),"")</f>
        <v/>
      </c>
      <c r="J463" s="53" t="str">
        <f>IF(C463="","",IF(ISNUMBER(FIND("AMU",$C$14:$C$548)),1,(SUMIF('[1]REP PRODUCCIÓN'!$H$6:$H$1505,"*"&amp;C463&amp;"*",'[1]REP PRODUCCIÓN'!$E$6:$E$1505))))</f>
        <v/>
      </c>
      <c r="K463" s="53">
        <f t="shared" ref="K463:K526" si="22">IF(B463=1,"OK",0)</f>
        <v>0</v>
      </c>
      <c r="M463" s="54" t="str">
        <f>IFERROR(INDEX('[1]REP DISEÑO'!$BA$9:$BA$1008,MATCH('INDIC-DIS2'!C463,'[1]REP DISEÑO'!$D$9:$D$1008,0)),"")</f>
        <v/>
      </c>
      <c r="N463" s="55"/>
      <c r="O463" s="55"/>
      <c r="P463" s="55"/>
      <c r="R463" s="57" t="str">
        <f t="shared" ref="R463:R526" si="23">IF(M463="","",1)</f>
        <v/>
      </c>
    </row>
    <row r="464" spans="2:18" ht="26.25" customHeight="1" x14ac:dyDescent="0.25">
      <c r="B464" s="49">
        <f t="shared" si="21"/>
        <v>0</v>
      </c>
      <c r="C464" s="50" t="str">
        <f t="array" ref="C464">IFERROR(INDEX('[1]REP DISEÑO'!$D$9:$D$1008,SMALL(IF('[1]REP DISEÑO'!$AW$9:$AW$1008=$J$1,ROW('[1]REP DISEÑO'!$N$9:$N$1008)-ROW('[1]REP DISEÑO'!$N$9),""),ROWS(C$14:C464))+1),"")</f>
        <v/>
      </c>
      <c r="D464" s="51" t="str">
        <f>IFERROR(INDEX('[1]REP DISEÑO'!$N$9:$N$1508,MATCH(C464,'[1]REP DISEÑO'!$D$9:$D$1508,0)),"")</f>
        <v/>
      </c>
      <c r="E464" s="51" t="str">
        <f>IFERROR(INDEX('[1]REP DISEÑO'!$G$9:$G$1508,MATCH(C464,'[1]REP DISEÑO'!$D$9:$D$1508,0)),"")</f>
        <v/>
      </c>
      <c r="F464" s="51" t="str">
        <f>IFERROR(INDEX('[1]REP DISEÑO'!$I$9:$I$1508,MATCH(C464,'[1]REP DISEÑO'!$D$9:$D$1508,0)),"")</f>
        <v/>
      </c>
      <c r="G464" s="51" t="str">
        <f>IFERROR(INDEX('[1]REP DISEÑO'!$M$9:$M$1508,MATCH(C464,'[1]REP DISEÑO'!$D$9:$D$1508,0)),"")</f>
        <v/>
      </c>
      <c r="H464" s="51" t="str">
        <f>IFERROR(INDEX('[1]REP DISEÑO'!$J$9:$J$1508,MATCH(C464,'[1]REP DISEÑO'!$D$9:$D$1508,0)),"")</f>
        <v/>
      </c>
      <c r="I464" s="52" t="str">
        <f>IFERROR(INDEX('[1]REP DISEÑO'!$C$9:$C$1508,MATCH(C464,'[1]REP DISEÑO'!$D$9:$D$1508,0)),"")</f>
        <v/>
      </c>
      <c r="J464" s="53" t="str">
        <f>IF(C464="","",IF(ISNUMBER(FIND("AMU",$C$14:$C$548)),1,(SUMIF('[1]REP PRODUCCIÓN'!$H$6:$H$1505,"*"&amp;C464&amp;"*",'[1]REP PRODUCCIÓN'!$E$6:$E$1505))))</f>
        <v/>
      </c>
      <c r="K464" s="53">
        <f t="shared" si="22"/>
        <v>0</v>
      </c>
      <c r="M464" s="54" t="str">
        <f>IFERROR(INDEX('[1]REP DISEÑO'!$BA$9:$BA$1008,MATCH('INDIC-DIS2'!C464,'[1]REP DISEÑO'!$D$9:$D$1008,0)),"")</f>
        <v/>
      </c>
      <c r="N464" s="55"/>
      <c r="O464" s="55"/>
      <c r="P464" s="55"/>
      <c r="R464" s="57" t="str">
        <f t="shared" si="23"/>
        <v/>
      </c>
    </row>
    <row r="465" spans="2:18" ht="26.25" customHeight="1" x14ac:dyDescent="0.25">
      <c r="B465" s="49">
        <f t="shared" si="21"/>
        <v>0</v>
      </c>
      <c r="C465" s="50" t="str">
        <f t="array" ref="C465">IFERROR(INDEX('[1]REP DISEÑO'!$D$9:$D$1008,SMALL(IF('[1]REP DISEÑO'!$AW$9:$AW$1008=$J$1,ROW('[1]REP DISEÑO'!$N$9:$N$1008)-ROW('[1]REP DISEÑO'!$N$9),""),ROWS(C$14:C465))+1),"")</f>
        <v/>
      </c>
      <c r="D465" s="51" t="str">
        <f>IFERROR(INDEX('[1]REP DISEÑO'!$N$9:$N$1508,MATCH(C465,'[1]REP DISEÑO'!$D$9:$D$1508,0)),"")</f>
        <v/>
      </c>
      <c r="E465" s="51" t="str">
        <f>IFERROR(INDEX('[1]REP DISEÑO'!$G$9:$G$1508,MATCH(C465,'[1]REP DISEÑO'!$D$9:$D$1508,0)),"")</f>
        <v/>
      </c>
      <c r="F465" s="51" t="str">
        <f>IFERROR(INDEX('[1]REP DISEÑO'!$I$9:$I$1508,MATCH(C465,'[1]REP DISEÑO'!$D$9:$D$1508,0)),"")</f>
        <v/>
      </c>
      <c r="G465" s="51" t="str">
        <f>IFERROR(INDEX('[1]REP DISEÑO'!$M$9:$M$1508,MATCH(C465,'[1]REP DISEÑO'!$D$9:$D$1508,0)),"")</f>
        <v/>
      </c>
      <c r="H465" s="51" t="str">
        <f>IFERROR(INDEX('[1]REP DISEÑO'!$J$9:$J$1508,MATCH(C465,'[1]REP DISEÑO'!$D$9:$D$1508,0)),"")</f>
        <v/>
      </c>
      <c r="I465" s="52" t="str">
        <f>IFERROR(INDEX('[1]REP DISEÑO'!$C$9:$C$1508,MATCH(C465,'[1]REP DISEÑO'!$D$9:$D$1508,0)),"")</f>
        <v/>
      </c>
      <c r="J465" s="53" t="str">
        <f>IF(C465="","",IF(ISNUMBER(FIND("AMU",$C$14:$C$548)),1,(SUMIF('[1]REP PRODUCCIÓN'!$H$6:$H$1505,"*"&amp;C465&amp;"*",'[1]REP PRODUCCIÓN'!$E$6:$E$1505))))</f>
        <v/>
      </c>
      <c r="K465" s="53">
        <f t="shared" si="22"/>
        <v>0</v>
      </c>
      <c r="M465" s="54" t="str">
        <f>IFERROR(INDEX('[1]REP DISEÑO'!$BA$9:$BA$1008,MATCH('INDIC-DIS2'!C465,'[1]REP DISEÑO'!$D$9:$D$1008,0)),"")</f>
        <v/>
      </c>
      <c r="N465" s="55"/>
      <c r="O465" s="55"/>
      <c r="P465" s="55"/>
      <c r="R465" s="57" t="str">
        <f t="shared" si="23"/>
        <v/>
      </c>
    </row>
    <row r="466" spans="2:18" ht="26.25" customHeight="1" x14ac:dyDescent="0.25">
      <c r="B466" s="49">
        <f t="shared" si="21"/>
        <v>0</v>
      </c>
      <c r="C466" s="50" t="str">
        <f t="array" ref="C466">IFERROR(INDEX('[1]REP DISEÑO'!$D$9:$D$1008,SMALL(IF('[1]REP DISEÑO'!$AW$9:$AW$1008=$J$1,ROW('[1]REP DISEÑO'!$N$9:$N$1008)-ROW('[1]REP DISEÑO'!$N$9),""),ROWS(C$14:C466))+1),"")</f>
        <v/>
      </c>
      <c r="D466" s="51" t="str">
        <f>IFERROR(INDEX('[1]REP DISEÑO'!$N$9:$N$1508,MATCH(C466,'[1]REP DISEÑO'!$D$9:$D$1508,0)),"")</f>
        <v/>
      </c>
      <c r="E466" s="51" t="str">
        <f>IFERROR(INDEX('[1]REP DISEÑO'!$G$9:$G$1508,MATCH(C466,'[1]REP DISEÑO'!$D$9:$D$1508,0)),"")</f>
        <v/>
      </c>
      <c r="F466" s="51" t="str">
        <f>IFERROR(INDEX('[1]REP DISEÑO'!$I$9:$I$1508,MATCH(C466,'[1]REP DISEÑO'!$D$9:$D$1508,0)),"")</f>
        <v/>
      </c>
      <c r="G466" s="51" t="str">
        <f>IFERROR(INDEX('[1]REP DISEÑO'!$M$9:$M$1508,MATCH(C466,'[1]REP DISEÑO'!$D$9:$D$1508,0)),"")</f>
        <v/>
      </c>
      <c r="H466" s="51" t="str">
        <f>IFERROR(INDEX('[1]REP DISEÑO'!$J$9:$J$1508,MATCH(C466,'[1]REP DISEÑO'!$D$9:$D$1508,0)),"")</f>
        <v/>
      </c>
      <c r="I466" s="52" t="str">
        <f>IFERROR(INDEX('[1]REP DISEÑO'!$C$9:$C$1508,MATCH(C466,'[1]REP DISEÑO'!$D$9:$D$1508,0)),"")</f>
        <v/>
      </c>
      <c r="J466" s="53" t="str">
        <f>IF(C466="","",IF(ISNUMBER(FIND("AMU",$C$14:$C$548)),1,(SUMIF('[1]REP PRODUCCIÓN'!$H$6:$H$1505,"*"&amp;C466&amp;"*",'[1]REP PRODUCCIÓN'!$E$6:$E$1505))))</f>
        <v/>
      </c>
      <c r="K466" s="53">
        <f t="shared" si="22"/>
        <v>0</v>
      </c>
      <c r="M466" s="54" t="str">
        <f>IFERROR(INDEX('[1]REP DISEÑO'!$BA$9:$BA$1008,MATCH('INDIC-DIS2'!C466,'[1]REP DISEÑO'!$D$9:$D$1008,0)),"")</f>
        <v/>
      </c>
      <c r="N466" s="55"/>
      <c r="O466" s="55"/>
      <c r="P466" s="55"/>
      <c r="R466" s="57" t="str">
        <f t="shared" si="23"/>
        <v/>
      </c>
    </row>
    <row r="467" spans="2:18" ht="26.25" customHeight="1" x14ac:dyDescent="0.25">
      <c r="B467" s="49">
        <f t="shared" si="21"/>
        <v>0</v>
      </c>
      <c r="C467" s="50" t="str">
        <f t="array" ref="C467">IFERROR(INDEX('[1]REP DISEÑO'!$D$9:$D$1008,SMALL(IF('[1]REP DISEÑO'!$AW$9:$AW$1008=$J$1,ROW('[1]REP DISEÑO'!$N$9:$N$1008)-ROW('[1]REP DISEÑO'!$N$9),""),ROWS(C$14:C467))+1),"")</f>
        <v/>
      </c>
      <c r="D467" s="51" t="str">
        <f>IFERROR(INDEX('[1]REP DISEÑO'!$N$9:$N$1508,MATCH(C467,'[1]REP DISEÑO'!$D$9:$D$1508,0)),"")</f>
        <v/>
      </c>
      <c r="E467" s="51" t="str">
        <f>IFERROR(INDEX('[1]REP DISEÑO'!$G$9:$G$1508,MATCH(C467,'[1]REP DISEÑO'!$D$9:$D$1508,0)),"")</f>
        <v/>
      </c>
      <c r="F467" s="51" t="str">
        <f>IFERROR(INDEX('[1]REP DISEÑO'!$I$9:$I$1508,MATCH(C467,'[1]REP DISEÑO'!$D$9:$D$1508,0)),"")</f>
        <v/>
      </c>
      <c r="G467" s="51" t="str">
        <f>IFERROR(INDEX('[1]REP DISEÑO'!$M$9:$M$1508,MATCH(C467,'[1]REP DISEÑO'!$D$9:$D$1508,0)),"")</f>
        <v/>
      </c>
      <c r="H467" s="51" t="str">
        <f>IFERROR(INDEX('[1]REP DISEÑO'!$J$9:$J$1508,MATCH(C467,'[1]REP DISEÑO'!$D$9:$D$1508,0)),"")</f>
        <v/>
      </c>
      <c r="I467" s="52" t="str">
        <f>IFERROR(INDEX('[1]REP DISEÑO'!$C$9:$C$1508,MATCH(C467,'[1]REP DISEÑO'!$D$9:$D$1508,0)),"")</f>
        <v/>
      </c>
      <c r="J467" s="53" t="str">
        <f>IF(C467="","",IF(ISNUMBER(FIND("AMU",$C$14:$C$548)),1,(SUMIF('[1]REP PRODUCCIÓN'!$H$6:$H$1505,"*"&amp;C467&amp;"*",'[1]REP PRODUCCIÓN'!$E$6:$E$1505))))</f>
        <v/>
      </c>
      <c r="K467" s="53">
        <f t="shared" si="22"/>
        <v>0</v>
      </c>
      <c r="M467" s="54" t="str">
        <f>IFERROR(INDEX('[1]REP DISEÑO'!$BA$9:$BA$1008,MATCH('INDIC-DIS2'!C467,'[1]REP DISEÑO'!$D$9:$D$1008,0)),"")</f>
        <v/>
      </c>
      <c r="N467" s="55"/>
      <c r="O467" s="55"/>
      <c r="P467" s="55"/>
      <c r="R467" s="57" t="str">
        <f t="shared" si="23"/>
        <v/>
      </c>
    </row>
    <row r="468" spans="2:18" ht="26.25" customHeight="1" x14ac:dyDescent="0.25">
      <c r="B468" s="49">
        <f t="shared" si="21"/>
        <v>0</v>
      </c>
      <c r="C468" s="50" t="str">
        <f t="array" ref="C468">IFERROR(INDEX('[1]REP DISEÑO'!$D$9:$D$1008,SMALL(IF('[1]REP DISEÑO'!$AW$9:$AW$1008=$J$1,ROW('[1]REP DISEÑO'!$N$9:$N$1008)-ROW('[1]REP DISEÑO'!$N$9),""),ROWS(C$14:C468))+1),"")</f>
        <v/>
      </c>
      <c r="D468" s="51" t="str">
        <f>IFERROR(INDEX('[1]REP DISEÑO'!$N$9:$N$1508,MATCH(C468,'[1]REP DISEÑO'!$D$9:$D$1508,0)),"")</f>
        <v/>
      </c>
      <c r="E468" s="51" t="str">
        <f>IFERROR(INDEX('[1]REP DISEÑO'!$G$9:$G$1508,MATCH(C468,'[1]REP DISEÑO'!$D$9:$D$1508,0)),"")</f>
        <v/>
      </c>
      <c r="F468" s="51" t="str">
        <f>IFERROR(INDEX('[1]REP DISEÑO'!$I$9:$I$1508,MATCH(C468,'[1]REP DISEÑO'!$D$9:$D$1508,0)),"")</f>
        <v/>
      </c>
      <c r="G468" s="51" t="str">
        <f>IFERROR(INDEX('[1]REP DISEÑO'!$M$9:$M$1508,MATCH(C468,'[1]REP DISEÑO'!$D$9:$D$1508,0)),"")</f>
        <v/>
      </c>
      <c r="H468" s="51" t="str">
        <f>IFERROR(INDEX('[1]REP DISEÑO'!$J$9:$J$1508,MATCH(C468,'[1]REP DISEÑO'!$D$9:$D$1508,0)),"")</f>
        <v/>
      </c>
      <c r="I468" s="52" t="str">
        <f>IFERROR(INDEX('[1]REP DISEÑO'!$C$9:$C$1508,MATCH(C468,'[1]REP DISEÑO'!$D$9:$D$1508,0)),"")</f>
        <v/>
      </c>
      <c r="J468" s="53" t="str">
        <f>IF(C468="","",IF(ISNUMBER(FIND("AMU",$C$14:$C$548)),1,(SUMIF('[1]REP PRODUCCIÓN'!$H$6:$H$1505,"*"&amp;C468&amp;"*",'[1]REP PRODUCCIÓN'!$E$6:$E$1505))))</f>
        <v/>
      </c>
      <c r="K468" s="53">
        <f t="shared" si="22"/>
        <v>0</v>
      </c>
      <c r="M468" s="54" t="str">
        <f>IFERROR(INDEX('[1]REP DISEÑO'!$BA$9:$BA$1008,MATCH('INDIC-DIS2'!C468,'[1]REP DISEÑO'!$D$9:$D$1008,0)),"")</f>
        <v/>
      </c>
      <c r="N468" s="55"/>
      <c r="O468" s="55"/>
      <c r="P468" s="55"/>
      <c r="R468" s="57" t="str">
        <f t="shared" si="23"/>
        <v/>
      </c>
    </row>
    <row r="469" spans="2:18" ht="26.25" customHeight="1" x14ac:dyDescent="0.25">
      <c r="B469" s="49">
        <f t="shared" si="21"/>
        <v>0</v>
      </c>
      <c r="C469" s="50" t="str">
        <f t="array" ref="C469">IFERROR(INDEX('[1]REP DISEÑO'!$D$9:$D$1008,SMALL(IF('[1]REP DISEÑO'!$AW$9:$AW$1008=$J$1,ROW('[1]REP DISEÑO'!$N$9:$N$1008)-ROW('[1]REP DISEÑO'!$N$9),""),ROWS(C$14:C469))+1),"")</f>
        <v/>
      </c>
      <c r="D469" s="51" t="str">
        <f>IFERROR(INDEX('[1]REP DISEÑO'!$N$9:$N$1508,MATCH(C469,'[1]REP DISEÑO'!$D$9:$D$1508,0)),"")</f>
        <v/>
      </c>
      <c r="E469" s="51" t="str">
        <f>IFERROR(INDEX('[1]REP DISEÑO'!$G$9:$G$1508,MATCH(C469,'[1]REP DISEÑO'!$D$9:$D$1508,0)),"")</f>
        <v/>
      </c>
      <c r="F469" s="51" t="str">
        <f>IFERROR(INDEX('[1]REP DISEÑO'!$I$9:$I$1508,MATCH(C469,'[1]REP DISEÑO'!$D$9:$D$1508,0)),"")</f>
        <v/>
      </c>
      <c r="G469" s="51" t="str">
        <f>IFERROR(INDEX('[1]REP DISEÑO'!$M$9:$M$1508,MATCH(C469,'[1]REP DISEÑO'!$D$9:$D$1508,0)),"")</f>
        <v/>
      </c>
      <c r="H469" s="51" t="str">
        <f>IFERROR(INDEX('[1]REP DISEÑO'!$J$9:$J$1508,MATCH(C469,'[1]REP DISEÑO'!$D$9:$D$1508,0)),"")</f>
        <v/>
      </c>
      <c r="I469" s="52" t="str">
        <f>IFERROR(INDEX('[1]REP DISEÑO'!$C$9:$C$1508,MATCH(C469,'[1]REP DISEÑO'!$D$9:$D$1508,0)),"")</f>
        <v/>
      </c>
      <c r="J469" s="53" t="str">
        <f>IF(C469="","",IF(ISNUMBER(FIND("AMU",$C$14:$C$548)),1,(SUMIF('[1]REP PRODUCCIÓN'!$H$6:$H$1505,"*"&amp;C469&amp;"*",'[1]REP PRODUCCIÓN'!$E$6:$E$1505))))</f>
        <v/>
      </c>
      <c r="K469" s="53">
        <f t="shared" si="22"/>
        <v>0</v>
      </c>
      <c r="M469" s="54" t="str">
        <f>IFERROR(INDEX('[1]REP DISEÑO'!$BA$9:$BA$1008,MATCH('INDIC-DIS2'!C469,'[1]REP DISEÑO'!$D$9:$D$1008,0)),"")</f>
        <v/>
      </c>
      <c r="N469" s="55"/>
      <c r="O469" s="55"/>
      <c r="P469" s="55"/>
      <c r="R469" s="57" t="str">
        <f t="shared" si="23"/>
        <v/>
      </c>
    </row>
    <row r="470" spans="2:18" ht="26.25" customHeight="1" x14ac:dyDescent="0.25">
      <c r="B470" s="49">
        <f t="shared" si="21"/>
        <v>0</v>
      </c>
      <c r="C470" s="50" t="str">
        <f t="array" ref="C470">IFERROR(INDEX('[1]REP DISEÑO'!$D$9:$D$1008,SMALL(IF('[1]REP DISEÑO'!$AW$9:$AW$1008=$J$1,ROW('[1]REP DISEÑO'!$N$9:$N$1008)-ROW('[1]REP DISEÑO'!$N$9),""),ROWS(C$14:C470))+1),"")</f>
        <v/>
      </c>
      <c r="D470" s="51" t="str">
        <f>IFERROR(INDEX('[1]REP DISEÑO'!$N$9:$N$1508,MATCH(C470,'[1]REP DISEÑO'!$D$9:$D$1508,0)),"")</f>
        <v/>
      </c>
      <c r="E470" s="51" t="str">
        <f>IFERROR(INDEX('[1]REP DISEÑO'!$G$9:$G$1508,MATCH(C470,'[1]REP DISEÑO'!$D$9:$D$1508,0)),"")</f>
        <v/>
      </c>
      <c r="F470" s="51" t="str">
        <f>IFERROR(INDEX('[1]REP DISEÑO'!$I$9:$I$1508,MATCH(C470,'[1]REP DISEÑO'!$D$9:$D$1508,0)),"")</f>
        <v/>
      </c>
      <c r="G470" s="51" t="str">
        <f>IFERROR(INDEX('[1]REP DISEÑO'!$M$9:$M$1508,MATCH(C470,'[1]REP DISEÑO'!$D$9:$D$1508,0)),"")</f>
        <v/>
      </c>
      <c r="H470" s="51" t="str">
        <f>IFERROR(INDEX('[1]REP DISEÑO'!$J$9:$J$1508,MATCH(C470,'[1]REP DISEÑO'!$D$9:$D$1508,0)),"")</f>
        <v/>
      </c>
      <c r="I470" s="52" t="str">
        <f>IFERROR(INDEX('[1]REP DISEÑO'!$C$9:$C$1508,MATCH(C470,'[1]REP DISEÑO'!$D$9:$D$1508,0)),"")</f>
        <v/>
      </c>
      <c r="J470" s="53" t="str">
        <f>IF(C470="","",IF(ISNUMBER(FIND("AMU",$C$14:$C$548)),1,(SUMIF('[1]REP PRODUCCIÓN'!$H$6:$H$1505,"*"&amp;C470&amp;"*",'[1]REP PRODUCCIÓN'!$E$6:$E$1505))))</f>
        <v/>
      </c>
      <c r="K470" s="53">
        <f t="shared" si="22"/>
        <v>0</v>
      </c>
      <c r="M470" s="54" t="str">
        <f>IFERROR(INDEX('[1]REP DISEÑO'!$BA$9:$BA$1008,MATCH('INDIC-DIS2'!C470,'[1]REP DISEÑO'!$D$9:$D$1008,0)),"")</f>
        <v/>
      </c>
      <c r="N470" s="55"/>
      <c r="O470" s="55"/>
      <c r="P470" s="55"/>
      <c r="R470" s="57" t="str">
        <f t="shared" si="23"/>
        <v/>
      </c>
    </row>
    <row r="471" spans="2:18" ht="26.25" customHeight="1" x14ac:dyDescent="0.25">
      <c r="B471" s="49">
        <f t="shared" si="21"/>
        <v>0</v>
      </c>
      <c r="C471" s="50" t="str">
        <f t="array" ref="C471">IFERROR(INDEX('[1]REP DISEÑO'!$D$9:$D$1008,SMALL(IF('[1]REP DISEÑO'!$AW$9:$AW$1008=$J$1,ROW('[1]REP DISEÑO'!$N$9:$N$1008)-ROW('[1]REP DISEÑO'!$N$9),""),ROWS(C$14:C471))+1),"")</f>
        <v/>
      </c>
      <c r="D471" s="51" t="str">
        <f>IFERROR(INDEX('[1]REP DISEÑO'!$N$9:$N$1508,MATCH(C471,'[1]REP DISEÑO'!$D$9:$D$1508,0)),"")</f>
        <v/>
      </c>
      <c r="E471" s="51" t="str">
        <f>IFERROR(INDEX('[1]REP DISEÑO'!$G$9:$G$1508,MATCH(C471,'[1]REP DISEÑO'!$D$9:$D$1508,0)),"")</f>
        <v/>
      </c>
      <c r="F471" s="51" t="str">
        <f>IFERROR(INDEX('[1]REP DISEÑO'!$I$9:$I$1508,MATCH(C471,'[1]REP DISEÑO'!$D$9:$D$1508,0)),"")</f>
        <v/>
      </c>
      <c r="G471" s="51" t="str">
        <f>IFERROR(INDEX('[1]REP DISEÑO'!$M$9:$M$1508,MATCH(C471,'[1]REP DISEÑO'!$D$9:$D$1508,0)),"")</f>
        <v/>
      </c>
      <c r="H471" s="51" t="str">
        <f>IFERROR(INDEX('[1]REP DISEÑO'!$J$9:$J$1508,MATCH(C471,'[1]REP DISEÑO'!$D$9:$D$1508,0)),"")</f>
        <v/>
      </c>
      <c r="I471" s="52" t="str">
        <f>IFERROR(INDEX('[1]REP DISEÑO'!$C$9:$C$1508,MATCH(C471,'[1]REP DISEÑO'!$D$9:$D$1508,0)),"")</f>
        <v/>
      </c>
      <c r="J471" s="53" t="str">
        <f>IF(C471="","",IF(ISNUMBER(FIND("AMU",$C$14:$C$548)),1,(SUMIF('[1]REP PRODUCCIÓN'!$H$6:$H$1505,"*"&amp;C471&amp;"*",'[1]REP PRODUCCIÓN'!$E$6:$E$1505))))</f>
        <v/>
      </c>
      <c r="K471" s="53">
        <f t="shared" si="22"/>
        <v>0</v>
      </c>
      <c r="M471" s="54" t="str">
        <f>IFERROR(INDEX('[1]REP DISEÑO'!$BA$9:$BA$1008,MATCH('INDIC-DIS2'!C471,'[1]REP DISEÑO'!$D$9:$D$1008,0)),"")</f>
        <v/>
      </c>
      <c r="N471" s="55"/>
      <c r="O471" s="55"/>
      <c r="P471" s="55"/>
      <c r="R471" s="57" t="str">
        <f t="shared" si="23"/>
        <v/>
      </c>
    </row>
    <row r="472" spans="2:18" ht="26.25" customHeight="1" x14ac:dyDescent="0.25">
      <c r="B472" s="49">
        <f t="shared" si="21"/>
        <v>0</v>
      </c>
      <c r="C472" s="50" t="str">
        <f t="array" ref="C472">IFERROR(INDEX('[1]REP DISEÑO'!$D$9:$D$1008,SMALL(IF('[1]REP DISEÑO'!$AW$9:$AW$1008=$J$1,ROW('[1]REP DISEÑO'!$N$9:$N$1008)-ROW('[1]REP DISEÑO'!$N$9),""),ROWS(C$14:C472))+1),"")</f>
        <v/>
      </c>
      <c r="D472" s="51" t="str">
        <f>IFERROR(INDEX('[1]REP DISEÑO'!$N$9:$N$1508,MATCH(C472,'[1]REP DISEÑO'!$D$9:$D$1508,0)),"")</f>
        <v/>
      </c>
      <c r="E472" s="51" t="str">
        <f>IFERROR(INDEX('[1]REP DISEÑO'!$G$9:$G$1508,MATCH(C472,'[1]REP DISEÑO'!$D$9:$D$1508,0)),"")</f>
        <v/>
      </c>
      <c r="F472" s="51" t="str">
        <f>IFERROR(INDEX('[1]REP DISEÑO'!$I$9:$I$1508,MATCH(C472,'[1]REP DISEÑO'!$D$9:$D$1508,0)),"")</f>
        <v/>
      </c>
      <c r="G472" s="51" t="str">
        <f>IFERROR(INDEX('[1]REP DISEÑO'!$M$9:$M$1508,MATCH(C472,'[1]REP DISEÑO'!$D$9:$D$1508,0)),"")</f>
        <v/>
      </c>
      <c r="H472" s="51" t="str">
        <f>IFERROR(INDEX('[1]REP DISEÑO'!$J$9:$J$1508,MATCH(C472,'[1]REP DISEÑO'!$D$9:$D$1508,0)),"")</f>
        <v/>
      </c>
      <c r="I472" s="52" t="str">
        <f>IFERROR(INDEX('[1]REP DISEÑO'!$C$9:$C$1508,MATCH(C472,'[1]REP DISEÑO'!$D$9:$D$1508,0)),"")</f>
        <v/>
      </c>
      <c r="J472" s="53" t="str">
        <f>IF(C472="","",IF(ISNUMBER(FIND("AMU",$C$14:$C$548)),1,(SUMIF('[1]REP PRODUCCIÓN'!$H$6:$H$1505,"*"&amp;C472&amp;"*",'[1]REP PRODUCCIÓN'!$E$6:$E$1505))))</f>
        <v/>
      </c>
      <c r="K472" s="53">
        <f t="shared" si="22"/>
        <v>0</v>
      </c>
      <c r="M472" s="54" t="str">
        <f>IFERROR(INDEX('[1]REP DISEÑO'!$BA$9:$BA$1008,MATCH('INDIC-DIS2'!C472,'[1]REP DISEÑO'!$D$9:$D$1008,0)),"")</f>
        <v/>
      </c>
      <c r="N472" s="55"/>
      <c r="O472" s="55"/>
      <c r="P472" s="55"/>
      <c r="R472" s="57" t="str">
        <f t="shared" si="23"/>
        <v/>
      </c>
    </row>
    <row r="473" spans="2:18" ht="26.25" customHeight="1" x14ac:dyDescent="0.25">
      <c r="B473" s="49">
        <f t="shared" si="21"/>
        <v>0</v>
      </c>
      <c r="C473" s="50" t="str">
        <f t="array" ref="C473">IFERROR(INDEX('[1]REP DISEÑO'!$D$9:$D$1008,SMALL(IF('[1]REP DISEÑO'!$AW$9:$AW$1008=$J$1,ROW('[1]REP DISEÑO'!$N$9:$N$1008)-ROW('[1]REP DISEÑO'!$N$9),""),ROWS(C$14:C473))+1),"")</f>
        <v/>
      </c>
      <c r="D473" s="51" t="str">
        <f>IFERROR(INDEX('[1]REP DISEÑO'!$N$9:$N$1508,MATCH(C473,'[1]REP DISEÑO'!$D$9:$D$1508,0)),"")</f>
        <v/>
      </c>
      <c r="E473" s="51" t="str">
        <f>IFERROR(INDEX('[1]REP DISEÑO'!$G$9:$G$1508,MATCH(C473,'[1]REP DISEÑO'!$D$9:$D$1508,0)),"")</f>
        <v/>
      </c>
      <c r="F473" s="51" t="str">
        <f>IFERROR(INDEX('[1]REP DISEÑO'!$I$9:$I$1508,MATCH(C473,'[1]REP DISEÑO'!$D$9:$D$1508,0)),"")</f>
        <v/>
      </c>
      <c r="G473" s="51" t="str">
        <f>IFERROR(INDEX('[1]REP DISEÑO'!$M$9:$M$1508,MATCH(C473,'[1]REP DISEÑO'!$D$9:$D$1508,0)),"")</f>
        <v/>
      </c>
      <c r="H473" s="51" t="str">
        <f>IFERROR(INDEX('[1]REP DISEÑO'!$J$9:$J$1508,MATCH(C473,'[1]REP DISEÑO'!$D$9:$D$1508,0)),"")</f>
        <v/>
      </c>
      <c r="I473" s="52" t="str">
        <f>IFERROR(INDEX('[1]REP DISEÑO'!$C$9:$C$1508,MATCH(C473,'[1]REP DISEÑO'!$D$9:$D$1508,0)),"")</f>
        <v/>
      </c>
      <c r="J473" s="53" t="str">
        <f>IF(C473="","",IF(ISNUMBER(FIND("AMU",$C$14:$C$548)),1,(SUMIF('[1]REP PRODUCCIÓN'!$H$6:$H$1505,"*"&amp;C473&amp;"*",'[1]REP PRODUCCIÓN'!$E$6:$E$1505))))</f>
        <v/>
      </c>
      <c r="K473" s="53">
        <f t="shared" si="22"/>
        <v>0</v>
      </c>
      <c r="M473" s="54" t="str">
        <f>IFERROR(INDEX('[1]REP DISEÑO'!$BA$9:$BA$1008,MATCH('INDIC-DIS2'!C473,'[1]REP DISEÑO'!$D$9:$D$1008,0)),"")</f>
        <v/>
      </c>
      <c r="N473" s="55"/>
      <c r="O473" s="55"/>
      <c r="P473" s="55"/>
      <c r="R473" s="57" t="str">
        <f t="shared" si="23"/>
        <v/>
      </c>
    </row>
    <row r="474" spans="2:18" ht="26.25" customHeight="1" x14ac:dyDescent="0.25">
      <c r="B474" s="49">
        <f t="shared" si="21"/>
        <v>0</v>
      </c>
      <c r="C474" s="50" t="str">
        <f t="array" ref="C474">IFERROR(INDEX('[1]REP DISEÑO'!$D$9:$D$1008,SMALL(IF('[1]REP DISEÑO'!$AW$9:$AW$1008=$J$1,ROW('[1]REP DISEÑO'!$N$9:$N$1008)-ROW('[1]REP DISEÑO'!$N$9),""),ROWS(C$14:C474))+1),"")</f>
        <v/>
      </c>
      <c r="D474" s="51" t="str">
        <f>IFERROR(INDEX('[1]REP DISEÑO'!$N$9:$N$1508,MATCH(C474,'[1]REP DISEÑO'!$D$9:$D$1508,0)),"")</f>
        <v/>
      </c>
      <c r="E474" s="51" t="str">
        <f>IFERROR(INDEX('[1]REP DISEÑO'!$G$9:$G$1508,MATCH(C474,'[1]REP DISEÑO'!$D$9:$D$1508,0)),"")</f>
        <v/>
      </c>
      <c r="F474" s="51" t="str">
        <f>IFERROR(INDEX('[1]REP DISEÑO'!$I$9:$I$1508,MATCH(C474,'[1]REP DISEÑO'!$D$9:$D$1508,0)),"")</f>
        <v/>
      </c>
      <c r="G474" s="51" t="str">
        <f>IFERROR(INDEX('[1]REP DISEÑO'!$M$9:$M$1508,MATCH(C474,'[1]REP DISEÑO'!$D$9:$D$1508,0)),"")</f>
        <v/>
      </c>
      <c r="H474" s="51" t="str">
        <f>IFERROR(INDEX('[1]REP DISEÑO'!$J$9:$J$1508,MATCH(C474,'[1]REP DISEÑO'!$D$9:$D$1508,0)),"")</f>
        <v/>
      </c>
      <c r="I474" s="52" t="str">
        <f>IFERROR(INDEX('[1]REP DISEÑO'!$C$9:$C$1508,MATCH(C474,'[1]REP DISEÑO'!$D$9:$D$1508,0)),"")</f>
        <v/>
      </c>
      <c r="J474" s="53" t="str">
        <f>IF(C474="","",IF(ISNUMBER(FIND("AMU",$C$14:$C$548)),1,(SUMIF('[1]REP PRODUCCIÓN'!$H$6:$H$1505,"*"&amp;C474&amp;"*",'[1]REP PRODUCCIÓN'!$E$6:$E$1505))))</f>
        <v/>
      </c>
      <c r="K474" s="53">
        <f t="shared" si="22"/>
        <v>0</v>
      </c>
      <c r="M474" s="54" t="str">
        <f>IFERROR(INDEX('[1]REP DISEÑO'!$BA$9:$BA$1008,MATCH('INDIC-DIS2'!C474,'[1]REP DISEÑO'!$D$9:$D$1008,0)),"")</f>
        <v/>
      </c>
      <c r="N474" s="55"/>
      <c r="O474" s="55"/>
      <c r="P474" s="55"/>
      <c r="R474" s="57" t="str">
        <f t="shared" si="23"/>
        <v/>
      </c>
    </row>
    <row r="475" spans="2:18" ht="26.25" customHeight="1" x14ac:dyDescent="0.25">
      <c r="B475" s="49">
        <f t="shared" si="21"/>
        <v>0</v>
      </c>
      <c r="C475" s="50" t="str">
        <f t="array" ref="C475">IFERROR(INDEX('[1]REP DISEÑO'!$D$9:$D$1008,SMALL(IF('[1]REP DISEÑO'!$AW$9:$AW$1008=$J$1,ROW('[1]REP DISEÑO'!$N$9:$N$1008)-ROW('[1]REP DISEÑO'!$N$9),""),ROWS(C$14:C475))+1),"")</f>
        <v/>
      </c>
      <c r="D475" s="51" t="str">
        <f>IFERROR(INDEX('[1]REP DISEÑO'!$N$9:$N$1508,MATCH(C475,'[1]REP DISEÑO'!$D$9:$D$1508,0)),"")</f>
        <v/>
      </c>
      <c r="E475" s="51" t="str">
        <f>IFERROR(INDEX('[1]REP DISEÑO'!$G$9:$G$1508,MATCH(C475,'[1]REP DISEÑO'!$D$9:$D$1508,0)),"")</f>
        <v/>
      </c>
      <c r="F475" s="51" t="str">
        <f>IFERROR(INDEX('[1]REP DISEÑO'!$I$9:$I$1508,MATCH(C475,'[1]REP DISEÑO'!$D$9:$D$1508,0)),"")</f>
        <v/>
      </c>
      <c r="G475" s="51" t="str">
        <f>IFERROR(INDEX('[1]REP DISEÑO'!$M$9:$M$1508,MATCH(C475,'[1]REP DISEÑO'!$D$9:$D$1508,0)),"")</f>
        <v/>
      </c>
      <c r="H475" s="51" t="str">
        <f>IFERROR(INDEX('[1]REP DISEÑO'!$J$9:$J$1508,MATCH(C475,'[1]REP DISEÑO'!$D$9:$D$1508,0)),"")</f>
        <v/>
      </c>
      <c r="I475" s="52" t="str">
        <f>IFERROR(INDEX('[1]REP DISEÑO'!$C$9:$C$1508,MATCH(C475,'[1]REP DISEÑO'!$D$9:$D$1508,0)),"")</f>
        <v/>
      </c>
      <c r="J475" s="53" t="str">
        <f>IF(C475="","",IF(ISNUMBER(FIND("AMU",$C$14:$C$548)),1,(SUMIF('[1]REP PRODUCCIÓN'!$H$6:$H$1505,"*"&amp;C475&amp;"*",'[1]REP PRODUCCIÓN'!$E$6:$E$1505))))</f>
        <v/>
      </c>
      <c r="K475" s="53">
        <f t="shared" si="22"/>
        <v>0</v>
      </c>
      <c r="M475" s="54" t="str">
        <f>IFERROR(INDEX('[1]REP DISEÑO'!$BA$9:$BA$1008,MATCH('INDIC-DIS2'!C475,'[1]REP DISEÑO'!$D$9:$D$1008,0)),"")</f>
        <v/>
      </c>
      <c r="N475" s="55"/>
      <c r="O475" s="55"/>
      <c r="P475" s="55"/>
      <c r="R475" s="57" t="str">
        <f t="shared" si="23"/>
        <v/>
      </c>
    </row>
    <row r="476" spans="2:18" ht="26.25" customHeight="1" x14ac:dyDescent="0.25">
      <c r="B476" s="49">
        <f t="shared" si="21"/>
        <v>0</v>
      </c>
      <c r="C476" s="50" t="str">
        <f t="array" ref="C476">IFERROR(INDEX('[1]REP DISEÑO'!$D$9:$D$1008,SMALL(IF('[1]REP DISEÑO'!$AW$9:$AW$1008=$J$1,ROW('[1]REP DISEÑO'!$N$9:$N$1008)-ROW('[1]REP DISEÑO'!$N$9),""),ROWS(C$14:C476))+1),"")</f>
        <v/>
      </c>
      <c r="D476" s="51" t="str">
        <f>IFERROR(INDEX('[1]REP DISEÑO'!$N$9:$N$1508,MATCH(C476,'[1]REP DISEÑO'!$D$9:$D$1508,0)),"")</f>
        <v/>
      </c>
      <c r="E476" s="51" t="str">
        <f>IFERROR(INDEX('[1]REP DISEÑO'!$G$9:$G$1508,MATCH(C476,'[1]REP DISEÑO'!$D$9:$D$1508,0)),"")</f>
        <v/>
      </c>
      <c r="F476" s="51" t="str">
        <f>IFERROR(INDEX('[1]REP DISEÑO'!$I$9:$I$1508,MATCH(C476,'[1]REP DISEÑO'!$D$9:$D$1508,0)),"")</f>
        <v/>
      </c>
      <c r="G476" s="51" t="str">
        <f>IFERROR(INDEX('[1]REP DISEÑO'!$M$9:$M$1508,MATCH(C476,'[1]REP DISEÑO'!$D$9:$D$1508,0)),"")</f>
        <v/>
      </c>
      <c r="H476" s="51" t="str">
        <f>IFERROR(INDEX('[1]REP DISEÑO'!$J$9:$J$1508,MATCH(C476,'[1]REP DISEÑO'!$D$9:$D$1508,0)),"")</f>
        <v/>
      </c>
      <c r="I476" s="52" t="str">
        <f>IFERROR(INDEX('[1]REP DISEÑO'!$C$9:$C$1508,MATCH(C476,'[1]REP DISEÑO'!$D$9:$D$1508,0)),"")</f>
        <v/>
      </c>
      <c r="J476" s="53" t="str">
        <f>IF(C476="","",IF(ISNUMBER(FIND("AMU",$C$14:$C$548)),1,(SUMIF('[1]REP PRODUCCIÓN'!$H$6:$H$1505,"*"&amp;C476&amp;"*",'[1]REP PRODUCCIÓN'!$E$6:$E$1505))))</f>
        <v/>
      </c>
      <c r="K476" s="53">
        <f t="shared" si="22"/>
        <v>0</v>
      </c>
      <c r="M476" s="54" t="str">
        <f>IFERROR(INDEX('[1]REP DISEÑO'!$BA$9:$BA$1008,MATCH('INDIC-DIS2'!C476,'[1]REP DISEÑO'!$D$9:$D$1008,0)),"")</f>
        <v/>
      </c>
      <c r="N476" s="55"/>
      <c r="O476" s="55"/>
      <c r="P476" s="55"/>
      <c r="R476" s="57" t="str">
        <f t="shared" si="23"/>
        <v/>
      </c>
    </row>
    <row r="477" spans="2:18" ht="26.25" customHeight="1" x14ac:dyDescent="0.25">
      <c r="B477" s="49">
        <f t="shared" si="21"/>
        <v>0</v>
      </c>
      <c r="C477" s="50" t="str">
        <f t="array" ref="C477">IFERROR(INDEX('[1]REP DISEÑO'!$D$9:$D$1008,SMALL(IF('[1]REP DISEÑO'!$AW$9:$AW$1008=$J$1,ROW('[1]REP DISEÑO'!$N$9:$N$1008)-ROW('[1]REP DISEÑO'!$N$9),""),ROWS(C$14:C477))+1),"")</f>
        <v/>
      </c>
      <c r="D477" s="51" t="str">
        <f>IFERROR(INDEX('[1]REP DISEÑO'!$N$9:$N$1508,MATCH(C477,'[1]REP DISEÑO'!$D$9:$D$1508,0)),"")</f>
        <v/>
      </c>
      <c r="E477" s="51" t="str">
        <f>IFERROR(INDEX('[1]REP DISEÑO'!$G$9:$G$1508,MATCH(C477,'[1]REP DISEÑO'!$D$9:$D$1508,0)),"")</f>
        <v/>
      </c>
      <c r="F477" s="51" t="str">
        <f>IFERROR(INDEX('[1]REP DISEÑO'!$I$9:$I$1508,MATCH(C477,'[1]REP DISEÑO'!$D$9:$D$1508,0)),"")</f>
        <v/>
      </c>
      <c r="G477" s="51" t="str">
        <f>IFERROR(INDEX('[1]REP DISEÑO'!$M$9:$M$1508,MATCH(C477,'[1]REP DISEÑO'!$D$9:$D$1508,0)),"")</f>
        <v/>
      </c>
      <c r="H477" s="51" t="str">
        <f>IFERROR(INDEX('[1]REP DISEÑO'!$J$9:$J$1508,MATCH(C477,'[1]REP DISEÑO'!$D$9:$D$1508,0)),"")</f>
        <v/>
      </c>
      <c r="I477" s="52" t="str">
        <f>IFERROR(INDEX('[1]REP DISEÑO'!$C$9:$C$1508,MATCH(C477,'[1]REP DISEÑO'!$D$9:$D$1508,0)),"")</f>
        <v/>
      </c>
      <c r="J477" s="53" t="str">
        <f>IF(C477="","",IF(ISNUMBER(FIND("AMU",$C$14:$C$548)),1,(SUMIF('[1]REP PRODUCCIÓN'!$H$6:$H$1505,"*"&amp;C477&amp;"*",'[1]REP PRODUCCIÓN'!$E$6:$E$1505))))</f>
        <v/>
      </c>
      <c r="K477" s="53">
        <f t="shared" si="22"/>
        <v>0</v>
      </c>
      <c r="M477" s="54" t="str">
        <f>IFERROR(INDEX('[1]REP DISEÑO'!$BA$9:$BA$1008,MATCH('INDIC-DIS2'!C477,'[1]REP DISEÑO'!$D$9:$D$1008,0)),"")</f>
        <v/>
      </c>
      <c r="N477" s="55"/>
      <c r="O477" s="55"/>
      <c r="P477" s="55"/>
      <c r="R477" s="57" t="str">
        <f t="shared" si="23"/>
        <v/>
      </c>
    </row>
    <row r="478" spans="2:18" ht="26.25" customHeight="1" x14ac:dyDescent="0.25">
      <c r="B478" s="49">
        <f t="shared" si="21"/>
        <v>0</v>
      </c>
      <c r="C478" s="50" t="str">
        <f t="array" ref="C478">IFERROR(INDEX('[1]REP DISEÑO'!$D$9:$D$1008,SMALL(IF('[1]REP DISEÑO'!$AW$9:$AW$1008=$J$1,ROW('[1]REP DISEÑO'!$N$9:$N$1008)-ROW('[1]REP DISEÑO'!$N$9),""),ROWS(C$14:C478))+1),"")</f>
        <v/>
      </c>
      <c r="D478" s="51" t="str">
        <f>IFERROR(INDEX('[1]REP DISEÑO'!$N$9:$N$1508,MATCH(C478,'[1]REP DISEÑO'!$D$9:$D$1508,0)),"")</f>
        <v/>
      </c>
      <c r="E478" s="51" t="str">
        <f>IFERROR(INDEX('[1]REP DISEÑO'!$G$9:$G$1508,MATCH(C478,'[1]REP DISEÑO'!$D$9:$D$1508,0)),"")</f>
        <v/>
      </c>
      <c r="F478" s="51" t="str">
        <f>IFERROR(INDEX('[1]REP DISEÑO'!$I$9:$I$1508,MATCH(C478,'[1]REP DISEÑO'!$D$9:$D$1508,0)),"")</f>
        <v/>
      </c>
      <c r="G478" s="51" t="str">
        <f>IFERROR(INDEX('[1]REP DISEÑO'!$M$9:$M$1508,MATCH(C478,'[1]REP DISEÑO'!$D$9:$D$1508,0)),"")</f>
        <v/>
      </c>
      <c r="H478" s="51" t="str">
        <f>IFERROR(INDEX('[1]REP DISEÑO'!$J$9:$J$1508,MATCH(C478,'[1]REP DISEÑO'!$D$9:$D$1508,0)),"")</f>
        <v/>
      </c>
      <c r="I478" s="52" t="str">
        <f>IFERROR(INDEX('[1]REP DISEÑO'!$C$9:$C$1508,MATCH(C478,'[1]REP DISEÑO'!$D$9:$D$1508,0)),"")</f>
        <v/>
      </c>
      <c r="J478" s="53" t="str">
        <f>IF(C478="","",IF(ISNUMBER(FIND("AMU",$C$14:$C$548)),1,(SUMIF('[1]REP PRODUCCIÓN'!$H$6:$H$1505,"*"&amp;C478&amp;"*",'[1]REP PRODUCCIÓN'!$E$6:$E$1505))))</f>
        <v/>
      </c>
      <c r="K478" s="53">
        <f t="shared" si="22"/>
        <v>0</v>
      </c>
      <c r="M478" s="54" t="str">
        <f>IFERROR(INDEX('[1]REP DISEÑO'!$BA$9:$BA$1008,MATCH('INDIC-DIS2'!C478,'[1]REP DISEÑO'!$D$9:$D$1008,0)),"")</f>
        <v/>
      </c>
      <c r="N478" s="55"/>
      <c r="O478" s="55"/>
      <c r="P478" s="55"/>
      <c r="R478" s="57" t="str">
        <f t="shared" si="23"/>
        <v/>
      </c>
    </row>
    <row r="479" spans="2:18" ht="26.25" customHeight="1" x14ac:dyDescent="0.25">
      <c r="B479" s="49">
        <f t="shared" si="21"/>
        <v>0</v>
      </c>
      <c r="C479" s="50" t="str">
        <f t="array" ref="C479">IFERROR(INDEX('[1]REP DISEÑO'!$D$9:$D$1008,SMALL(IF('[1]REP DISEÑO'!$AW$9:$AW$1008=$J$1,ROW('[1]REP DISEÑO'!$N$9:$N$1008)-ROW('[1]REP DISEÑO'!$N$9),""),ROWS(C$14:C479))+1),"")</f>
        <v/>
      </c>
      <c r="D479" s="51" t="str">
        <f>IFERROR(INDEX('[1]REP DISEÑO'!$N$9:$N$1508,MATCH(C479,'[1]REP DISEÑO'!$D$9:$D$1508,0)),"")</f>
        <v/>
      </c>
      <c r="E479" s="51" t="str">
        <f>IFERROR(INDEX('[1]REP DISEÑO'!$G$9:$G$1508,MATCH(C479,'[1]REP DISEÑO'!$D$9:$D$1508,0)),"")</f>
        <v/>
      </c>
      <c r="F479" s="51" t="str">
        <f>IFERROR(INDEX('[1]REP DISEÑO'!$I$9:$I$1508,MATCH(C479,'[1]REP DISEÑO'!$D$9:$D$1508,0)),"")</f>
        <v/>
      </c>
      <c r="G479" s="51" t="str">
        <f>IFERROR(INDEX('[1]REP DISEÑO'!$M$9:$M$1508,MATCH(C479,'[1]REP DISEÑO'!$D$9:$D$1508,0)),"")</f>
        <v/>
      </c>
      <c r="H479" s="51" t="str">
        <f>IFERROR(INDEX('[1]REP DISEÑO'!$J$9:$J$1508,MATCH(C479,'[1]REP DISEÑO'!$D$9:$D$1508,0)),"")</f>
        <v/>
      </c>
      <c r="I479" s="52" t="str">
        <f>IFERROR(INDEX('[1]REP DISEÑO'!$C$9:$C$1508,MATCH(C479,'[1]REP DISEÑO'!$D$9:$D$1508,0)),"")</f>
        <v/>
      </c>
      <c r="J479" s="53" t="str">
        <f>IF(C479="","",IF(ISNUMBER(FIND("AMU",$C$14:$C$548)),1,(SUMIF('[1]REP PRODUCCIÓN'!$H$6:$H$1505,"*"&amp;C479&amp;"*",'[1]REP PRODUCCIÓN'!$E$6:$E$1505))))</f>
        <v/>
      </c>
      <c r="K479" s="53">
        <f t="shared" si="22"/>
        <v>0</v>
      </c>
      <c r="M479" s="54" t="str">
        <f>IFERROR(INDEX('[1]REP DISEÑO'!$BA$9:$BA$1008,MATCH('INDIC-DIS2'!C479,'[1]REP DISEÑO'!$D$9:$D$1008,0)),"")</f>
        <v/>
      </c>
      <c r="N479" s="55"/>
      <c r="O479" s="55"/>
      <c r="P479" s="55"/>
      <c r="R479" s="57" t="str">
        <f t="shared" si="23"/>
        <v/>
      </c>
    </row>
    <row r="480" spans="2:18" ht="26.25" customHeight="1" x14ac:dyDescent="0.25">
      <c r="B480" s="49">
        <f t="shared" si="21"/>
        <v>0</v>
      </c>
      <c r="C480" s="50" t="str">
        <f t="array" ref="C480">IFERROR(INDEX('[1]REP DISEÑO'!$D$9:$D$1008,SMALL(IF('[1]REP DISEÑO'!$AW$9:$AW$1008=$J$1,ROW('[1]REP DISEÑO'!$N$9:$N$1008)-ROW('[1]REP DISEÑO'!$N$9),""),ROWS(C$14:C480))+1),"")</f>
        <v/>
      </c>
      <c r="D480" s="51" t="str">
        <f>IFERROR(INDEX('[1]REP DISEÑO'!$N$9:$N$1508,MATCH(C480,'[1]REP DISEÑO'!$D$9:$D$1508,0)),"")</f>
        <v/>
      </c>
      <c r="E480" s="51" t="str">
        <f>IFERROR(INDEX('[1]REP DISEÑO'!$G$9:$G$1508,MATCH(C480,'[1]REP DISEÑO'!$D$9:$D$1508,0)),"")</f>
        <v/>
      </c>
      <c r="F480" s="51" t="str">
        <f>IFERROR(INDEX('[1]REP DISEÑO'!$I$9:$I$1508,MATCH(C480,'[1]REP DISEÑO'!$D$9:$D$1508,0)),"")</f>
        <v/>
      </c>
      <c r="G480" s="51" t="str">
        <f>IFERROR(INDEX('[1]REP DISEÑO'!$M$9:$M$1508,MATCH(C480,'[1]REP DISEÑO'!$D$9:$D$1508,0)),"")</f>
        <v/>
      </c>
      <c r="H480" s="51" t="str">
        <f>IFERROR(INDEX('[1]REP DISEÑO'!$J$9:$J$1508,MATCH(C480,'[1]REP DISEÑO'!$D$9:$D$1508,0)),"")</f>
        <v/>
      </c>
      <c r="I480" s="52" t="str">
        <f>IFERROR(INDEX('[1]REP DISEÑO'!$C$9:$C$1508,MATCH(C480,'[1]REP DISEÑO'!$D$9:$D$1508,0)),"")</f>
        <v/>
      </c>
      <c r="J480" s="53" t="str">
        <f>IF(C480="","",IF(ISNUMBER(FIND("AMU",$C$14:$C$548)),1,(SUMIF('[1]REP PRODUCCIÓN'!$H$6:$H$1505,"*"&amp;C480&amp;"*",'[1]REP PRODUCCIÓN'!$E$6:$E$1505))))</f>
        <v/>
      </c>
      <c r="K480" s="53">
        <f t="shared" si="22"/>
        <v>0</v>
      </c>
      <c r="M480" s="54" t="str">
        <f>IFERROR(INDEX('[1]REP DISEÑO'!$BA$9:$BA$1008,MATCH('INDIC-DIS2'!C480,'[1]REP DISEÑO'!$D$9:$D$1008,0)),"")</f>
        <v/>
      </c>
      <c r="N480" s="55"/>
      <c r="O480" s="55"/>
      <c r="P480" s="55"/>
      <c r="R480" s="57" t="str">
        <f t="shared" si="23"/>
        <v/>
      </c>
    </row>
    <row r="481" spans="2:18" ht="26.25" customHeight="1" x14ac:dyDescent="0.25">
      <c r="B481" s="49">
        <f t="shared" si="21"/>
        <v>0</v>
      </c>
      <c r="C481" s="50" t="str">
        <f t="array" ref="C481">IFERROR(INDEX('[1]REP DISEÑO'!$D$9:$D$1008,SMALL(IF('[1]REP DISEÑO'!$AW$9:$AW$1008=$J$1,ROW('[1]REP DISEÑO'!$N$9:$N$1008)-ROW('[1]REP DISEÑO'!$N$9),""),ROWS(C$14:C481))+1),"")</f>
        <v/>
      </c>
      <c r="D481" s="51" t="str">
        <f>IFERROR(INDEX('[1]REP DISEÑO'!$N$9:$N$1508,MATCH(C481,'[1]REP DISEÑO'!$D$9:$D$1508,0)),"")</f>
        <v/>
      </c>
      <c r="E481" s="51" t="str">
        <f>IFERROR(INDEX('[1]REP DISEÑO'!$G$9:$G$1508,MATCH(C481,'[1]REP DISEÑO'!$D$9:$D$1508,0)),"")</f>
        <v/>
      </c>
      <c r="F481" s="51" t="str">
        <f>IFERROR(INDEX('[1]REP DISEÑO'!$I$9:$I$1508,MATCH(C481,'[1]REP DISEÑO'!$D$9:$D$1508,0)),"")</f>
        <v/>
      </c>
      <c r="G481" s="51" t="str">
        <f>IFERROR(INDEX('[1]REP DISEÑO'!$M$9:$M$1508,MATCH(C481,'[1]REP DISEÑO'!$D$9:$D$1508,0)),"")</f>
        <v/>
      </c>
      <c r="H481" s="51" t="str">
        <f>IFERROR(INDEX('[1]REP DISEÑO'!$J$9:$J$1508,MATCH(C481,'[1]REP DISEÑO'!$D$9:$D$1508,0)),"")</f>
        <v/>
      </c>
      <c r="I481" s="52" t="str">
        <f>IFERROR(INDEX('[1]REP DISEÑO'!$C$9:$C$1508,MATCH(C481,'[1]REP DISEÑO'!$D$9:$D$1508,0)),"")</f>
        <v/>
      </c>
      <c r="J481" s="53" t="str">
        <f>IF(C481="","",IF(ISNUMBER(FIND("AMU",$C$14:$C$548)),1,(SUMIF('[1]REP PRODUCCIÓN'!$H$6:$H$1505,"*"&amp;C481&amp;"*",'[1]REP PRODUCCIÓN'!$E$6:$E$1505))))</f>
        <v/>
      </c>
      <c r="K481" s="53">
        <f t="shared" si="22"/>
        <v>0</v>
      </c>
      <c r="M481" s="54" t="str">
        <f>IFERROR(INDEX('[1]REP DISEÑO'!$BA$9:$BA$1008,MATCH('INDIC-DIS2'!C481,'[1]REP DISEÑO'!$D$9:$D$1008,0)),"")</f>
        <v/>
      </c>
      <c r="N481" s="55"/>
      <c r="O481" s="55"/>
      <c r="P481" s="55"/>
      <c r="R481" s="57" t="str">
        <f t="shared" si="23"/>
        <v/>
      </c>
    </row>
    <row r="482" spans="2:18" ht="26.25" customHeight="1" x14ac:dyDescent="0.25">
      <c r="B482" s="49">
        <f t="shared" si="21"/>
        <v>0</v>
      </c>
      <c r="C482" s="50" t="str">
        <f t="array" ref="C482">IFERROR(INDEX('[1]REP DISEÑO'!$D$9:$D$1008,SMALL(IF('[1]REP DISEÑO'!$AW$9:$AW$1008=$J$1,ROW('[1]REP DISEÑO'!$N$9:$N$1008)-ROW('[1]REP DISEÑO'!$N$9),""),ROWS(C$14:C482))+1),"")</f>
        <v/>
      </c>
      <c r="D482" s="51" t="str">
        <f>IFERROR(INDEX('[1]REP DISEÑO'!$N$9:$N$1508,MATCH(C482,'[1]REP DISEÑO'!$D$9:$D$1508,0)),"")</f>
        <v/>
      </c>
      <c r="E482" s="51" t="str">
        <f>IFERROR(INDEX('[1]REP DISEÑO'!$G$9:$G$1508,MATCH(C482,'[1]REP DISEÑO'!$D$9:$D$1508,0)),"")</f>
        <v/>
      </c>
      <c r="F482" s="51" t="str">
        <f>IFERROR(INDEX('[1]REP DISEÑO'!$I$9:$I$1508,MATCH(C482,'[1]REP DISEÑO'!$D$9:$D$1508,0)),"")</f>
        <v/>
      </c>
      <c r="G482" s="51" t="str">
        <f>IFERROR(INDEX('[1]REP DISEÑO'!$M$9:$M$1508,MATCH(C482,'[1]REP DISEÑO'!$D$9:$D$1508,0)),"")</f>
        <v/>
      </c>
      <c r="H482" s="51" t="str">
        <f>IFERROR(INDEX('[1]REP DISEÑO'!$J$9:$J$1508,MATCH(C482,'[1]REP DISEÑO'!$D$9:$D$1508,0)),"")</f>
        <v/>
      </c>
      <c r="I482" s="52" t="str">
        <f>IFERROR(INDEX('[1]REP DISEÑO'!$C$9:$C$1508,MATCH(C482,'[1]REP DISEÑO'!$D$9:$D$1508,0)),"")</f>
        <v/>
      </c>
      <c r="J482" s="53" t="str">
        <f>IF(C482="","",IF(ISNUMBER(FIND("AMU",$C$14:$C$548)),1,(SUMIF('[1]REP PRODUCCIÓN'!$H$6:$H$1505,"*"&amp;C482&amp;"*",'[1]REP PRODUCCIÓN'!$E$6:$E$1505))))</f>
        <v/>
      </c>
      <c r="K482" s="53">
        <f t="shared" si="22"/>
        <v>0</v>
      </c>
      <c r="M482" s="54" t="str">
        <f>IFERROR(INDEX('[1]REP DISEÑO'!$BA$9:$BA$1008,MATCH('INDIC-DIS2'!C482,'[1]REP DISEÑO'!$D$9:$D$1008,0)),"")</f>
        <v/>
      </c>
      <c r="N482" s="55"/>
      <c r="O482" s="55"/>
      <c r="P482" s="55"/>
      <c r="R482" s="57" t="str">
        <f t="shared" si="23"/>
        <v/>
      </c>
    </row>
    <row r="483" spans="2:18" ht="26.25" customHeight="1" x14ac:dyDescent="0.25">
      <c r="B483" s="49">
        <f t="shared" si="21"/>
        <v>0</v>
      </c>
      <c r="C483" s="50" t="str">
        <f t="array" ref="C483">IFERROR(INDEX('[1]REP DISEÑO'!$D$9:$D$1008,SMALL(IF('[1]REP DISEÑO'!$AW$9:$AW$1008=$J$1,ROW('[1]REP DISEÑO'!$N$9:$N$1008)-ROW('[1]REP DISEÑO'!$N$9),""),ROWS(C$14:C483))+1),"")</f>
        <v/>
      </c>
      <c r="D483" s="51" t="str">
        <f>IFERROR(INDEX('[1]REP DISEÑO'!$N$9:$N$1508,MATCH(C483,'[1]REP DISEÑO'!$D$9:$D$1508,0)),"")</f>
        <v/>
      </c>
      <c r="E483" s="51" t="str">
        <f>IFERROR(INDEX('[1]REP DISEÑO'!$G$9:$G$1508,MATCH(C483,'[1]REP DISEÑO'!$D$9:$D$1508,0)),"")</f>
        <v/>
      </c>
      <c r="F483" s="51" t="str">
        <f>IFERROR(INDEX('[1]REP DISEÑO'!$I$9:$I$1508,MATCH(C483,'[1]REP DISEÑO'!$D$9:$D$1508,0)),"")</f>
        <v/>
      </c>
      <c r="G483" s="51" t="str">
        <f>IFERROR(INDEX('[1]REP DISEÑO'!$M$9:$M$1508,MATCH(C483,'[1]REP DISEÑO'!$D$9:$D$1508,0)),"")</f>
        <v/>
      </c>
      <c r="H483" s="51" t="str">
        <f>IFERROR(INDEX('[1]REP DISEÑO'!$J$9:$J$1508,MATCH(C483,'[1]REP DISEÑO'!$D$9:$D$1508,0)),"")</f>
        <v/>
      </c>
      <c r="I483" s="52" t="str">
        <f>IFERROR(INDEX('[1]REP DISEÑO'!$C$9:$C$1508,MATCH(C483,'[1]REP DISEÑO'!$D$9:$D$1508,0)),"")</f>
        <v/>
      </c>
      <c r="J483" s="53" t="str">
        <f>IF(C483="","",IF(ISNUMBER(FIND("AMU",$C$14:$C$548)),1,(SUMIF('[1]REP PRODUCCIÓN'!$H$6:$H$1505,"*"&amp;C483&amp;"*",'[1]REP PRODUCCIÓN'!$E$6:$E$1505))))</f>
        <v/>
      </c>
      <c r="K483" s="53">
        <f t="shared" si="22"/>
        <v>0</v>
      </c>
      <c r="M483" s="54" t="str">
        <f>IFERROR(INDEX('[1]REP DISEÑO'!$BA$9:$BA$1008,MATCH('INDIC-DIS2'!C483,'[1]REP DISEÑO'!$D$9:$D$1008,0)),"")</f>
        <v/>
      </c>
      <c r="N483" s="55"/>
      <c r="O483" s="55"/>
      <c r="P483" s="55"/>
      <c r="R483" s="57" t="str">
        <f t="shared" si="23"/>
        <v/>
      </c>
    </row>
    <row r="484" spans="2:18" ht="26.25" customHeight="1" x14ac:dyDescent="0.25">
      <c r="B484" s="49">
        <f t="shared" si="21"/>
        <v>0</v>
      </c>
      <c r="C484" s="50" t="str">
        <f t="array" ref="C484">IFERROR(INDEX('[1]REP DISEÑO'!$D$9:$D$1008,SMALL(IF('[1]REP DISEÑO'!$AW$9:$AW$1008=$J$1,ROW('[1]REP DISEÑO'!$N$9:$N$1008)-ROW('[1]REP DISEÑO'!$N$9),""),ROWS(C$14:C484))+1),"")</f>
        <v/>
      </c>
      <c r="D484" s="51" t="str">
        <f>IFERROR(INDEX('[1]REP DISEÑO'!$N$9:$N$1508,MATCH(C484,'[1]REP DISEÑO'!$D$9:$D$1508,0)),"")</f>
        <v/>
      </c>
      <c r="E484" s="51" t="str">
        <f>IFERROR(INDEX('[1]REP DISEÑO'!$G$9:$G$1508,MATCH(C484,'[1]REP DISEÑO'!$D$9:$D$1508,0)),"")</f>
        <v/>
      </c>
      <c r="F484" s="51" t="str">
        <f>IFERROR(INDEX('[1]REP DISEÑO'!$I$9:$I$1508,MATCH(C484,'[1]REP DISEÑO'!$D$9:$D$1508,0)),"")</f>
        <v/>
      </c>
      <c r="G484" s="51" t="str">
        <f>IFERROR(INDEX('[1]REP DISEÑO'!$M$9:$M$1508,MATCH(C484,'[1]REP DISEÑO'!$D$9:$D$1508,0)),"")</f>
        <v/>
      </c>
      <c r="H484" s="51" t="str">
        <f>IFERROR(INDEX('[1]REP DISEÑO'!$J$9:$J$1508,MATCH(C484,'[1]REP DISEÑO'!$D$9:$D$1508,0)),"")</f>
        <v/>
      </c>
      <c r="I484" s="52" t="str">
        <f>IFERROR(INDEX('[1]REP DISEÑO'!$C$9:$C$1508,MATCH(C484,'[1]REP DISEÑO'!$D$9:$D$1508,0)),"")</f>
        <v/>
      </c>
      <c r="J484" s="53" t="str">
        <f>IF(C484="","",IF(ISNUMBER(FIND("AMU",$C$14:$C$548)),1,(SUMIF('[1]REP PRODUCCIÓN'!$H$6:$H$1505,"*"&amp;C484&amp;"*",'[1]REP PRODUCCIÓN'!$E$6:$E$1505))))</f>
        <v/>
      </c>
      <c r="K484" s="53">
        <f t="shared" si="22"/>
        <v>0</v>
      </c>
      <c r="M484" s="54" t="str">
        <f>IFERROR(INDEX('[1]REP DISEÑO'!$BA$9:$BA$1008,MATCH('INDIC-DIS2'!C484,'[1]REP DISEÑO'!$D$9:$D$1008,0)),"")</f>
        <v/>
      </c>
      <c r="N484" s="55"/>
      <c r="O484" s="55"/>
      <c r="P484" s="55"/>
      <c r="R484" s="57" t="str">
        <f t="shared" si="23"/>
        <v/>
      </c>
    </row>
    <row r="485" spans="2:18" ht="26.25" customHeight="1" x14ac:dyDescent="0.25">
      <c r="B485" s="49">
        <f t="shared" si="21"/>
        <v>0</v>
      </c>
      <c r="C485" s="50" t="str">
        <f t="array" ref="C485">IFERROR(INDEX('[1]REP DISEÑO'!$D$9:$D$1008,SMALL(IF('[1]REP DISEÑO'!$AW$9:$AW$1008=$J$1,ROW('[1]REP DISEÑO'!$N$9:$N$1008)-ROW('[1]REP DISEÑO'!$N$9),""),ROWS(C$14:C485))+1),"")</f>
        <v/>
      </c>
      <c r="D485" s="51" t="str">
        <f>IFERROR(INDEX('[1]REP DISEÑO'!$N$9:$N$1508,MATCH(C485,'[1]REP DISEÑO'!$D$9:$D$1508,0)),"")</f>
        <v/>
      </c>
      <c r="E485" s="51" t="str">
        <f>IFERROR(INDEX('[1]REP DISEÑO'!$G$9:$G$1508,MATCH(C485,'[1]REP DISEÑO'!$D$9:$D$1508,0)),"")</f>
        <v/>
      </c>
      <c r="F485" s="51" t="str">
        <f>IFERROR(INDEX('[1]REP DISEÑO'!$I$9:$I$1508,MATCH(C485,'[1]REP DISEÑO'!$D$9:$D$1508,0)),"")</f>
        <v/>
      </c>
      <c r="G485" s="51" t="str">
        <f>IFERROR(INDEX('[1]REP DISEÑO'!$M$9:$M$1508,MATCH(C485,'[1]REP DISEÑO'!$D$9:$D$1508,0)),"")</f>
        <v/>
      </c>
      <c r="H485" s="51" t="str">
        <f>IFERROR(INDEX('[1]REP DISEÑO'!$J$9:$J$1508,MATCH(C485,'[1]REP DISEÑO'!$D$9:$D$1508,0)),"")</f>
        <v/>
      </c>
      <c r="I485" s="52" t="str">
        <f>IFERROR(INDEX('[1]REP DISEÑO'!$C$9:$C$1508,MATCH(C485,'[1]REP DISEÑO'!$D$9:$D$1508,0)),"")</f>
        <v/>
      </c>
      <c r="J485" s="53" t="str">
        <f>IF(C485="","",IF(ISNUMBER(FIND("AMU",$C$14:$C$548)),1,(SUMIF('[1]REP PRODUCCIÓN'!$H$6:$H$1505,"*"&amp;C485&amp;"*",'[1]REP PRODUCCIÓN'!$E$6:$E$1505))))</f>
        <v/>
      </c>
      <c r="K485" s="53">
        <f t="shared" si="22"/>
        <v>0</v>
      </c>
      <c r="M485" s="54" t="str">
        <f>IFERROR(INDEX('[1]REP DISEÑO'!$BA$9:$BA$1008,MATCH('INDIC-DIS2'!C485,'[1]REP DISEÑO'!$D$9:$D$1008,0)),"")</f>
        <v/>
      </c>
      <c r="N485" s="55"/>
      <c r="O485" s="55"/>
      <c r="P485" s="55"/>
      <c r="R485" s="57" t="str">
        <f t="shared" si="23"/>
        <v/>
      </c>
    </row>
    <row r="486" spans="2:18" ht="26.25" customHeight="1" x14ac:dyDescent="0.25">
      <c r="B486" s="49">
        <f t="shared" si="21"/>
        <v>0</v>
      </c>
      <c r="C486" s="50" t="str">
        <f t="array" ref="C486">IFERROR(INDEX('[1]REP DISEÑO'!$D$9:$D$1008,SMALL(IF('[1]REP DISEÑO'!$AW$9:$AW$1008=$J$1,ROW('[1]REP DISEÑO'!$N$9:$N$1008)-ROW('[1]REP DISEÑO'!$N$9),""),ROWS(C$14:C486))+1),"")</f>
        <v/>
      </c>
      <c r="D486" s="51" t="str">
        <f>IFERROR(INDEX('[1]REP DISEÑO'!$N$9:$N$1508,MATCH(C486,'[1]REP DISEÑO'!$D$9:$D$1508,0)),"")</f>
        <v/>
      </c>
      <c r="E486" s="51" t="str">
        <f>IFERROR(INDEX('[1]REP DISEÑO'!$G$9:$G$1508,MATCH(C486,'[1]REP DISEÑO'!$D$9:$D$1508,0)),"")</f>
        <v/>
      </c>
      <c r="F486" s="51" t="str">
        <f>IFERROR(INDEX('[1]REP DISEÑO'!$I$9:$I$1508,MATCH(C486,'[1]REP DISEÑO'!$D$9:$D$1508,0)),"")</f>
        <v/>
      </c>
      <c r="G486" s="51" t="str">
        <f>IFERROR(INDEX('[1]REP DISEÑO'!$M$9:$M$1508,MATCH(C486,'[1]REP DISEÑO'!$D$9:$D$1508,0)),"")</f>
        <v/>
      </c>
      <c r="H486" s="51" t="str">
        <f>IFERROR(INDEX('[1]REP DISEÑO'!$J$9:$J$1508,MATCH(C486,'[1]REP DISEÑO'!$D$9:$D$1508,0)),"")</f>
        <v/>
      </c>
      <c r="I486" s="52" t="str">
        <f>IFERROR(INDEX('[1]REP DISEÑO'!$C$9:$C$1508,MATCH(C486,'[1]REP DISEÑO'!$D$9:$D$1508,0)),"")</f>
        <v/>
      </c>
      <c r="J486" s="53" t="str">
        <f>IF(C486="","",IF(ISNUMBER(FIND("AMU",$C$14:$C$548)),1,(SUMIF('[1]REP PRODUCCIÓN'!$H$6:$H$1505,"*"&amp;C486&amp;"*",'[1]REP PRODUCCIÓN'!$E$6:$E$1505))))</f>
        <v/>
      </c>
      <c r="K486" s="53">
        <f t="shared" si="22"/>
        <v>0</v>
      </c>
      <c r="M486" s="54" t="str">
        <f>IFERROR(INDEX('[1]REP DISEÑO'!$BA$9:$BA$1008,MATCH('INDIC-DIS2'!C486,'[1]REP DISEÑO'!$D$9:$D$1008,0)),"")</f>
        <v/>
      </c>
      <c r="N486" s="55"/>
      <c r="O486" s="55"/>
      <c r="P486" s="55"/>
      <c r="R486" s="57" t="str">
        <f t="shared" si="23"/>
        <v/>
      </c>
    </row>
    <row r="487" spans="2:18" ht="26.25" customHeight="1" x14ac:dyDescent="0.25">
      <c r="B487" s="49">
        <f t="shared" si="21"/>
        <v>0</v>
      </c>
      <c r="C487" s="50" t="str">
        <f t="array" ref="C487">IFERROR(INDEX('[1]REP DISEÑO'!$D$9:$D$1008,SMALL(IF('[1]REP DISEÑO'!$AW$9:$AW$1008=$J$1,ROW('[1]REP DISEÑO'!$N$9:$N$1008)-ROW('[1]REP DISEÑO'!$N$9),""),ROWS(C$14:C487))+1),"")</f>
        <v/>
      </c>
      <c r="D487" s="51" t="str">
        <f>IFERROR(INDEX('[1]REP DISEÑO'!$N$9:$N$1508,MATCH(C487,'[1]REP DISEÑO'!$D$9:$D$1508,0)),"")</f>
        <v/>
      </c>
      <c r="E487" s="51" t="str">
        <f>IFERROR(INDEX('[1]REP DISEÑO'!$G$9:$G$1508,MATCH(C487,'[1]REP DISEÑO'!$D$9:$D$1508,0)),"")</f>
        <v/>
      </c>
      <c r="F487" s="51" t="str">
        <f>IFERROR(INDEX('[1]REP DISEÑO'!$I$9:$I$1508,MATCH(C487,'[1]REP DISEÑO'!$D$9:$D$1508,0)),"")</f>
        <v/>
      </c>
      <c r="G487" s="51" t="str">
        <f>IFERROR(INDEX('[1]REP DISEÑO'!$M$9:$M$1508,MATCH(C487,'[1]REP DISEÑO'!$D$9:$D$1508,0)),"")</f>
        <v/>
      </c>
      <c r="H487" s="51" t="str">
        <f>IFERROR(INDEX('[1]REP DISEÑO'!$J$9:$J$1508,MATCH(C487,'[1]REP DISEÑO'!$D$9:$D$1508,0)),"")</f>
        <v/>
      </c>
      <c r="I487" s="52" t="str">
        <f>IFERROR(INDEX('[1]REP DISEÑO'!$C$9:$C$1508,MATCH(C487,'[1]REP DISEÑO'!$D$9:$D$1508,0)),"")</f>
        <v/>
      </c>
      <c r="J487" s="53" t="str">
        <f>IF(C487="","",IF(ISNUMBER(FIND("AMU",$C$14:$C$548)),1,(SUMIF('[1]REP PRODUCCIÓN'!$H$6:$H$1505,"*"&amp;C487&amp;"*",'[1]REP PRODUCCIÓN'!$E$6:$E$1505))))</f>
        <v/>
      </c>
      <c r="K487" s="53">
        <f t="shared" si="22"/>
        <v>0</v>
      </c>
      <c r="M487" s="54" t="str">
        <f>IFERROR(INDEX('[1]REP DISEÑO'!$BA$9:$BA$1008,MATCH('INDIC-DIS2'!C487,'[1]REP DISEÑO'!$D$9:$D$1008,0)),"")</f>
        <v/>
      </c>
      <c r="N487" s="55"/>
      <c r="O487" s="55"/>
      <c r="P487" s="55"/>
      <c r="R487" s="57" t="str">
        <f t="shared" si="23"/>
        <v/>
      </c>
    </row>
    <row r="488" spans="2:18" ht="26.25" customHeight="1" x14ac:dyDescent="0.25">
      <c r="B488" s="49">
        <f t="shared" si="21"/>
        <v>0</v>
      </c>
      <c r="C488" s="50" t="str">
        <f t="array" ref="C488">IFERROR(INDEX('[1]REP DISEÑO'!$D$9:$D$1008,SMALL(IF('[1]REP DISEÑO'!$AW$9:$AW$1008=$J$1,ROW('[1]REP DISEÑO'!$N$9:$N$1008)-ROW('[1]REP DISEÑO'!$N$9),""),ROWS(C$14:C488))+1),"")</f>
        <v/>
      </c>
      <c r="D488" s="51" t="str">
        <f>IFERROR(INDEX('[1]REP DISEÑO'!$N$9:$N$1508,MATCH(C488,'[1]REP DISEÑO'!$D$9:$D$1508,0)),"")</f>
        <v/>
      </c>
      <c r="E488" s="51" t="str">
        <f>IFERROR(INDEX('[1]REP DISEÑO'!$G$9:$G$1508,MATCH(C488,'[1]REP DISEÑO'!$D$9:$D$1508,0)),"")</f>
        <v/>
      </c>
      <c r="F488" s="51" t="str">
        <f>IFERROR(INDEX('[1]REP DISEÑO'!$I$9:$I$1508,MATCH(C488,'[1]REP DISEÑO'!$D$9:$D$1508,0)),"")</f>
        <v/>
      </c>
      <c r="G488" s="51" t="str">
        <f>IFERROR(INDEX('[1]REP DISEÑO'!$M$9:$M$1508,MATCH(C488,'[1]REP DISEÑO'!$D$9:$D$1508,0)),"")</f>
        <v/>
      </c>
      <c r="H488" s="51" t="str">
        <f>IFERROR(INDEX('[1]REP DISEÑO'!$J$9:$J$1508,MATCH(C488,'[1]REP DISEÑO'!$D$9:$D$1508,0)),"")</f>
        <v/>
      </c>
      <c r="I488" s="52" t="str">
        <f>IFERROR(INDEX('[1]REP DISEÑO'!$C$9:$C$1508,MATCH(C488,'[1]REP DISEÑO'!$D$9:$D$1508,0)),"")</f>
        <v/>
      </c>
      <c r="J488" s="53" t="str">
        <f>IF(C488="","",IF(ISNUMBER(FIND("AMU",$C$14:$C$548)),1,(SUMIF('[1]REP PRODUCCIÓN'!$H$6:$H$1505,"*"&amp;C488&amp;"*",'[1]REP PRODUCCIÓN'!$E$6:$E$1505))))</f>
        <v/>
      </c>
      <c r="K488" s="53">
        <f t="shared" si="22"/>
        <v>0</v>
      </c>
      <c r="M488" s="54" t="str">
        <f>IFERROR(INDEX('[1]REP DISEÑO'!$BA$9:$BA$1008,MATCH('INDIC-DIS2'!C488,'[1]REP DISEÑO'!$D$9:$D$1008,0)),"")</f>
        <v/>
      </c>
      <c r="N488" s="55"/>
      <c r="O488" s="55"/>
      <c r="P488" s="55"/>
      <c r="R488" s="57" t="str">
        <f t="shared" si="23"/>
        <v/>
      </c>
    </row>
    <row r="489" spans="2:18" ht="26.25" customHeight="1" x14ac:dyDescent="0.25">
      <c r="B489" s="49">
        <f t="shared" si="21"/>
        <v>0</v>
      </c>
      <c r="C489" s="50" t="str">
        <f t="array" ref="C489">IFERROR(INDEX('[1]REP DISEÑO'!$D$9:$D$1008,SMALL(IF('[1]REP DISEÑO'!$AW$9:$AW$1008=$J$1,ROW('[1]REP DISEÑO'!$N$9:$N$1008)-ROW('[1]REP DISEÑO'!$N$9),""),ROWS(C$14:C489))+1),"")</f>
        <v/>
      </c>
      <c r="D489" s="51" t="str">
        <f>IFERROR(INDEX('[1]REP DISEÑO'!$N$9:$N$1508,MATCH(C489,'[1]REP DISEÑO'!$D$9:$D$1508,0)),"")</f>
        <v/>
      </c>
      <c r="E489" s="51" t="str">
        <f>IFERROR(INDEX('[1]REP DISEÑO'!$G$9:$G$1508,MATCH(C489,'[1]REP DISEÑO'!$D$9:$D$1508,0)),"")</f>
        <v/>
      </c>
      <c r="F489" s="51" t="str">
        <f>IFERROR(INDEX('[1]REP DISEÑO'!$I$9:$I$1508,MATCH(C489,'[1]REP DISEÑO'!$D$9:$D$1508,0)),"")</f>
        <v/>
      </c>
      <c r="G489" s="51" t="str">
        <f>IFERROR(INDEX('[1]REP DISEÑO'!$M$9:$M$1508,MATCH(C489,'[1]REP DISEÑO'!$D$9:$D$1508,0)),"")</f>
        <v/>
      </c>
      <c r="H489" s="51" t="str">
        <f>IFERROR(INDEX('[1]REP DISEÑO'!$J$9:$J$1508,MATCH(C489,'[1]REP DISEÑO'!$D$9:$D$1508,0)),"")</f>
        <v/>
      </c>
      <c r="I489" s="52" t="str">
        <f>IFERROR(INDEX('[1]REP DISEÑO'!$C$9:$C$1508,MATCH(C489,'[1]REP DISEÑO'!$D$9:$D$1508,0)),"")</f>
        <v/>
      </c>
      <c r="J489" s="53" t="str">
        <f>IF(C489="","",IF(ISNUMBER(FIND("AMU",$C$14:$C$548)),1,(SUMIF('[1]REP PRODUCCIÓN'!$H$6:$H$1505,"*"&amp;C489&amp;"*",'[1]REP PRODUCCIÓN'!$E$6:$E$1505))))</f>
        <v/>
      </c>
      <c r="K489" s="53">
        <f t="shared" si="22"/>
        <v>0</v>
      </c>
      <c r="M489" s="54" t="str">
        <f>IFERROR(INDEX('[1]REP DISEÑO'!$BA$9:$BA$1008,MATCH('INDIC-DIS2'!C489,'[1]REP DISEÑO'!$D$9:$D$1008,0)),"")</f>
        <v/>
      </c>
      <c r="N489" s="55"/>
      <c r="O489" s="55"/>
      <c r="P489" s="55"/>
      <c r="R489" s="57" t="str">
        <f t="shared" si="23"/>
        <v/>
      </c>
    </row>
    <row r="490" spans="2:18" ht="26.25" customHeight="1" x14ac:dyDescent="0.25">
      <c r="B490" s="49">
        <f t="shared" si="21"/>
        <v>0</v>
      </c>
      <c r="C490" s="50" t="str">
        <f t="array" ref="C490">IFERROR(INDEX('[1]REP DISEÑO'!$D$9:$D$1008,SMALL(IF('[1]REP DISEÑO'!$AW$9:$AW$1008=$J$1,ROW('[1]REP DISEÑO'!$N$9:$N$1008)-ROW('[1]REP DISEÑO'!$N$9),""),ROWS(C$14:C490))+1),"")</f>
        <v/>
      </c>
      <c r="D490" s="51" t="str">
        <f>IFERROR(INDEX('[1]REP DISEÑO'!$N$9:$N$1508,MATCH(C490,'[1]REP DISEÑO'!$D$9:$D$1508,0)),"")</f>
        <v/>
      </c>
      <c r="E490" s="51" t="str">
        <f>IFERROR(INDEX('[1]REP DISEÑO'!$G$9:$G$1508,MATCH(C490,'[1]REP DISEÑO'!$D$9:$D$1508,0)),"")</f>
        <v/>
      </c>
      <c r="F490" s="51" t="str">
        <f>IFERROR(INDEX('[1]REP DISEÑO'!$I$9:$I$1508,MATCH(C490,'[1]REP DISEÑO'!$D$9:$D$1508,0)),"")</f>
        <v/>
      </c>
      <c r="G490" s="51" t="str">
        <f>IFERROR(INDEX('[1]REP DISEÑO'!$M$9:$M$1508,MATCH(C490,'[1]REP DISEÑO'!$D$9:$D$1508,0)),"")</f>
        <v/>
      </c>
      <c r="H490" s="51" t="str">
        <f>IFERROR(INDEX('[1]REP DISEÑO'!$J$9:$J$1508,MATCH(C490,'[1]REP DISEÑO'!$D$9:$D$1508,0)),"")</f>
        <v/>
      </c>
      <c r="I490" s="52" t="str">
        <f>IFERROR(INDEX('[1]REP DISEÑO'!$C$9:$C$1508,MATCH(C490,'[1]REP DISEÑO'!$D$9:$D$1508,0)),"")</f>
        <v/>
      </c>
      <c r="J490" s="53" t="str">
        <f>IF(C490="","",IF(ISNUMBER(FIND("AMU",$C$14:$C$548)),1,(SUMIF('[1]REP PRODUCCIÓN'!$H$6:$H$1505,"*"&amp;C490&amp;"*",'[1]REP PRODUCCIÓN'!$E$6:$E$1505))))</f>
        <v/>
      </c>
      <c r="K490" s="53">
        <f t="shared" si="22"/>
        <v>0</v>
      </c>
      <c r="M490" s="54" t="str">
        <f>IFERROR(INDEX('[1]REP DISEÑO'!$BA$9:$BA$1008,MATCH('INDIC-DIS2'!C490,'[1]REP DISEÑO'!$D$9:$D$1008,0)),"")</f>
        <v/>
      </c>
      <c r="N490" s="55"/>
      <c r="O490" s="55"/>
      <c r="P490" s="55"/>
      <c r="R490" s="57" t="str">
        <f t="shared" si="23"/>
        <v/>
      </c>
    </row>
    <row r="491" spans="2:18" ht="26.25" customHeight="1" x14ac:dyDescent="0.25">
      <c r="B491" s="49">
        <f t="shared" si="21"/>
        <v>0</v>
      </c>
      <c r="C491" s="50" t="str">
        <f t="array" ref="C491">IFERROR(INDEX('[1]REP DISEÑO'!$D$9:$D$1008,SMALL(IF('[1]REP DISEÑO'!$AW$9:$AW$1008=$J$1,ROW('[1]REP DISEÑO'!$N$9:$N$1008)-ROW('[1]REP DISEÑO'!$N$9),""),ROWS(C$14:C491))+1),"")</f>
        <v/>
      </c>
      <c r="D491" s="51" t="str">
        <f>IFERROR(INDEX('[1]REP DISEÑO'!$N$9:$N$1508,MATCH(C491,'[1]REP DISEÑO'!$D$9:$D$1508,0)),"")</f>
        <v/>
      </c>
      <c r="E491" s="51" t="str">
        <f>IFERROR(INDEX('[1]REP DISEÑO'!$G$9:$G$1508,MATCH(C491,'[1]REP DISEÑO'!$D$9:$D$1508,0)),"")</f>
        <v/>
      </c>
      <c r="F491" s="51" t="str">
        <f>IFERROR(INDEX('[1]REP DISEÑO'!$I$9:$I$1508,MATCH(C491,'[1]REP DISEÑO'!$D$9:$D$1508,0)),"")</f>
        <v/>
      </c>
      <c r="G491" s="51" t="str">
        <f>IFERROR(INDEX('[1]REP DISEÑO'!$M$9:$M$1508,MATCH(C491,'[1]REP DISEÑO'!$D$9:$D$1508,0)),"")</f>
        <v/>
      </c>
      <c r="H491" s="51" t="str">
        <f>IFERROR(INDEX('[1]REP DISEÑO'!$J$9:$J$1508,MATCH(C491,'[1]REP DISEÑO'!$D$9:$D$1508,0)),"")</f>
        <v/>
      </c>
      <c r="I491" s="52" t="str">
        <f>IFERROR(INDEX('[1]REP DISEÑO'!$C$9:$C$1508,MATCH(C491,'[1]REP DISEÑO'!$D$9:$D$1508,0)),"")</f>
        <v/>
      </c>
      <c r="J491" s="53" t="str">
        <f>IF(C491="","",IF(ISNUMBER(FIND("AMU",$C$14:$C$548)),1,(SUMIF('[1]REP PRODUCCIÓN'!$H$6:$H$1505,"*"&amp;C491&amp;"*",'[1]REP PRODUCCIÓN'!$E$6:$E$1505))))</f>
        <v/>
      </c>
      <c r="K491" s="53">
        <f t="shared" si="22"/>
        <v>0</v>
      </c>
      <c r="M491" s="54" t="str">
        <f>IFERROR(INDEX('[1]REP DISEÑO'!$BA$9:$BA$1008,MATCH('INDIC-DIS2'!C491,'[1]REP DISEÑO'!$D$9:$D$1008,0)),"")</f>
        <v/>
      </c>
      <c r="N491" s="55"/>
      <c r="O491" s="55"/>
      <c r="P491" s="55"/>
      <c r="R491" s="57" t="str">
        <f t="shared" si="23"/>
        <v/>
      </c>
    </row>
    <row r="492" spans="2:18" ht="26.25" customHeight="1" x14ac:dyDescent="0.25">
      <c r="B492" s="49">
        <f t="shared" si="21"/>
        <v>0</v>
      </c>
      <c r="C492" s="50" t="str">
        <f t="array" ref="C492">IFERROR(INDEX('[1]REP DISEÑO'!$D$9:$D$1008,SMALL(IF('[1]REP DISEÑO'!$AW$9:$AW$1008=$J$1,ROW('[1]REP DISEÑO'!$N$9:$N$1008)-ROW('[1]REP DISEÑO'!$N$9),""),ROWS(C$14:C492))+1),"")</f>
        <v/>
      </c>
      <c r="D492" s="51" t="str">
        <f>IFERROR(INDEX('[1]REP DISEÑO'!$N$9:$N$1508,MATCH(C492,'[1]REP DISEÑO'!$D$9:$D$1508,0)),"")</f>
        <v/>
      </c>
      <c r="E492" s="51" t="str">
        <f>IFERROR(INDEX('[1]REP DISEÑO'!$G$9:$G$1508,MATCH(C492,'[1]REP DISEÑO'!$D$9:$D$1508,0)),"")</f>
        <v/>
      </c>
      <c r="F492" s="51" t="str">
        <f>IFERROR(INDEX('[1]REP DISEÑO'!$I$9:$I$1508,MATCH(C492,'[1]REP DISEÑO'!$D$9:$D$1508,0)),"")</f>
        <v/>
      </c>
      <c r="G492" s="51" t="str">
        <f>IFERROR(INDEX('[1]REP DISEÑO'!$M$9:$M$1508,MATCH(C492,'[1]REP DISEÑO'!$D$9:$D$1508,0)),"")</f>
        <v/>
      </c>
      <c r="H492" s="51" t="str">
        <f>IFERROR(INDEX('[1]REP DISEÑO'!$J$9:$J$1508,MATCH(C492,'[1]REP DISEÑO'!$D$9:$D$1508,0)),"")</f>
        <v/>
      </c>
      <c r="I492" s="52" t="str">
        <f>IFERROR(INDEX('[1]REP DISEÑO'!$C$9:$C$1508,MATCH(C492,'[1]REP DISEÑO'!$D$9:$D$1508,0)),"")</f>
        <v/>
      </c>
      <c r="J492" s="53" t="str">
        <f>IF(C492="","",IF(ISNUMBER(FIND("AMU",$C$14:$C$548)),1,(SUMIF('[1]REP PRODUCCIÓN'!$H$6:$H$1505,"*"&amp;C492&amp;"*",'[1]REP PRODUCCIÓN'!$E$6:$E$1505))))</f>
        <v/>
      </c>
      <c r="K492" s="53">
        <f t="shared" si="22"/>
        <v>0</v>
      </c>
      <c r="M492" s="54" t="str">
        <f>IFERROR(INDEX('[1]REP DISEÑO'!$BA$9:$BA$1008,MATCH('INDIC-DIS2'!C492,'[1]REP DISEÑO'!$D$9:$D$1008,0)),"")</f>
        <v/>
      </c>
      <c r="N492" s="55"/>
      <c r="O492" s="55"/>
      <c r="P492" s="55"/>
      <c r="R492" s="57" t="str">
        <f t="shared" si="23"/>
        <v/>
      </c>
    </row>
    <row r="493" spans="2:18" ht="26.25" customHeight="1" x14ac:dyDescent="0.25">
      <c r="B493" s="49">
        <f t="shared" si="21"/>
        <v>0</v>
      </c>
      <c r="C493" s="50" t="str">
        <f t="array" ref="C493">IFERROR(INDEX('[1]REP DISEÑO'!$D$9:$D$1008,SMALL(IF('[1]REP DISEÑO'!$AW$9:$AW$1008=$J$1,ROW('[1]REP DISEÑO'!$N$9:$N$1008)-ROW('[1]REP DISEÑO'!$N$9),""),ROWS(C$14:C493))+1),"")</f>
        <v/>
      </c>
      <c r="D493" s="51" t="str">
        <f>IFERROR(INDEX('[1]REP DISEÑO'!$N$9:$N$1508,MATCH(C493,'[1]REP DISEÑO'!$D$9:$D$1508,0)),"")</f>
        <v/>
      </c>
      <c r="E493" s="51" t="str">
        <f>IFERROR(INDEX('[1]REP DISEÑO'!$G$9:$G$1508,MATCH(C493,'[1]REP DISEÑO'!$D$9:$D$1508,0)),"")</f>
        <v/>
      </c>
      <c r="F493" s="51" t="str">
        <f>IFERROR(INDEX('[1]REP DISEÑO'!$I$9:$I$1508,MATCH(C493,'[1]REP DISEÑO'!$D$9:$D$1508,0)),"")</f>
        <v/>
      </c>
      <c r="G493" s="51" t="str">
        <f>IFERROR(INDEX('[1]REP DISEÑO'!$M$9:$M$1508,MATCH(C493,'[1]REP DISEÑO'!$D$9:$D$1508,0)),"")</f>
        <v/>
      </c>
      <c r="H493" s="51" t="str">
        <f>IFERROR(INDEX('[1]REP DISEÑO'!$J$9:$J$1508,MATCH(C493,'[1]REP DISEÑO'!$D$9:$D$1508,0)),"")</f>
        <v/>
      </c>
      <c r="I493" s="52" t="str">
        <f>IFERROR(INDEX('[1]REP DISEÑO'!$C$9:$C$1508,MATCH(C493,'[1]REP DISEÑO'!$D$9:$D$1508,0)),"")</f>
        <v/>
      </c>
      <c r="J493" s="53" t="str">
        <f>IF(C493="","",IF(ISNUMBER(FIND("AMU",$C$14:$C$548)),1,(SUMIF('[1]REP PRODUCCIÓN'!$H$6:$H$1505,"*"&amp;C493&amp;"*",'[1]REP PRODUCCIÓN'!$E$6:$E$1505))))</f>
        <v/>
      </c>
      <c r="K493" s="53">
        <f t="shared" si="22"/>
        <v>0</v>
      </c>
      <c r="M493" s="54" t="str">
        <f>IFERROR(INDEX('[1]REP DISEÑO'!$BA$9:$BA$1008,MATCH('INDIC-DIS2'!C493,'[1]REP DISEÑO'!$D$9:$D$1008,0)),"")</f>
        <v/>
      </c>
      <c r="N493" s="55"/>
      <c r="O493" s="55"/>
      <c r="P493" s="55"/>
      <c r="R493" s="57" t="str">
        <f t="shared" si="23"/>
        <v/>
      </c>
    </row>
    <row r="494" spans="2:18" ht="26.25" customHeight="1" x14ac:dyDescent="0.25">
      <c r="B494" s="49">
        <f t="shared" si="21"/>
        <v>0</v>
      </c>
      <c r="C494" s="50" t="str">
        <f t="array" ref="C494">IFERROR(INDEX('[1]REP DISEÑO'!$D$9:$D$1008,SMALL(IF('[1]REP DISEÑO'!$AW$9:$AW$1008=$J$1,ROW('[1]REP DISEÑO'!$N$9:$N$1008)-ROW('[1]REP DISEÑO'!$N$9),""),ROWS(C$14:C494))+1),"")</f>
        <v/>
      </c>
      <c r="D494" s="51" t="str">
        <f>IFERROR(INDEX('[1]REP DISEÑO'!$N$9:$N$1508,MATCH(C494,'[1]REP DISEÑO'!$D$9:$D$1508,0)),"")</f>
        <v/>
      </c>
      <c r="E494" s="51" t="str">
        <f>IFERROR(INDEX('[1]REP DISEÑO'!$G$9:$G$1508,MATCH(C494,'[1]REP DISEÑO'!$D$9:$D$1508,0)),"")</f>
        <v/>
      </c>
      <c r="F494" s="51" t="str">
        <f>IFERROR(INDEX('[1]REP DISEÑO'!$I$9:$I$1508,MATCH(C494,'[1]REP DISEÑO'!$D$9:$D$1508,0)),"")</f>
        <v/>
      </c>
      <c r="G494" s="51" t="str">
        <f>IFERROR(INDEX('[1]REP DISEÑO'!$M$9:$M$1508,MATCH(C494,'[1]REP DISEÑO'!$D$9:$D$1508,0)),"")</f>
        <v/>
      </c>
      <c r="H494" s="51" t="str">
        <f>IFERROR(INDEX('[1]REP DISEÑO'!$J$9:$J$1508,MATCH(C494,'[1]REP DISEÑO'!$D$9:$D$1508,0)),"")</f>
        <v/>
      </c>
      <c r="I494" s="52" t="str">
        <f>IFERROR(INDEX('[1]REP DISEÑO'!$C$9:$C$1508,MATCH(C494,'[1]REP DISEÑO'!$D$9:$D$1508,0)),"")</f>
        <v/>
      </c>
      <c r="J494" s="53" t="str">
        <f>IF(C494="","",IF(ISNUMBER(FIND("AMU",$C$14:$C$548)),1,(SUMIF('[1]REP PRODUCCIÓN'!$H$6:$H$1505,"*"&amp;C494&amp;"*",'[1]REP PRODUCCIÓN'!$E$6:$E$1505))))</f>
        <v/>
      </c>
      <c r="K494" s="53">
        <f t="shared" si="22"/>
        <v>0</v>
      </c>
      <c r="M494" s="54" t="str">
        <f>IFERROR(INDEX('[1]REP DISEÑO'!$BA$9:$BA$1008,MATCH('INDIC-DIS2'!C494,'[1]REP DISEÑO'!$D$9:$D$1008,0)),"")</f>
        <v/>
      </c>
      <c r="N494" s="55"/>
      <c r="O494" s="55"/>
      <c r="P494" s="55"/>
      <c r="R494" s="57" t="str">
        <f t="shared" si="23"/>
        <v/>
      </c>
    </row>
    <row r="495" spans="2:18" ht="26.25" customHeight="1" x14ac:dyDescent="0.25">
      <c r="B495" s="49">
        <f t="shared" si="21"/>
        <v>0</v>
      </c>
      <c r="C495" s="50" t="str">
        <f t="array" ref="C495">IFERROR(INDEX('[1]REP DISEÑO'!$D$9:$D$1008,SMALL(IF('[1]REP DISEÑO'!$AW$9:$AW$1008=$J$1,ROW('[1]REP DISEÑO'!$N$9:$N$1008)-ROW('[1]REP DISEÑO'!$N$9),""),ROWS(C$14:C495))+1),"")</f>
        <v/>
      </c>
      <c r="D495" s="51" t="str">
        <f>IFERROR(INDEX('[1]REP DISEÑO'!$N$9:$N$1508,MATCH(C495,'[1]REP DISEÑO'!$D$9:$D$1508,0)),"")</f>
        <v/>
      </c>
      <c r="E495" s="51" t="str">
        <f>IFERROR(INDEX('[1]REP DISEÑO'!$G$9:$G$1508,MATCH(C495,'[1]REP DISEÑO'!$D$9:$D$1508,0)),"")</f>
        <v/>
      </c>
      <c r="F495" s="51" t="str">
        <f>IFERROR(INDEX('[1]REP DISEÑO'!$I$9:$I$1508,MATCH(C495,'[1]REP DISEÑO'!$D$9:$D$1508,0)),"")</f>
        <v/>
      </c>
      <c r="G495" s="51" t="str">
        <f>IFERROR(INDEX('[1]REP DISEÑO'!$M$9:$M$1508,MATCH(C495,'[1]REP DISEÑO'!$D$9:$D$1508,0)),"")</f>
        <v/>
      </c>
      <c r="H495" s="51" t="str">
        <f>IFERROR(INDEX('[1]REP DISEÑO'!$J$9:$J$1508,MATCH(C495,'[1]REP DISEÑO'!$D$9:$D$1508,0)),"")</f>
        <v/>
      </c>
      <c r="I495" s="52" t="str">
        <f>IFERROR(INDEX('[1]REP DISEÑO'!$C$9:$C$1508,MATCH(C495,'[1]REP DISEÑO'!$D$9:$D$1508,0)),"")</f>
        <v/>
      </c>
      <c r="J495" s="53" t="str">
        <f>IF(C495="","",IF(ISNUMBER(FIND("AMU",$C$14:$C$548)),1,(SUMIF('[1]REP PRODUCCIÓN'!$H$6:$H$1505,"*"&amp;C495&amp;"*",'[1]REP PRODUCCIÓN'!$E$6:$E$1505))))</f>
        <v/>
      </c>
      <c r="K495" s="53">
        <f t="shared" si="22"/>
        <v>0</v>
      </c>
      <c r="M495" s="54" t="str">
        <f>IFERROR(INDEX('[1]REP DISEÑO'!$BA$9:$BA$1008,MATCH('INDIC-DIS2'!C495,'[1]REP DISEÑO'!$D$9:$D$1008,0)),"")</f>
        <v/>
      </c>
      <c r="N495" s="55"/>
      <c r="O495" s="55"/>
      <c r="P495" s="55"/>
      <c r="R495" s="57" t="str">
        <f t="shared" si="23"/>
        <v/>
      </c>
    </row>
    <row r="496" spans="2:18" ht="26.25" customHeight="1" x14ac:dyDescent="0.25">
      <c r="B496" s="49">
        <f t="shared" si="21"/>
        <v>0</v>
      </c>
      <c r="C496" s="50" t="str">
        <f t="array" ref="C496">IFERROR(INDEX('[1]REP DISEÑO'!$D$9:$D$1008,SMALL(IF('[1]REP DISEÑO'!$AW$9:$AW$1008=$J$1,ROW('[1]REP DISEÑO'!$N$9:$N$1008)-ROW('[1]REP DISEÑO'!$N$9),""),ROWS(C$14:C496))+1),"")</f>
        <v/>
      </c>
      <c r="D496" s="51" t="str">
        <f>IFERROR(INDEX('[1]REP DISEÑO'!$N$9:$N$1508,MATCH(C496,'[1]REP DISEÑO'!$D$9:$D$1508,0)),"")</f>
        <v/>
      </c>
      <c r="E496" s="51" t="str">
        <f>IFERROR(INDEX('[1]REP DISEÑO'!$G$9:$G$1508,MATCH(C496,'[1]REP DISEÑO'!$D$9:$D$1508,0)),"")</f>
        <v/>
      </c>
      <c r="F496" s="51" t="str">
        <f>IFERROR(INDEX('[1]REP DISEÑO'!$I$9:$I$1508,MATCH(C496,'[1]REP DISEÑO'!$D$9:$D$1508,0)),"")</f>
        <v/>
      </c>
      <c r="G496" s="51" t="str">
        <f>IFERROR(INDEX('[1]REP DISEÑO'!$M$9:$M$1508,MATCH(C496,'[1]REP DISEÑO'!$D$9:$D$1508,0)),"")</f>
        <v/>
      </c>
      <c r="H496" s="51" t="str">
        <f>IFERROR(INDEX('[1]REP DISEÑO'!$J$9:$J$1508,MATCH(C496,'[1]REP DISEÑO'!$D$9:$D$1508,0)),"")</f>
        <v/>
      </c>
      <c r="I496" s="52" t="str">
        <f>IFERROR(INDEX('[1]REP DISEÑO'!$C$9:$C$1508,MATCH(C496,'[1]REP DISEÑO'!$D$9:$D$1508,0)),"")</f>
        <v/>
      </c>
      <c r="J496" s="53" t="str">
        <f>IF(C496="","",IF(ISNUMBER(FIND("AMU",$C$14:$C$548)),1,(SUMIF('[1]REP PRODUCCIÓN'!$H$6:$H$1505,"*"&amp;C496&amp;"*",'[1]REP PRODUCCIÓN'!$E$6:$E$1505))))</f>
        <v/>
      </c>
      <c r="K496" s="53">
        <f t="shared" si="22"/>
        <v>0</v>
      </c>
      <c r="M496" s="54" t="str">
        <f>IFERROR(INDEX('[1]REP DISEÑO'!$BA$9:$BA$1008,MATCH('INDIC-DIS2'!C496,'[1]REP DISEÑO'!$D$9:$D$1008,0)),"")</f>
        <v/>
      </c>
      <c r="N496" s="55"/>
      <c r="O496" s="55"/>
      <c r="P496" s="55"/>
      <c r="R496" s="57" t="str">
        <f t="shared" si="23"/>
        <v/>
      </c>
    </row>
    <row r="497" spans="2:18" ht="26.25" customHeight="1" x14ac:dyDescent="0.25">
      <c r="B497" s="49">
        <f t="shared" si="21"/>
        <v>0</v>
      </c>
      <c r="C497" s="50" t="str">
        <f t="array" ref="C497">IFERROR(INDEX('[1]REP DISEÑO'!$D$9:$D$1008,SMALL(IF('[1]REP DISEÑO'!$AW$9:$AW$1008=$J$1,ROW('[1]REP DISEÑO'!$N$9:$N$1008)-ROW('[1]REP DISEÑO'!$N$9),""),ROWS(C$14:C497))+1),"")</f>
        <v/>
      </c>
      <c r="D497" s="51" t="str">
        <f>IFERROR(INDEX('[1]REP DISEÑO'!$N$9:$N$1508,MATCH(C497,'[1]REP DISEÑO'!$D$9:$D$1508,0)),"")</f>
        <v/>
      </c>
      <c r="E497" s="51" t="str">
        <f>IFERROR(INDEX('[1]REP DISEÑO'!$G$9:$G$1508,MATCH(C497,'[1]REP DISEÑO'!$D$9:$D$1508,0)),"")</f>
        <v/>
      </c>
      <c r="F497" s="51" t="str">
        <f>IFERROR(INDEX('[1]REP DISEÑO'!$I$9:$I$1508,MATCH(C497,'[1]REP DISEÑO'!$D$9:$D$1508,0)),"")</f>
        <v/>
      </c>
      <c r="G497" s="51" t="str">
        <f>IFERROR(INDEX('[1]REP DISEÑO'!$M$9:$M$1508,MATCH(C497,'[1]REP DISEÑO'!$D$9:$D$1508,0)),"")</f>
        <v/>
      </c>
      <c r="H497" s="51" t="str">
        <f>IFERROR(INDEX('[1]REP DISEÑO'!$J$9:$J$1508,MATCH(C497,'[1]REP DISEÑO'!$D$9:$D$1508,0)),"")</f>
        <v/>
      </c>
      <c r="I497" s="52" t="str">
        <f>IFERROR(INDEX('[1]REP DISEÑO'!$C$9:$C$1508,MATCH(C497,'[1]REP DISEÑO'!$D$9:$D$1508,0)),"")</f>
        <v/>
      </c>
      <c r="J497" s="53" t="str">
        <f>IF(C497="","",IF(ISNUMBER(FIND("AMU",$C$14:$C$548)),1,(SUMIF('[1]REP PRODUCCIÓN'!$H$6:$H$1505,"*"&amp;C497&amp;"*",'[1]REP PRODUCCIÓN'!$E$6:$E$1505))))</f>
        <v/>
      </c>
      <c r="K497" s="53">
        <f t="shared" si="22"/>
        <v>0</v>
      </c>
      <c r="M497" s="54" t="str">
        <f>IFERROR(INDEX('[1]REP DISEÑO'!$BA$9:$BA$1008,MATCH('INDIC-DIS2'!C497,'[1]REP DISEÑO'!$D$9:$D$1008,0)),"")</f>
        <v/>
      </c>
      <c r="N497" s="55"/>
      <c r="O497" s="55"/>
      <c r="P497" s="55"/>
      <c r="R497" s="57" t="str">
        <f t="shared" si="23"/>
        <v/>
      </c>
    </row>
    <row r="498" spans="2:18" ht="26.25" customHeight="1" x14ac:dyDescent="0.25">
      <c r="B498" s="49">
        <f t="shared" si="21"/>
        <v>0</v>
      </c>
      <c r="C498" s="50" t="str">
        <f t="array" ref="C498">IFERROR(INDEX('[1]REP DISEÑO'!$D$9:$D$1008,SMALL(IF('[1]REP DISEÑO'!$AW$9:$AW$1008=$J$1,ROW('[1]REP DISEÑO'!$N$9:$N$1008)-ROW('[1]REP DISEÑO'!$N$9),""),ROWS(C$14:C498))+1),"")</f>
        <v/>
      </c>
      <c r="D498" s="51" t="str">
        <f>IFERROR(INDEX('[1]REP DISEÑO'!$N$9:$N$1508,MATCH(C498,'[1]REP DISEÑO'!$D$9:$D$1508,0)),"")</f>
        <v/>
      </c>
      <c r="E498" s="51" t="str">
        <f>IFERROR(INDEX('[1]REP DISEÑO'!$G$9:$G$1508,MATCH(C498,'[1]REP DISEÑO'!$D$9:$D$1508,0)),"")</f>
        <v/>
      </c>
      <c r="F498" s="51" t="str">
        <f>IFERROR(INDEX('[1]REP DISEÑO'!$I$9:$I$1508,MATCH(C498,'[1]REP DISEÑO'!$D$9:$D$1508,0)),"")</f>
        <v/>
      </c>
      <c r="G498" s="51" t="str">
        <f>IFERROR(INDEX('[1]REP DISEÑO'!$M$9:$M$1508,MATCH(C498,'[1]REP DISEÑO'!$D$9:$D$1508,0)),"")</f>
        <v/>
      </c>
      <c r="H498" s="51" t="str">
        <f>IFERROR(INDEX('[1]REP DISEÑO'!$J$9:$J$1508,MATCH(C498,'[1]REP DISEÑO'!$D$9:$D$1508,0)),"")</f>
        <v/>
      </c>
      <c r="I498" s="52" t="str">
        <f>IFERROR(INDEX('[1]REP DISEÑO'!$C$9:$C$1508,MATCH(C498,'[1]REP DISEÑO'!$D$9:$D$1508,0)),"")</f>
        <v/>
      </c>
      <c r="J498" s="53" t="str">
        <f>IF(C498="","",IF(ISNUMBER(FIND("AMU",$C$14:$C$548)),1,(SUMIF('[1]REP PRODUCCIÓN'!$H$6:$H$1505,"*"&amp;C498&amp;"*",'[1]REP PRODUCCIÓN'!$E$6:$E$1505))))</f>
        <v/>
      </c>
      <c r="K498" s="53">
        <f t="shared" si="22"/>
        <v>0</v>
      </c>
      <c r="M498" s="54" t="str">
        <f>IFERROR(INDEX('[1]REP DISEÑO'!$BA$9:$BA$1008,MATCH('INDIC-DIS2'!C498,'[1]REP DISEÑO'!$D$9:$D$1008,0)),"")</f>
        <v/>
      </c>
      <c r="N498" s="55"/>
      <c r="O498" s="55"/>
      <c r="P498" s="55"/>
      <c r="R498" s="57" t="str">
        <f t="shared" si="23"/>
        <v/>
      </c>
    </row>
    <row r="499" spans="2:18" ht="26.25" customHeight="1" x14ac:dyDescent="0.25">
      <c r="B499" s="49">
        <f t="shared" si="21"/>
        <v>0</v>
      </c>
      <c r="C499" s="50" t="str">
        <f t="array" ref="C499">IFERROR(INDEX('[1]REP DISEÑO'!$D$9:$D$1008,SMALL(IF('[1]REP DISEÑO'!$AW$9:$AW$1008=$J$1,ROW('[1]REP DISEÑO'!$N$9:$N$1008)-ROW('[1]REP DISEÑO'!$N$9),""),ROWS(C$14:C499))+1),"")</f>
        <v/>
      </c>
      <c r="D499" s="51" t="str">
        <f>IFERROR(INDEX('[1]REP DISEÑO'!$N$9:$N$1508,MATCH(C499,'[1]REP DISEÑO'!$D$9:$D$1508,0)),"")</f>
        <v/>
      </c>
      <c r="E499" s="51" t="str">
        <f>IFERROR(INDEX('[1]REP DISEÑO'!$G$9:$G$1508,MATCH(C499,'[1]REP DISEÑO'!$D$9:$D$1508,0)),"")</f>
        <v/>
      </c>
      <c r="F499" s="51" t="str">
        <f>IFERROR(INDEX('[1]REP DISEÑO'!$I$9:$I$1508,MATCH(C499,'[1]REP DISEÑO'!$D$9:$D$1508,0)),"")</f>
        <v/>
      </c>
      <c r="G499" s="51" t="str">
        <f>IFERROR(INDEX('[1]REP DISEÑO'!$M$9:$M$1508,MATCH(C499,'[1]REP DISEÑO'!$D$9:$D$1508,0)),"")</f>
        <v/>
      </c>
      <c r="H499" s="51" t="str">
        <f>IFERROR(INDEX('[1]REP DISEÑO'!$J$9:$J$1508,MATCH(C499,'[1]REP DISEÑO'!$D$9:$D$1508,0)),"")</f>
        <v/>
      </c>
      <c r="I499" s="52" t="str">
        <f>IFERROR(INDEX('[1]REP DISEÑO'!$C$9:$C$1508,MATCH(C499,'[1]REP DISEÑO'!$D$9:$D$1508,0)),"")</f>
        <v/>
      </c>
      <c r="J499" s="53" t="str">
        <f>IF(C499="","",IF(ISNUMBER(FIND("AMU",$C$14:$C$548)),1,(SUMIF('[1]REP PRODUCCIÓN'!$H$6:$H$1505,"*"&amp;C499&amp;"*",'[1]REP PRODUCCIÓN'!$E$6:$E$1505))))</f>
        <v/>
      </c>
      <c r="K499" s="53">
        <f t="shared" si="22"/>
        <v>0</v>
      </c>
      <c r="M499" s="54" t="str">
        <f>IFERROR(INDEX('[1]REP DISEÑO'!$BA$9:$BA$1008,MATCH('INDIC-DIS2'!C499,'[1]REP DISEÑO'!$D$9:$D$1008,0)),"")</f>
        <v/>
      </c>
      <c r="N499" s="55"/>
      <c r="O499" s="55"/>
      <c r="P499" s="55"/>
      <c r="R499" s="57" t="str">
        <f t="shared" si="23"/>
        <v/>
      </c>
    </row>
    <row r="500" spans="2:18" ht="26.25" customHeight="1" x14ac:dyDescent="0.25">
      <c r="B500" s="49">
        <f t="shared" si="21"/>
        <v>0</v>
      </c>
      <c r="C500" s="50" t="str">
        <f t="array" ref="C500">IFERROR(INDEX('[1]REP DISEÑO'!$D$9:$D$1008,SMALL(IF('[1]REP DISEÑO'!$AW$9:$AW$1008=$J$1,ROW('[1]REP DISEÑO'!$N$9:$N$1008)-ROW('[1]REP DISEÑO'!$N$9),""),ROWS(C$14:C500))+1),"")</f>
        <v/>
      </c>
      <c r="D500" s="51" t="str">
        <f>IFERROR(INDEX('[1]REP DISEÑO'!$N$9:$N$1508,MATCH(C500,'[1]REP DISEÑO'!$D$9:$D$1508,0)),"")</f>
        <v/>
      </c>
      <c r="E500" s="51" t="str">
        <f>IFERROR(INDEX('[1]REP DISEÑO'!$G$9:$G$1508,MATCH(C500,'[1]REP DISEÑO'!$D$9:$D$1508,0)),"")</f>
        <v/>
      </c>
      <c r="F500" s="51" t="str">
        <f>IFERROR(INDEX('[1]REP DISEÑO'!$I$9:$I$1508,MATCH(C500,'[1]REP DISEÑO'!$D$9:$D$1508,0)),"")</f>
        <v/>
      </c>
      <c r="G500" s="51" t="str">
        <f>IFERROR(INDEX('[1]REP DISEÑO'!$M$9:$M$1508,MATCH(C500,'[1]REP DISEÑO'!$D$9:$D$1508,0)),"")</f>
        <v/>
      </c>
      <c r="H500" s="51" t="str">
        <f>IFERROR(INDEX('[1]REP DISEÑO'!$J$9:$J$1508,MATCH(C500,'[1]REP DISEÑO'!$D$9:$D$1508,0)),"")</f>
        <v/>
      </c>
      <c r="I500" s="52" t="str">
        <f>IFERROR(INDEX('[1]REP DISEÑO'!$C$9:$C$1508,MATCH(C500,'[1]REP DISEÑO'!$D$9:$D$1508,0)),"")</f>
        <v/>
      </c>
      <c r="J500" s="53" t="str">
        <f>IF(C500="","",IF(ISNUMBER(FIND("AMU",$C$14:$C$548)),1,(SUMIF('[1]REP PRODUCCIÓN'!$H$6:$H$1505,"*"&amp;C500&amp;"*",'[1]REP PRODUCCIÓN'!$E$6:$E$1505))))</f>
        <v/>
      </c>
      <c r="K500" s="53">
        <f t="shared" si="22"/>
        <v>0</v>
      </c>
      <c r="M500" s="54" t="str">
        <f>IFERROR(INDEX('[1]REP DISEÑO'!$BA$9:$BA$1008,MATCH('INDIC-DIS2'!C500,'[1]REP DISEÑO'!$D$9:$D$1008,0)),"")</f>
        <v/>
      </c>
      <c r="N500" s="55"/>
      <c r="O500" s="55"/>
      <c r="P500" s="55"/>
      <c r="R500" s="57" t="str">
        <f t="shared" si="23"/>
        <v/>
      </c>
    </row>
    <row r="501" spans="2:18" ht="26.25" customHeight="1" x14ac:dyDescent="0.25">
      <c r="B501" s="49">
        <f t="shared" si="21"/>
        <v>0</v>
      </c>
      <c r="C501" s="50" t="str">
        <f t="array" ref="C501">IFERROR(INDEX('[1]REP DISEÑO'!$D$9:$D$1008,SMALL(IF('[1]REP DISEÑO'!$AW$9:$AW$1008=$J$1,ROW('[1]REP DISEÑO'!$N$9:$N$1008)-ROW('[1]REP DISEÑO'!$N$9),""),ROWS(C$14:C501))+1),"")</f>
        <v/>
      </c>
      <c r="D501" s="51" t="str">
        <f>IFERROR(INDEX('[1]REP DISEÑO'!$N$9:$N$1508,MATCH(C501,'[1]REP DISEÑO'!$D$9:$D$1508,0)),"")</f>
        <v/>
      </c>
      <c r="E501" s="51" t="str">
        <f>IFERROR(INDEX('[1]REP DISEÑO'!$G$9:$G$1508,MATCH(C501,'[1]REP DISEÑO'!$D$9:$D$1508,0)),"")</f>
        <v/>
      </c>
      <c r="F501" s="51" t="str">
        <f>IFERROR(INDEX('[1]REP DISEÑO'!$I$9:$I$1508,MATCH(C501,'[1]REP DISEÑO'!$D$9:$D$1508,0)),"")</f>
        <v/>
      </c>
      <c r="G501" s="51" t="str">
        <f>IFERROR(INDEX('[1]REP DISEÑO'!$M$9:$M$1508,MATCH(C501,'[1]REP DISEÑO'!$D$9:$D$1508,0)),"")</f>
        <v/>
      </c>
      <c r="H501" s="51" t="str">
        <f>IFERROR(INDEX('[1]REP DISEÑO'!$J$9:$J$1508,MATCH(C501,'[1]REP DISEÑO'!$D$9:$D$1508,0)),"")</f>
        <v/>
      </c>
      <c r="I501" s="52" t="str">
        <f>IFERROR(INDEX('[1]REP DISEÑO'!$C$9:$C$1508,MATCH(C501,'[1]REP DISEÑO'!$D$9:$D$1508,0)),"")</f>
        <v/>
      </c>
      <c r="J501" s="53" t="str">
        <f>IF(C501="","",IF(ISNUMBER(FIND("AMU",$C$14:$C$548)),1,(SUMIF('[1]REP PRODUCCIÓN'!$H$6:$H$1505,"*"&amp;C501&amp;"*",'[1]REP PRODUCCIÓN'!$E$6:$E$1505))))</f>
        <v/>
      </c>
      <c r="K501" s="53">
        <f t="shared" si="22"/>
        <v>0</v>
      </c>
      <c r="M501" s="54" t="str">
        <f>IFERROR(INDEX('[1]REP DISEÑO'!$BA$9:$BA$1008,MATCH('INDIC-DIS2'!C501,'[1]REP DISEÑO'!$D$9:$D$1008,0)),"")</f>
        <v/>
      </c>
      <c r="N501" s="55"/>
      <c r="O501" s="55"/>
      <c r="P501" s="55"/>
      <c r="R501" s="57" t="str">
        <f t="shared" si="23"/>
        <v/>
      </c>
    </row>
    <row r="502" spans="2:18" ht="26.25" customHeight="1" x14ac:dyDescent="0.25">
      <c r="B502" s="49">
        <f t="shared" si="21"/>
        <v>0</v>
      </c>
      <c r="C502" s="50" t="str">
        <f t="array" ref="C502">IFERROR(INDEX('[1]REP DISEÑO'!$D$9:$D$1008,SMALL(IF('[1]REP DISEÑO'!$AW$9:$AW$1008=$J$1,ROW('[1]REP DISEÑO'!$N$9:$N$1008)-ROW('[1]REP DISEÑO'!$N$9),""),ROWS(C$14:C502))+1),"")</f>
        <v/>
      </c>
      <c r="D502" s="51" t="str">
        <f>IFERROR(INDEX('[1]REP DISEÑO'!$N$9:$N$1508,MATCH(C502,'[1]REP DISEÑO'!$D$9:$D$1508,0)),"")</f>
        <v/>
      </c>
      <c r="E502" s="51" t="str">
        <f>IFERROR(INDEX('[1]REP DISEÑO'!$G$9:$G$1508,MATCH(C502,'[1]REP DISEÑO'!$D$9:$D$1508,0)),"")</f>
        <v/>
      </c>
      <c r="F502" s="51" t="str">
        <f>IFERROR(INDEX('[1]REP DISEÑO'!$I$9:$I$1508,MATCH(C502,'[1]REP DISEÑO'!$D$9:$D$1508,0)),"")</f>
        <v/>
      </c>
      <c r="G502" s="51" t="str">
        <f>IFERROR(INDEX('[1]REP DISEÑO'!$M$9:$M$1508,MATCH(C502,'[1]REP DISEÑO'!$D$9:$D$1508,0)),"")</f>
        <v/>
      </c>
      <c r="H502" s="51" t="str">
        <f>IFERROR(INDEX('[1]REP DISEÑO'!$J$9:$J$1508,MATCH(C502,'[1]REP DISEÑO'!$D$9:$D$1508,0)),"")</f>
        <v/>
      </c>
      <c r="I502" s="52" t="str">
        <f>IFERROR(INDEX('[1]REP DISEÑO'!$C$9:$C$1508,MATCH(C502,'[1]REP DISEÑO'!$D$9:$D$1508,0)),"")</f>
        <v/>
      </c>
      <c r="J502" s="53" t="str">
        <f>IF(C502="","",IF(ISNUMBER(FIND("AMU",$C$14:$C$548)),1,(SUMIF('[1]REP PRODUCCIÓN'!$H$6:$H$1505,"*"&amp;C502&amp;"*",'[1]REP PRODUCCIÓN'!$E$6:$E$1505))))</f>
        <v/>
      </c>
      <c r="K502" s="53">
        <f t="shared" si="22"/>
        <v>0</v>
      </c>
      <c r="M502" s="54" t="str">
        <f>IFERROR(INDEX('[1]REP DISEÑO'!$BA$9:$BA$1008,MATCH('INDIC-DIS2'!C502,'[1]REP DISEÑO'!$D$9:$D$1008,0)),"")</f>
        <v/>
      </c>
      <c r="N502" s="55"/>
      <c r="O502" s="55"/>
      <c r="P502" s="55"/>
      <c r="R502" s="57" t="str">
        <f t="shared" si="23"/>
        <v/>
      </c>
    </row>
    <row r="503" spans="2:18" ht="26.25" customHeight="1" x14ac:dyDescent="0.25">
      <c r="B503" s="49">
        <f t="shared" si="21"/>
        <v>0</v>
      </c>
      <c r="C503" s="50" t="str">
        <f t="array" ref="C503">IFERROR(INDEX('[1]REP DISEÑO'!$D$9:$D$1008,SMALL(IF('[1]REP DISEÑO'!$AW$9:$AW$1008=$J$1,ROW('[1]REP DISEÑO'!$N$9:$N$1008)-ROW('[1]REP DISEÑO'!$N$9),""),ROWS(C$14:C503))+1),"")</f>
        <v/>
      </c>
      <c r="D503" s="51" t="str">
        <f>IFERROR(INDEX('[1]REP DISEÑO'!$N$9:$N$1508,MATCH(C503,'[1]REP DISEÑO'!$D$9:$D$1508,0)),"")</f>
        <v/>
      </c>
      <c r="E503" s="51" t="str">
        <f>IFERROR(INDEX('[1]REP DISEÑO'!$G$9:$G$1508,MATCH(C503,'[1]REP DISEÑO'!$D$9:$D$1508,0)),"")</f>
        <v/>
      </c>
      <c r="F503" s="51" t="str">
        <f>IFERROR(INDEX('[1]REP DISEÑO'!$I$9:$I$1508,MATCH(C503,'[1]REP DISEÑO'!$D$9:$D$1508,0)),"")</f>
        <v/>
      </c>
      <c r="G503" s="51" t="str">
        <f>IFERROR(INDEX('[1]REP DISEÑO'!$M$9:$M$1508,MATCH(C503,'[1]REP DISEÑO'!$D$9:$D$1508,0)),"")</f>
        <v/>
      </c>
      <c r="H503" s="51" t="str">
        <f>IFERROR(INDEX('[1]REP DISEÑO'!$J$9:$J$1508,MATCH(C503,'[1]REP DISEÑO'!$D$9:$D$1508,0)),"")</f>
        <v/>
      </c>
      <c r="I503" s="52" t="str">
        <f>IFERROR(INDEX('[1]REP DISEÑO'!$C$9:$C$1508,MATCH(C503,'[1]REP DISEÑO'!$D$9:$D$1508,0)),"")</f>
        <v/>
      </c>
      <c r="J503" s="53" t="str">
        <f>IF(C503="","",IF(ISNUMBER(FIND("AMU",$C$14:$C$548)),1,(SUMIF('[1]REP PRODUCCIÓN'!$H$6:$H$1505,"*"&amp;C503&amp;"*",'[1]REP PRODUCCIÓN'!$E$6:$E$1505))))</f>
        <v/>
      </c>
      <c r="K503" s="53">
        <f t="shared" si="22"/>
        <v>0</v>
      </c>
      <c r="M503" s="54" t="str">
        <f>IFERROR(INDEX('[1]REP DISEÑO'!$BA$9:$BA$1008,MATCH('INDIC-DIS2'!C503,'[1]REP DISEÑO'!$D$9:$D$1008,0)),"")</f>
        <v/>
      </c>
      <c r="N503" s="55"/>
      <c r="O503" s="55"/>
      <c r="P503" s="55"/>
      <c r="R503" s="57" t="str">
        <f t="shared" si="23"/>
        <v/>
      </c>
    </row>
    <row r="504" spans="2:18" ht="26.25" customHeight="1" x14ac:dyDescent="0.25">
      <c r="B504" s="49">
        <f t="shared" si="21"/>
        <v>0</v>
      </c>
      <c r="C504" s="50" t="str">
        <f t="array" ref="C504">IFERROR(INDEX('[1]REP DISEÑO'!$D$9:$D$1008,SMALL(IF('[1]REP DISEÑO'!$AW$9:$AW$1008=$J$1,ROW('[1]REP DISEÑO'!$N$9:$N$1008)-ROW('[1]REP DISEÑO'!$N$9),""),ROWS(C$14:C504))+1),"")</f>
        <v/>
      </c>
      <c r="D504" s="51" t="str">
        <f>IFERROR(INDEX('[1]REP DISEÑO'!$N$9:$N$1508,MATCH(C504,'[1]REP DISEÑO'!$D$9:$D$1508,0)),"")</f>
        <v/>
      </c>
      <c r="E504" s="51" t="str">
        <f>IFERROR(INDEX('[1]REP DISEÑO'!$G$9:$G$1508,MATCH(C504,'[1]REP DISEÑO'!$D$9:$D$1508,0)),"")</f>
        <v/>
      </c>
      <c r="F504" s="51" t="str">
        <f>IFERROR(INDEX('[1]REP DISEÑO'!$I$9:$I$1508,MATCH(C504,'[1]REP DISEÑO'!$D$9:$D$1508,0)),"")</f>
        <v/>
      </c>
      <c r="G504" s="51" t="str">
        <f>IFERROR(INDEX('[1]REP DISEÑO'!$M$9:$M$1508,MATCH(C504,'[1]REP DISEÑO'!$D$9:$D$1508,0)),"")</f>
        <v/>
      </c>
      <c r="H504" s="51" t="str">
        <f>IFERROR(INDEX('[1]REP DISEÑO'!$J$9:$J$1508,MATCH(C504,'[1]REP DISEÑO'!$D$9:$D$1508,0)),"")</f>
        <v/>
      </c>
      <c r="I504" s="52" t="str">
        <f>IFERROR(INDEX('[1]REP DISEÑO'!$C$9:$C$1508,MATCH(C504,'[1]REP DISEÑO'!$D$9:$D$1508,0)),"")</f>
        <v/>
      </c>
      <c r="J504" s="53" t="str">
        <f>IF(C504="","",IF(ISNUMBER(FIND("AMU",$C$14:$C$548)),1,(SUMIF('[1]REP PRODUCCIÓN'!$H$6:$H$1505,"*"&amp;C504&amp;"*",'[1]REP PRODUCCIÓN'!$E$6:$E$1505))))</f>
        <v/>
      </c>
      <c r="K504" s="53">
        <f t="shared" si="22"/>
        <v>0</v>
      </c>
      <c r="M504" s="54" t="str">
        <f>IFERROR(INDEX('[1]REP DISEÑO'!$BA$9:$BA$1008,MATCH('INDIC-DIS2'!C504,'[1]REP DISEÑO'!$D$9:$D$1008,0)),"")</f>
        <v/>
      </c>
      <c r="N504" s="55"/>
      <c r="O504" s="55"/>
      <c r="P504" s="55"/>
      <c r="R504" s="57" t="str">
        <f t="shared" si="23"/>
        <v/>
      </c>
    </row>
    <row r="505" spans="2:18" ht="26.25" customHeight="1" x14ac:dyDescent="0.25">
      <c r="B505" s="49">
        <f t="shared" si="21"/>
        <v>0</v>
      </c>
      <c r="C505" s="50" t="str">
        <f t="array" ref="C505">IFERROR(INDEX('[1]REP DISEÑO'!$D$9:$D$1008,SMALL(IF('[1]REP DISEÑO'!$AW$9:$AW$1008=$J$1,ROW('[1]REP DISEÑO'!$N$9:$N$1008)-ROW('[1]REP DISEÑO'!$N$9),""),ROWS(C$14:C505))+1),"")</f>
        <v/>
      </c>
      <c r="D505" s="51" t="str">
        <f>IFERROR(INDEX('[1]REP DISEÑO'!$N$9:$N$1508,MATCH(C505,'[1]REP DISEÑO'!$D$9:$D$1508,0)),"")</f>
        <v/>
      </c>
      <c r="E505" s="51" t="str">
        <f>IFERROR(INDEX('[1]REP DISEÑO'!$G$9:$G$1508,MATCH(C505,'[1]REP DISEÑO'!$D$9:$D$1508,0)),"")</f>
        <v/>
      </c>
      <c r="F505" s="51" t="str">
        <f>IFERROR(INDEX('[1]REP DISEÑO'!$I$9:$I$1508,MATCH(C505,'[1]REP DISEÑO'!$D$9:$D$1508,0)),"")</f>
        <v/>
      </c>
      <c r="G505" s="51" t="str">
        <f>IFERROR(INDEX('[1]REP DISEÑO'!$M$9:$M$1508,MATCH(C505,'[1]REP DISEÑO'!$D$9:$D$1508,0)),"")</f>
        <v/>
      </c>
      <c r="H505" s="51" t="str">
        <f>IFERROR(INDEX('[1]REP DISEÑO'!$J$9:$J$1508,MATCH(C505,'[1]REP DISEÑO'!$D$9:$D$1508,0)),"")</f>
        <v/>
      </c>
      <c r="I505" s="52" t="str">
        <f>IFERROR(INDEX('[1]REP DISEÑO'!$C$9:$C$1508,MATCH(C505,'[1]REP DISEÑO'!$D$9:$D$1508,0)),"")</f>
        <v/>
      </c>
      <c r="J505" s="53" t="str">
        <f>IF(C505="","",IF(ISNUMBER(FIND("AMU",$C$14:$C$548)),1,(SUMIF('[1]REP PRODUCCIÓN'!$H$6:$H$1505,"*"&amp;C505&amp;"*",'[1]REP PRODUCCIÓN'!$E$6:$E$1505))))</f>
        <v/>
      </c>
      <c r="K505" s="53">
        <f t="shared" si="22"/>
        <v>0</v>
      </c>
      <c r="M505" s="54" t="str">
        <f>IFERROR(INDEX('[1]REP DISEÑO'!$BA$9:$BA$1008,MATCH('INDIC-DIS2'!C505,'[1]REP DISEÑO'!$D$9:$D$1008,0)),"")</f>
        <v/>
      </c>
      <c r="N505" s="55"/>
      <c r="O505" s="55"/>
      <c r="P505" s="55"/>
      <c r="R505" s="57" t="str">
        <f t="shared" si="23"/>
        <v/>
      </c>
    </row>
    <row r="506" spans="2:18" ht="26.25" customHeight="1" x14ac:dyDescent="0.25">
      <c r="B506" s="49">
        <f t="shared" si="21"/>
        <v>0</v>
      </c>
      <c r="C506" s="50" t="str">
        <f t="array" ref="C506">IFERROR(INDEX('[1]REP DISEÑO'!$D$9:$D$1008,SMALL(IF('[1]REP DISEÑO'!$AW$9:$AW$1008=$J$1,ROW('[1]REP DISEÑO'!$N$9:$N$1008)-ROW('[1]REP DISEÑO'!$N$9),""),ROWS(C$14:C506))+1),"")</f>
        <v/>
      </c>
      <c r="D506" s="51" t="str">
        <f>IFERROR(INDEX('[1]REP DISEÑO'!$N$9:$N$1508,MATCH(C506,'[1]REP DISEÑO'!$D$9:$D$1508,0)),"")</f>
        <v/>
      </c>
      <c r="E506" s="51" t="str">
        <f>IFERROR(INDEX('[1]REP DISEÑO'!$G$9:$G$1508,MATCH(C506,'[1]REP DISEÑO'!$D$9:$D$1508,0)),"")</f>
        <v/>
      </c>
      <c r="F506" s="51" t="str">
        <f>IFERROR(INDEX('[1]REP DISEÑO'!$I$9:$I$1508,MATCH(C506,'[1]REP DISEÑO'!$D$9:$D$1508,0)),"")</f>
        <v/>
      </c>
      <c r="G506" s="51" t="str">
        <f>IFERROR(INDEX('[1]REP DISEÑO'!$M$9:$M$1508,MATCH(C506,'[1]REP DISEÑO'!$D$9:$D$1508,0)),"")</f>
        <v/>
      </c>
      <c r="H506" s="51" t="str">
        <f>IFERROR(INDEX('[1]REP DISEÑO'!$J$9:$J$1508,MATCH(C506,'[1]REP DISEÑO'!$D$9:$D$1508,0)),"")</f>
        <v/>
      </c>
      <c r="I506" s="52" t="str">
        <f>IFERROR(INDEX('[1]REP DISEÑO'!$C$9:$C$1508,MATCH(C506,'[1]REP DISEÑO'!$D$9:$D$1508,0)),"")</f>
        <v/>
      </c>
      <c r="J506" s="53" t="str">
        <f>IF(C506="","",IF(ISNUMBER(FIND("AMU",$C$14:$C$548)),1,(SUMIF('[1]REP PRODUCCIÓN'!$H$6:$H$1505,"*"&amp;C506&amp;"*",'[1]REP PRODUCCIÓN'!$E$6:$E$1505))))</f>
        <v/>
      </c>
      <c r="K506" s="53">
        <f t="shared" si="22"/>
        <v>0</v>
      </c>
      <c r="M506" s="54" t="str">
        <f>IFERROR(INDEX('[1]REP DISEÑO'!$BA$9:$BA$1008,MATCH('INDIC-DIS2'!C506,'[1]REP DISEÑO'!$D$9:$D$1008,0)),"")</f>
        <v/>
      </c>
      <c r="N506" s="55"/>
      <c r="O506" s="55"/>
      <c r="P506" s="55"/>
      <c r="R506" s="57" t="str">
        <f t="shared" si="23"/>
        <v/>
      </c>
    </row>
    <row r="507" spans="2:18" ht="26.25" customHeight="1" x14ac:dyDescent="0.25">
      <c r="B507" s="49">
        <f t="shared" si="21"/>
        <v>0</v>
      </c>
      <c r="C507" s="50" t="str">
        <f t="array" ref="C507">IFERROR(INDEX('[1]REP DISEÑO'!$D$9:$D$1008,SMALL(IF('[1]REP DISEÑO'!$AW$9:$AW$1008=$J$1,ROW('[1]REP DISEÑO'!$N$9:$N$1008)-ROW('[1]REP DISEÑO'!$N$9),""),ROWS(C$14:C507))+1),"")</f>
        <v/>
      </c>
      <c r="D507" s="51" t="str">
        <f>IFERROR(INDEX('[1]REP DISEÑO'!$N$9:$N$1508,MATCH(C507,'[1]REP DISEÑO'!$D$9:$D$1508,0)),"")</f>
        <v/>
      </c>
      <c r="E507" s="51" t="str">
        <f>IFERROR(INDEX('[1]REP DISEÑO'!$G$9:$G$1508,MATCH(C507,'[1]REP DISEÑO'!$D$9:$D$1508,0)),"")</f>
        <v/>
      </c>
      <c r="F507" s="51" t="str">
        <f>IFERROR(INDEX('[1]REP DISEÑO'!$I$9:$I$1508,MATCH(C507,'[1]REP DISEÑO'!$D$9:$D$1508,0)),"")</f>
        <v/>
      </c>
      <c r="G507" s="51" t="str">
        <f>IFERROR(INDEX('[1]REP DISEÑO'!$M$9:$M$1508,MATCH(C507,'[1]REP DISEÑO'!$D$9:$D$1508,0)),"")</f>
        <v/>
      </c>
      <c r="H507" s="51" t="str">
        <f>IFERROR(INDEX('[1]REP DISEÑO'!$J$9:$J$1508,MATCH(C507,'[1]REP DISEÑO'!$D$9:$D$1508,0)),"")</f>
        <v/>
      </c>
      <c r="I507" s="52" t="str">
        <f>IFERROR(INDEX('[1]REP DISEÑO'!$C$9:$C$1508,MATCH(C507,'[1]REP DISEÑO'!$D$9:$D$1508,0)),"")</f>
        <v/>
      </c>
      <c r="J507" s="53" t="str">
        <f>IF(C507="","",IF(ISNUMBER(FIND("AMU",$C$14:$C$548)),1,(SUMIF('[1]REP PRODUCCIÓN'!$H$6:$H$1505,"*"&amp;C507&amp;"*",'[1]REP PRODUCCIÓN'!$E$6:$E$1505))))</f>
        <v/>
      </c>
      <c r="K507" s="53">
        <f t="shared" si="22"/>
        <v>0</v>
      </c>
      <c r="M507" s="54" t="str">
        <f>IFERROR(INDEX('[1]REP DISEÑO'!$BA$9:$BA$1008,MATCH('INDIC-DIS2'!C507,'[1]REP DISEÑO'!$D$9:$D$1008,0)),"")</f>
        <v/>
      </c>
      <c r="N507" s="55"/>
      <c r="O507" s="55"/>
      <c r="P507" s="55"/>
      <c r="R507" s="57" t="str">
        <f t="shared" si="23"/>
        <v/>
      </c>
    </row>
    <row r="508" spans="2:18" ht="26.25" customHeight="1" x14ac:dyDescent="0.25">
      <c r="B508" s="49">
        <f t="shared" si="21"/>
        <v>0</v>
      </c>
      <c r="C508" s="50" t="str">
        <f t="array" ref="C508">IFERROR(INDEX('[1]REP DISEÑO'!$D$9:$D$1008,SMALL(IF('[1]REP DISEÑO'!$AW$9:$AW$1008=$J$1,ROW('[1]REP DISEÑO'!$N$9:$N$1008)-ROW('[1]REP DISEÑO'!$N$9),""),ROWS(C$14:C508))+1),"")</f>
        <v/>
      </c>
      <c r="D508" s="51" t="str">
        <f>IFERROR(INDEX('[1]REP DISEÑO'!$N$9:$N$1508,MATCH(C508,'[1]REP DISEÑO'!$D$9:$D$1508,0)),"")</f>
        <v/>
      </c>
      <c r="E508" s="51" t="str">
        <f>IFERROR(INDEX('[1]REP DISEÑO'!$G$9:$G$1508,MATCH(C508,'[1]REP DISEÑO'!$D$9:$D$1508,0)),"")</f>
        <v/>
      </c>
      <c r="F508" s="51" t="str">
        <f>IFERROR(INDEX('[1]REP DISEÑO'!$I$9:$I$1508,MATCH(C508,'[1]REP DISEÑO'!$D$9:$D$1508,0)),"")</f>
        <v/>
      </c>
      <c r="G508" s="51" t="str">
        <f>IFERROR(INDEX('[1]REP DISEÑO'!$M$9:$M$1508,MATCH(C508,'[1]REP DISEÑO'!$D$9:$D$1508,0)),"")</f>
        <v/>
      </c>
      <c r="H508" s="51" t="str">
        <f>IFERROR(INDEX('[1]REP DISEÑO'!$J$9:$J$1508,MATCH(C508,'[1]REP DISEÑO'!$D$9:$D$1508,0)),"")</f>
        <v/>
      </c>
      <c r="I508" s="52" t="str">
        <f>IFERROR(INDEX('[1]REP DISEÑO'!$C$9:$C$1508,MATCH(C508,'[1]REP DISEÑO'!$D$9:$D$1508,0)),"")</f>
        <v/>
      </c>
      <c r="J508" s="53" t="str">
        <f>IF(C508="","",IF(ISNUMBER(FIND("AMU",$C$14:$C$548)),1,(SUMIF('[1]REP PRODUCCIÓN'!$H$6:$H$1505,"*"&amp;C508&amp;"*",'[1]REP PRODUCCIÓN'!$E$6:$E$1505))))</f>
        <v/>
      </c>
      <c r="K508" s="53">
        <f t="shared" si="22"/>
        <v>0</v>
      </c>
      <c r="M508" s="54" t="str">
        <f>IFERROR(INDEX('[1]REP DISEÑO'!$BA$9:$BA$1008,MATCH('INDIC-DIS2'!C508,'[1]REP DISEÑO'!$D$9:$D$1008,0)),"")</f>
        <v/>
      </c>
      <c r="N508" s="55"/>
      <c r="O508" s="55"/>
      <c r="P508" s="55"/>
      <c r="R508" s="57" t="str">
        <f t="shared" si="23"/>
        <v/>
      </c>
    </row>
    <row r="509" spans="2:18" ht="26.25" customHeight="1" x14ac:dyDescent="0.25">
      <c r="B509" s="49">
        <f t="shared" si="21"/>
        <v>0</v>
      </c>
      <c r="C509" s="50" t="str">
        <f t="array" ref="C509">IFERROR(INDEX('[1]REP DISEÑO'!$D$9:$D$1008,SMALL(IF('[1]REP DISEÑO'!$AW$9:$AW$1008=$J$1,ROW('[1]REP DISEÑO'!$N$9:$N$1008)-ROW('[1]REP DISEÑO'!$N$9),""),ROWS(C$14:C509))+1),"")</f>
        <v/>
      </c>
      <c r="D509" s="51" t="str">
        <f>IFERROR(INDEX('[1]REP DISEÑO'!$N$9:$N$1508,MATCH(C509,'[1]REP DISEÑO'!$D$9:$D$1508,0)),"")</f>
        <v/>
      </c>
      <c r="E509" s="51" t="str">
        <f>IFERROR(INDEX('[1]REP DISEÑO'!$G$9:$G$1508,MATCH(C509,'[1]REP DISEÑO'!$D$9:$D$1508,0)),"")</f>
        <v/>
      </c>
      <c r="F509" s="51" t="str">
        <f>IFERROR(INDEX('[1]REP DISEÑO'!$I$9:$I$1508,MATCH(C509,'[1]REP DISEÑO'!$D$9:$D$1508,0)),"")</f>
        <v/>
      </c>
      <c r="G509" s="51" t="str">
        <f>IFERROR(INDEX('[1]REP DISEÑO'!$M$9:$M$1508,MATCH(C509,'[1]REP DISEÑO'!$D$9:$D$1508,0)),"")</f>
        <v/>
      </c>
      <c r="H509" s="51" t="str">
        <f>IFERROR(INDEX('[1]REP DISEÑO'!$J$9:$J$1508,MATCH(C509,'[1]REP DISEÑO'!$D$9:$D$1508,0)),"")</f>
        <v/>
      </c>
      <c r="I509" s="52" t="str">
        <f>IFERROR(INDEX('[1]REP DISEÑO'!$C$9:$C$1508,MATCH(C509,'[1]REP DISEÑO'!$D$9:$D$1508,0)),"")</f>
        <v/>
      </c>
      <c r="J509" s="53" t="str">
        <f>IF(C509="","",IF(ISNUMBER(FIND("AMU",$C$14:$C$548)),1,(SUMIF('[1]REP PRODUCCIÓN'!$H$6:$H$1505,"*"&amp;C509&amp;"*",'[1]REP PRODUCCIÓN'!$E$6:$E$1505))))</f>
        <v/>
      </c>
      <c r="K509" s="53">
        <f t="shared" si="22"/>
        <v>0</v>
      </c>
      <c r="M509" s="54" t="str">
        <f>IFERROR(INDEX('[1]REP DISEÑO'!$BA$9:$BA$1008,MATCH('INDIC-DIS2'!C509,'[1]REP DISEÑO'!$D$9:$D$1008,0)),"")</f>
        <v/>
      </c>
      <c r="N509" s="55"/>
      <c r="O509" s="55"/>
      <c r="P509" s="55"/>
      <c r="R509" s="57" t="str">
        <f t="shared" si="23"/>
        <v/>
      </c>
    </row>
    <row r="510" spans="2:18" ht="26.25" customHeight="1" x14ac:dyDescent="0.25">
      <c r="B510" s="49">
        <f t="shared" si="21"/>
        <v>0</v>
      </c>
      <c r="C510" s="50" t="str">
        <f t="array" ref="C510">IFERROR(INDEX('[1]REP DISEÑO'!$D$9:$D$1008,SMALL(IF('[1]REP DISEÑO'!$AW$9:$AW$1008=$J$1,ROW('[1]REP DISEÑO'!$N$9:$N$1008)-ROW('[1]REP DISEÑO'!$N$9),""),ROWS(C$14:C510))+1),"")</f>
        <v/>
      </c>
      <c r="D510" s="51" t="str">
        <f>IFERROR(INDEX('[1]REP DISEÑO'!$N$9:$N$1508,MATCH(C510,'[1]REP DISEÑO'!$D$9:$D$1508,0)),"")</f>
        <v/>
      </c>
      <c r="E510" s="51" t="str">
        <f>IFERROR(INDEX('[1]REP DISEÑO'!$G$9:$G$1508,MATCH(C510,'[1]REP DISEÑO'!$D$9:$D$1508,0)),"")</f>
        <v/>
      </c>
      <c r="F510" s="51" t="str">
        <f>IFERROR(INDEX('[1]REP DISEÑO'!$I$9:$I$1508,MATCH(C510,'[1]REP DISEÑO'!$D$9:$D$1508,0)),"")</f>
        <v/>
      </c>
      <c r="G510" s="51" t="str">
        <f>IFERROR(INDEX('[1]REP DISEÑO'!$M$9:$M$1508,MATCH(C510,'[1]REP DISEÑO'!$D$9:$D$1508,0)),"")</f>
        <v/>
      </c>
      <c r="H510" s="51" t="str">
        <f>IFERROR(INDEX('[1]REP DISEÑO'!$J$9:$J$1508,MATCH(C510,'[1]REP DISEÑO'!$D$9:$D$1508,0)),"")</f>
        <v/>
      </c>
      <c r="I510" s="52" t="str">
        <f>IFERROR(INDEX('[1]REP DISEÑO'!$C$9:$C$1508,MATCH(C510,'[1]REP DISEÑO'!$D$9:$D$1508,0)),"")</f>
        <v/>
      </c>
      <c r="J510" s="53" t="str">
        <f>IF(C510="","",IF(ISNUMBER(FIND("AMU",$C$14:$C$548)),1,(SUMIF('[1]REP PRODUCCIÓN'!$H$6:$H$1505,"*"&amp;C510&amp;"*",'[1]REP PRODUCCIÓN'!$E$6:$E$1505))))</f>
        <v/>
      </c>
      <c r="K510" s="53">
        <f t="shared" si="22"/>
        <v>0</v>
      </c>
      <c r="M510" s="54" t="str">
        <f>IFERROR(INDEX('[1]REP DISEÑO'!$BA$9:$BA$1008,MATCH('INDIC-DIS2'!C510,'[1]REP DISEÑO'!$D$9:$D$1008,0)),"")</f>
        <v/>
      </c>
      <c r="N510" s="55"/>
      <c r="O510" s="55"/>
      <c r="P510" s="55"/>
      <c r="R510" s="57" t="str">
        <f t="shared" si="23"/>
        <v/>
      </c>
    </row>
    <row r="511" spans="2:18" ht="26.25" customHeight="1" x14ac:dyDescent="0.25">
      <c r="B511" s="49">
        <f t="shared" si="21"/>
        <v>0</v>
      </c>
      <c r="C511" s="50" t="str">
        <f t="array" ref="C511">IFERROR(INDEX('[1]REP DISEÑO'!$D$9:$D$1008,SMALL(IF('[1]REP DISEÑO'!$AW$9:$AW$1008=$J$1,ROW('[1]REP DISEÑO'!$N$9:$N$1008)-ROW('[1]REP DISEÑO'!$N$9),""),ROWS(C$14:C511))+1),"")</f>
        <v/>
      </c>
      <c r="D511" s="51" t="str">
        <f>IFERROR(INDEX('[1]REP DISEÑO'!$N$9:$N$1508,MATCH(C511,'[1]REP DISEÑO'!$D$9:$D$1508,0)),"")</f>
        <v/>
      </c>
      <c r="E511" s="51" t="str">
        <f>IFERROR(INDEX('[1]REP DISEÑO'!$G$9:$G$1508,MATCH(C511,'[1]REP DISEÑO'!$D$9:$D$1508,0)),"")</f>
        <v/>
      </c>
      <c r="F511" s="51" t="str">
        <f>IFERROR(INDEX('[1]REP DISEÑO'!$I$9:$I$1508,MATCH(C511,'[1]REP DISEÑO'!$D$9:$D$1508,0)),"")</f>
        <v/>
      </c>
      <c r="G511" s="51" t="str">
        <f>IFERROR(INDEX('[1]REP DISEÑO'!$M$9:$M$1508,MATCH(C511,'[1]REP DISEÑO'!$D$9:$D$1508,0)),"")</f>
        <v/>
      </c>
      <c r="H511" s="51" t="str">
        <f>IFERROR(INDEX('[1]REP DISEÑO'!$J$9:$J$1508,MATCH(C511,'[1]REP DISEÑO'!$D$9:$D$1508,0)),"")</f>
        <v/>
      </c>
      <c r="I511" s="52" t="str">
        <f>IFERROR(INDEX('[1]REP DISEÑO'!$C$9:$C$1508,MATCH(C511,'[1]REP DISEÑO'!$D$9:$D$1508,0)),"")</f>
        <v/>
      </c>
      <c r="J511" s="53" t="str">
        <f>IF(C511="","",IF(ISNUMBER(FIND("AMU",$C$14:$C$548)),1,(SUMIF('[1]REP PRODUCCIÓN'!$H$6:$H$1505,"*"&amp;C511&amp;"*",'[1]REP PRODUCCIÓN'!$E$6:$E$1505))))</f>
        <v/>
      </c>
      <c r="K511" s="53">
        <f t="shared" si="22"/>
        <v>0</v>
      </c>
      <c r="M511" s="54" t="str">
        <f>IFERROR(INDEX('[1]REP DISEÑO'!$BA$9:$BA$1008,MATCH('INDIC-DIS2'!C511,'[1]REP DISEÑO'!$D$9:$D$1008,0)),"")</f>
        <v/>
      </c>
      <c r="N511" s="55"/>
      <c r="O511" s="55"/>
      <c r="P511" s="55"/>
      <c r="R511" s="57" t="str">
        <f t="shared" si="23"/>
        <v/>
      </c>
    </row>
    <row r="512" spans="2:18" ht="26.25" customHeight="1" x14ac:dyDescent="0.25">
      <c r="B512" s="49">
        <f t="shared" si="21"/>
        <v>0</v>
      </c>
      <c r="C512" s="50" t="str">
        <f t="array" ref="C512">IFERROR(INDEX('[1]REP DISEÑO'!$D$9:$D$1008,SMALL(IF('[1]REP DISEÑO'!$AW$9:$AW$1008=$J$1,ROW('[1]REP DISEÑO'!$N$9:$N$1008)-ROW('[1]REP DISEÑO'!$N$9),""),ROWS(C$14:C512))+1),"")</f>
        <v/>
      </c>
      <c r="D512" s="51" t="str">
        <f>IFERROR(INDEX('[1]REP DISEÑO'!$N$9:$N$1508,MATCH(C512,'[1]REP DISEÑO'!$D$9:$D$1508,0)),"")</f>
        <v/>
      </c>
      <c r="E512" s="51" t="str">
        <f>IFERROR(INDEX('[1]REP DISEÑO'!$G$9:$G$1508,MATCH(C512,'[1]REP DISEÑO'!$D$9:$D$1508,0)),"")</f>
        <v/>
      </c>
      <c r="F512" s="51" t="str">
        <f>IFERROR(INDEX('[1]REP DISEÑO'!$I$9:$I$1508,MATCH(C512,'[1]REP DISEÑO'!$D$9:$D$1508,0)),"")</f>
        <v/>
      </c>
      <c r="G512" s="51" t="str">
        <f>IFERROR(INDEX('[1]REP DISEÑO'!$M$9:$M$1508,MATCH(C512,'[1]REP DISEÑO'!$D$9:$D$1508,0)),"")</f>
        <v/>
      </c>
      <c r="H512" s="51" t="str">
        <f>IFERROR(INDEX('[1]REP DISEÑO'!$J$9:$J$1508,MATCH(C512,'[1]REP DISEÑO'!$D$9:$D$1508,0)),"")</f>
        <v/>
      </c>
      <c r="I512" s="52" t="str">
        <f>IFERROR(INDEX('[1]REP DISEÑO'!$C$9:$C$1508,MATCH(C512,'[1]REP DISEÑO'!$D$9:$D$1508,0)),"")</f>
        <v/>
      </c>
      <c r="J512" s="53" t="str">
        <f>IF(C512="","",IF(ISNUMBER(FIND("AMU",$C$14:$C$548)),1,(SUMIF('[1]REP PRODUCCIÓN'!$H$6:$H$1505,"*"&amp;C512&amp;"*",'[1]REP PRODUCCIÓN'!$E$6:$E$1505))))</f>
        <v/>
      </c>
      <c r="K512" s="53">
        <f t="shared" si="22"/>
        <v>0</v>
      </c>
      <c r="M512" s="54" t="str">
        <f>IFERROR(INDEX('[1]REP DISEÑO'!$BA$9:$BA$1008,MATCH('INDIC-DIS2'!C512,'[1]REP DISEÑO'!$D$9:$D$1008,0)),"")</f>
        <v/>
      </c>
      <c r="N512" s="55"/>
      <c r="O512" s="55"/>
      <c r="P512" s="55"/>
      <c r="R512" s="57" t="str">
        <f t="shared" si="23"/>
        <v/>
      </c>
    </row>
    <row r="513" spans="2:18" ht="26.25" customHeight="1" x14ac:dyDescent="0.25">
      <c r="B513" s="49">
        <f t="shared" si="21"/>
        <v>0</v>
      </c>
      <c r="C513" s="50" t="str">
        <f t="array" ref="C513">IFERROR(INDEX('[1]REP DISEÑO'!$D$9:$D$1008,SMALL(IF('[1]REP DISEÑO'!$AW$9:$AW$1008=$J$1,ROW('[1]REP DISEÑO'!$N$9:$N$1008)-ROW('[1]REP DISEÑO'!$N$9),""),ROWS(C$14:C513))+1),"")</f>
        <v/>
      </c>
      <c r="D513" s="51" t="str">
        <f>IFERROR(INDEX('[1]REP DISEÑO'!$N$9:$N$1508,MATCH(C513,'[1]REP DISEÑO'!$D$9:$D$1508,0)),"")</f>
        <v/>
      </c>
      <c r="E513" s="51" t="str">
        <f>IFERROR(INDEX('[1]REP DISEÑO'!$G$9:$G$1508,MATCH(C513,'[1]REP DISEÑO'!$D$9:$D$1508,0)),"")</f>
        <v/>
      </c>
      <c r="F513" s="51" t="str">
        <f>IFERROR(INDEX('[1]REP DISEÑO'!$I$9:$I$1508,MATCH(C513,'[1]REP DISEÑO'!$D$9:$D$1508,0)),"")</f>
        <v/>
      </c>
      <c r="G513" s="51" t="str">
        <f>IFERROR(INDEX('[1]REP DISEÑO'!$M$9:$M$1508,MATCH(C513,'[1]REP DISEÑO'!$D$9:$D$1508,0)),"")</f>
        <v/>
      </c>
      <c r="H513" s="51" t="str">
        <f>IFERROR(INDEX('[1]REP DISEÑO'!$J$9:$J$1508,MATCH(C513,'[1]REP DISEÑO'!$D$9:$D$1508,0)),"")</f>
        <v/>
      </c>
      <c r="I513" s="52" t="str">
        <f>IFERROR(INDEX('[1]REP DISEÑO'!$C$9:$C$1508,MATCH(C513,'[1]REP DISEÑO'!$D$9:$D$1508,0)),"")</f>
        <v/>
      </c>
      <c r="J513" s="53" t="str">
        <f>IF(C513="","",IF(ISNUMBER(FIND("AMU",$C$14:$C$548)),1,(SUMIF('[1]REP PRODUCCIÓN'!$H$6:$H$1505,"*"&amp;C513&amp;"*",'[1]REP PRODUCCIÓN'!$E$6:$E$1505))))</f>
        <v/>
      </c>
      <c r="K513" s="53">
        <f t="shared" si="22"/>
        <v>0</v>
      </c>
      <c r="M513" s="54" t="str">
        <f>IFERROR(INDEX('[1]REP DISEÑO'!$BA$9:$BA$1008,MATCH('INDIC-DIS2'!C513,'[1]REP DISEÑO'!$D$9:$D$1008,0)),"")</f>
        <v/>
      </c>
      <c r="N513" s="55"/>
      <c r="O513" s="55"/>
      <c r="P513" s="55"/>
      <c r="R513" s="57" t="str">
        <f t="shared" si="23"/>
        <v/>
      </c>
    </row>
    <row r="514" spans="2:18" ht="26.25" customHeight="1" x14ac:dyDescent="0.25">
      <c r="B514" s="49">
        <f t="shared" si="21"/>
        <v>0</v>
      </c>
      <c r="C514" s="50" t="str">
        <f t="array" ref="C514">IFERROR(INDEX('[1]REP DISEÑO'!$D$9:$D$1008,SMALL(IF('[1]REP DISEÑO'!$AW$9:$AW$1008=$J$1,ROW('[1]REP DISEÑO'!$N$9:$N$1008)-ROW('[1]REP DISEÑO'!$N$9),""),ROWS(C$14:C514))+1),"")</f>
        <v/>
      </c>
      <c r="D514" s="51" t="str">
        <f>IFERROR(INDEX('[1]REP DISEÑO'!$N$9:$N$1508,MATCH(C514,'[1]REP DISEÑO'!$D$9:$D$1508,0)),"")</f>
        <v/>
      </c>
      <c r="E514" s="51" t="str">
        <f>IFERROR(INDEX('[1]REP DISEÑO'!$G$9:$G$1508,MATCH(C514,'[1]REP DISEÑO'!$D$9:$D$1508,0)),"")</f>
        <v/>
      </c>
      <c r="F514" s="51" t="str">
        <f>IFERROR(INDEX('[1]REP DISEÑO'!$I$9:$I$1508,MATCH(C514,'[1]REP DISEÑO'!$D$9:$D$1508,0)),"")</f>
        <v/>
      </c>
      <c r="G514" s="51" t="str">
        <f>IFERROR(INDEX('[1]REP DISEÑO'!$M$9:$M$1508,MATCH(C514,'[1]REP DISEÑO'!$D$9:$D$1508,0)),"")</f>
        <v/>
      </c>
      <c r="H514" s="51" t="str">
        <f>IFERROR(INDEX('[1]REP DISEÑO'!$J$9:$J$1508,MATCH(C514,'[1]REP DISEÑO'!$D$9:$D$1508,0)),"")</f>
        <v/>
      </c>
      <c r="I514" s="52" t="str">
        <f>IFERROR(INDEX('[1]REP DISEÑO'!$C$9:$C$1508,MATCH(C514,'[1]REP DISEÑO'!$D$9:$D$1508,0)),"")</f>
        <v/>
      </c>
      <c r="J514" s="53" t="str">
        <f>IF(C514="","",IF(ISNUMBER(FIND("AMU",$C$14:$C$548)),1,(SUMIF('[1]REP PRODUCCIÓN'!$H$6:$H$1505,"*"&amp;C514&amp;"*",'[1]REP PRODUCCIÓN'!$E$6:$E$1505))))</f>
        <v/>
      </c>
      <c r="K514" s="53">
        <f t="shared" si="22"/>
        <v>0</v>
      </c>
      <c r="M514" s="54" t="str">
        <f>IFERROR(INDEX('[1]REP DISEÑO'!$BA$9:$BA$1008,MATCH('INDIC-DIS2'!C514,'[1]REP DISEÑO'!$D$9:$D$1008,0)),"")</f>
        <v/>
      </c>
      <c r="N514" s="55"/>
      <c r="O514" s="55"/>
      <c r="P514" s="55"/>
      <c r="R514" s="57" t="str">
        <f t="shared" si="23"/>
        <v/>
      </c>
    </row>
    <row r="515" spans="2:18" ht="26.25" customHeight="1" x14ac:dyDescent="0.25">
      <c r="B515" s="49">
        <f t="shared" si="21"/>
        <v>0</v>
      </c>
      <c r="C515" s="50" t="str">
        <f t="array" ref="C515">IFERROR(INDEX('[1]REP DISEÑO'!$D$9:$D$1008,SMALL(IF('[1]REP DISEÑO'!$AW$9:$AW$1008=$J$1,ROW('[1]REP DISEÑO'!$N$9:$N$1008)-ROW('[1]REP DISEÑO'!$N$9),""),ROWS(C$14:C515))+1),"")</f>
        <v/>
      </c>
      <c r="D515" s="51" t="str">
        <f>IFERROR(INDEX('[1]REP DISEÑO'!$N$9:$N$1508,MATCH(C515,'[1]REP DISEÑO'!$D$9:$D$1508,0)),"")</f>
        <v/>
      </c>
      <c r="E515" s="51" t="str">
        <f>IFERROR(INDEX('[1]REP DISEÑO'!$G$9:$G$1508,MATCH(C515,'[1]REP DISEÑO'!$D$9:$D$1508,0)),"")</f>
        <v/>
      </c>
      <c r="F515" s="51" t="str">
        <f>IFERROR(INDEX('[1]REP DISEÑO'!$I$9:$I$1508,MATCH(C515,'[1]REP DISEÑO'!$D$9:$D$1508,0)),"")</f>
        <v/>
      </c>
      <c r="G515" s="51" t="str">
        <f>IFERROR(INDEX('[1]REP DISEÑO'!$M$9:$M$1508,MATCH(C515,'[1]REP DISEÑO'!$D$9:$D$1508,0)),"")</f>
        <v/>
      </c>
      <c r="H515" s="51" t="str">
        <f>IFERROR(INDEX('[1]REP DISEÑO'!$J$9:$J$1508,MATCH(C515,'[1]REP DISEÑO'!$D$9:$D$1508,0)),"")</f>
        <v/>
      </c>
      <c r="I515" s="52" t="str">
        <f>IFERROR(INDEX('[1]REP DISEÑO'!$C$9:$C$1508,MATCH(C515,'[1]REP DISEÑO'!$D$9:$D$1508,0)),"")</f>
        <v/>
      </c>
      <c r="J515" s="53" t="str">
        <f>IF(C515="","",IF(ISNUMBER(FIND("AMU",$C$14:$C$548)),1,(SUMIF('[1]REP PRODUCCIÓN'!$H$6:$H$1505,"*"&amp;C515&amp;"*",'[1]REP PRODUCCIÓN'!$E$6:$E$1505))))</f>
        <v/>
      </c>
      <c r="K515" s="53">
        <f t="shared" si="22"/>
        <v>0</v>
      </c>
      <c r="M515" s="54" t="str">
        <f>IFERROR(INDEX('[1]REP DISEÑO'!$BA$9:$BA$1008,MATCH('INDIC-DIS2'!C515,'[1]REP DISEÑO'!$D$9:$D$1008,0)),"")</f>
        <v/>
      </c>
      <c r="N515" s="55"/>
      <c r="O515" s="55"/>
      <c r="P515" s="55"/>
      <c r="R515" s="57" t="str">
        <f t="shared" si="23"/>
        <v/>
      </c>
    </row>
    <row r="516" spans="2:18" ht="26.25" customHeight="1" x14ac:dyDescent="0.25">
      <c r="B516" s="49">
        <f t="shared" si="21"/>
        <v>0</v>
      </c>
      <c r="C516" s="50" t="str">
        <f t="array" ref="C516">IFERROR(INDEX('[1]REP DISEÑO'!$D$9:$D$1008,SMALL(IF('[1]REP DISEÑO'!$AW$9:$AW$1008=$J$1,ROW('[1]REP DISEÑO'!$N$9:$N$1008)-ROW('[1]REP DISEÑO'!$N$9),""),ROWS(C$14:C516))+1),"")</f>
        <v/>
      </c>
      <c r="D516" s="51" t="str">
        <f>IFERROR(INDEX('[1]REP DISEÑO'!$N$9:$N$1508,MATCH(C516,'[1]REP DISEÑO'!$D$9:$D$1508,0)),"")</f>
        <v/>
      </c>
      <c r="E516" s="51" t="str">
        <f>IFERROR(INDEX('[1]REP DISEÑO'!$G$9:$G$1508,MATCH(C516,'[1]REP DISEÑO'!$D$9:$D$1508,0)),"")</f>
        <v/>
      </c>
      <c r="F516" s="51" t="str">
        <f>IFERROR(INDEX('[1]REP DISEÑO'!$I$9:$I$1508,MATCH(C516,'[1]REP DISEÑO'!$D$9:$D$1508,0)),"")</f>
        <v/>
      </c>
      <c r="G516" s="51" t="str">
        <f>IFERROR(INDEX('[1]REP DISEÑO'!$M$9:$M$1508,MATCH(C516,'[1]REP DISEÑO'!$D$9:$D$1508,0)),"")</f>
        <v/>
      </c>
      <c r="H516" s="51" t="str">
        <f>IFERROR(INDEX('[1]REP DISEÑO'!$J$9:$J$1508,MATCH(C516,'[1]REP DISEÑO'!$D$9:$D$1508,0)),"")</f>
        <v/>
      </c>
      <c r="I516" s="52" t="str">
        <f>IFERROR(INDEX('[1]REP DISEÑO'!$C$9:$C$1508,MATCH(C516,'[1]REP DISEÑO'!$D$9:$D$1508,0)),"")</f>
        <v/>
      </c>
      <c r="J516" s="53" t="str">
        <f>IF(C516="","",IF(ISNUMBER(FIND("AMU",$C$14:$C$548)),1,(SUMIF('[1]REP PRODUCCIÓN'!$H$6:$H$1505,"*"&amp;C516&amp;"*",'[1]REP PRODUCCIÓN'!$E$6:$E$1505))))</f>
        <v/>
      </c>
      <c r="K516" s="53">
        <f t="shared" si="22"/>
        <v>0</v>
      </c>
      <c r="M516" s="54" t="str">
        <f>IFERROR(INDEX('[1]REP DISEÑO'!$BA$9:$BA$1008,MATCH('INDIC-DIS2'!C516,'[1]REP DISEÑO'!$D$9:$D$1008,0)),"")</f>
        <v/>
      </c>
      <c r="N516" s="55"/>
      <c r="O516" s="55"/>
      <c r="P516" s="55"/>
      <c r="R516" s="57" t="str">
        <f t="shared" si="23"/>
        <v/>
      </c>
    </row>
    <row r="517" spans="2:18" ht="26.25" customHeight="1" x14ac:dyDescent="0.25">
      <c r="B517" s="49">
        <f t="shared" si="21"/>
        <v>0</v>
      </c>
      <c r="C517" s="50" t="str">
        <f t="array" ref="C517">IFERROR(INDEX('[1]REP DISEÑO'!$D$9:$D$1008,SMALL(IF('[1]REP DISEÑO'!$AW$9:$AW$1008=$J$1,ROW('[1]REP DISEÑO'!$N$9:$N$1008)-ROW('[1]REP DISEÑO'!$N$9),""),ROWS(C$14:C517))+1),"")</f>
        <v/>
      </c>
      <c r="D517" s="51" t="str">
        <f>IFERROR(INDEX('[1]REP DISEÑO'!$N$9:$N$1508,MATCH(C517,'[1]REP DISEÑO'!$D$9:$D$1508,0)),"")</f>
        <v/>
      </c>
      <c r="E517" s="51" t="str">
        <f>IFERROR(INDEX('[1]REP DISEÑO'!$G$9:$G$1508,MATCH(C517,'[1]REP DISEÑO'!$D$9:$D$1508,0)),"")</f>
        <v/>
      </c>
      <c r="F517" s="51" t="str">
        <f>IFERROR(INDEX('[1]REP DISEÑO'!$I$9:$I$1508,MATCH(C517,'[1]REP DISEÑO'!$D$9:$D$1508,0)),"")</f>
        <v/>
      </c>
      <c r="G517" s="51" t="str">
        <f>IFERROR(INDEX('[1]REP DISEÑO'!$M$9:$M$1508,MATCH(C517,'[1]REP DISEÑO'!$D$9:$D$1508,0)),"")</f>
        <v/>
      </c>
      <c r="H517" s="51" t="str">
        <f>IFERROR(INDEX('[1]REP DISEÑO'!$J$9:$J$1508,MATCH(C517,'[1]REP DISEÑO'!$D$9:$D$1508,0)),"")</f>
        <v/>
      </c>
      <c r="I517" s="52" t="str">
        <f>IFERROR(INDEX('[1]REP DISEÑO'!$C$9:$C$1508,MATCH(C517,'[1]REP DISEÑO'!$D$9:$D$1508,0)),"")</f>
        <v/>
      </c>
      <c r="J517" s="53" t="str">
        <f>IF(C517="","",IF(ISNUMBER(FIND("AMU",$C$14:$C$548)),1,(SUMIF('[1]REP PRODUCCIÓN'!$H$6:$H$1505,"*"&amp;C517&amp;"*",'[1]REP PRODUCCIÓN'!$E$6:$E$1505))))</f>
        <v/>
      </c>
      <c r="K517" s="53">
        <f t="shared" si="22"/>
        <v>0</v>
      </c>
      <c r="M517" s="54" t="str">
        <f>IFERROR(INDEX('[1]REP DISEÑO'!$BA$9:$BA$1008,MATCH('INDIC-DIS2'!C517,'[1]REP DISEÑO'!$D$9:$D$1008,0)),"")</f>
        <v/>
      </c>
      <c r="N517" s="55"/>
      <c r="O517" s="55"/>
      <c r="P517" s="55"/>
      <c r="R517" s="57" t="str">
        <f t="shared" si="23"/>
        <v/>
      </c>
    </row>
    <row r="518" spans="2:18" ht="26.25" customHeight="1" x14ac:dyDescent="0.25">
      <c r="B518" s="49">
        <f t="shared" si="21"/>
        <v>0</v>
      </c>
      <c r="C518" s="50" t="str">
        <f t="array" ref="C518">IFERROR(INDEX('[1]REP DISEÑO'!$D$9:$D$1008,SMALL(IF('[1]REP DISEÑO'!$AW$9:$AW$1008=$J$1,ROW('[1]REP DISEÑO'!$N$9:$N$1008)-ROW('[1]REP DISEÑO'!$N$9),""),ROWS(C$14:C518))+1),"")</f>
        <v/>
      </c>
      <c r="D518" s="51" t="str">
        <f>IFERROR(INDEX('[1]REP DISEÑO'!$N$9:$N$1508,MATCH(C518,'[1]REP DISEÑO'!$D$9:$D$1508,0)),"")</f>
        <v/>
      </c>
      <c r="E518" s="51" t="str">
        <f>IFERROR(INDEX('[1]REP DISEÑO'!$G$9:$G$1508,MATCH(C518,'[1]REP DISEÑO'!$D$9:$D$1508,0)),"")</f>
        <v/>
      </c>
      <c r="F518" s="51" t="str">
        <f>IFERROR(INDEX('[1]REP DISEÑO'!$I$9:$I$1508,MATCH(C518,'[1]REP DISEÑO'!$D$9:$D$1508,0)),"")</f>
        <v/>
      </c>
      <c r="G518" s="51" t="str">
        <f>IFERROR(INDEX('[1]REP DISEÑO'!$M$9:$M$1508,MATCH(C518,'[1]REP DISEÑO'!$D$9:$D$1508,0)),"")</f>
        <v/>
      </c>
      <c r="H518" s="51" t="str">
        <f>IFERROR(INDEX('[1]REP DISEÑO'!$J$9:$J$1508,MATCH(C518,'[1]REP DISEÑO'!$D$9:$D$1508,0)),"")</f>
        <v/>
      </c>
      <c r="I518" s="52" t="str">
        <f>IFERROR(INDEX('[1]REP DISEÑO'!$C$9:$C$1508,MATCH(C518,'[1]REP DISEÑO'!$D$9:$D$1508,0)),"")</f>
        <v/>
      </c>
      <c r="J518" s="53" t="str">
        <f>IF(C518="","",IF(ISNUMBER(FIND("AMU",$C$14:$C$548)),1,(SUMIF('[1]REP PRODUCCIÓN'!$H$6:$H$1505,"*"&amp;C518&amp;"*",'[1]REP PRODUCCIÓN'!$E$6:$E$1505))))</f>
        <v/>
      </c>
      <c r="K518" s="53">
        <f t="shared" si="22"/>
        <v>0</v>
      </c>
      <c r="M518" s="54" t="str">
        <f>IFERROR(INDEX('[1]REP DISEÑO'!$BA$9:$BA$1008,MATCH('INDIC-DIS2'!C518,'[1]REP DISEÑO'!$D$9:$D$1008,0)),"")</f>
        <v/>
      </c>
      <c r="N518" s="55"/>
      <c r="O518" s="55"/>
      <c r="P518" s="55"/>
      <c r="R518" s="57" t="str">
        <f t="shared" si="23"/>
        <v/>
      </c>
    </row>
    <row r="519" spans="2:18" ht="26.25" customHeight="1" x14ac:dyDescent="0.25">
      <c r="B519" s="49">
        <f t="shared" si="21"/>
        <v>0</v>
      </c>
      <c r="C519" s="50" t="str">
        <f t="array" ref="C519">IFERROR(INDEX('[1]REP DISEÑO'!$D$9:$D$1008,SMALL(IF('[1]REP DISEÑO'!$AW$9:$AW$1008=$J$1,ROW('[1]REP DISEÑO'!$N$9:$N$1008)-ROW('[1]REP DISEÑO'!$N$9),""),ROWS(C$14:C519))+1),"")</f>
        <v/>
      </c>
      <c r="D519" s="51" t="str">
        <f>IFERROR(INDEX('[1]REP DISEÑO'!$N$9:$N$1508,MATCH(C519,'[1]REP DISEÑO'!$D$9:$D$1508,0)),"")</f>
        <v/>
      </c>
      <c r="E519" s="51" t="str">
        <f>IFERROR(INDEX('[1]REP DISEÑO'!$G$9:$G$1508,MATCH(C519,'[1]REP DISEÑO'!$D$9:$D$1508,0)),"")</f>
        <v/>
      </c>
      <c r="F519" s="51" t="str">
        <f>IFERROR(INDEX('[1]REP DISEÑO'!$I$9:$I$1508,MATCH(C519,'[1]REP DISEÑO'!$D$9:$D$1508,0)),"")</f>
        <v/>
      </c>
      <c r="G519" s="51" t="str">
        <f>IFERROR(INDEX('[1]REP DISEÑO'!$M$9:$M$1508,MATCH(C519,'[1]REP DISEÑO'!$D$9:$D$1508,0)),"")</f>
        <v/>
      </c>
      <c r="H519" s="51" t="str">
        <f>IFERROR(INDEX('[1]REP DISEÑO'!$J$9:$J$1508,MATCH(C519,'[1]REP DISEÑO'!$D$9:$D$1508,0)),"")</f>
        <v/>
      </c>
      <c r="I519" s="52" t="str">
        <f>IFERROR(INDEX('[1]REP DISEÑO'!$C$9:$C$1508,MATCH(C519,'[1]REP DISEÑO'!$D$9:$D$1508,0)),"")</f>
        <v/>
      </c>
      <c r="J519" s="53" t="str">
        <f>IF(C519="","",IF(ISNUMBER(FIND("AMU",$C$14:$C$548)),1,(SUMIF('[1]REP PRODUCCIÓN'!$H$6:$H$1505,"*"&amp;C519&amp;"*",'[1]REP PRODUCCIÓN'!$E$6:$E$1505))))</f>
        <v/>
      </c>
      <c r="K519" s="53">
        <f t="shared" si="22"/>
        <v>0</v>
      </c>
      <c r="M519" s="54" t="str">
        <f>IFERROR(INDEX('[1]REP DISEÑO'!$BA$9:$BA$1008,MATCH('INDIC-DIS2'!C519,'[1]REP DISEÑO'!$D$9:$D$1008,0)),"")</f>
        <v/>
      </c>
      <c r="N519" s="55"/>
      <c r="O519" s="55"/>
      <c r="P519" s="55"/>
      <c r="R519" s="57" t="str">
        <f t="shared" si="23"/>
        <v/>
      </c>
    </row>
    <row r="520" spans="2:18" ht="26.25" customHeight="1" x14ac:dyDescent="0.25">
      <c r="B520" s="49">
        <f t="shared" si="21"/>
        <v>0</v>
      </c>
      <c r="C520" s="50" t="str">
        <f t="array" ref="C520">IFERROR(INDEX('[1]REP DISEÑO'!$D$9:$D$1008,SMALL(IF('[1]REP DISEÑO'!$AW$9:$AW$1008=$J$1,ROW('[1]REP DISEÑO'!$N$9:$N$1008)-ROW('[1]REP DISEÑO'!$N$9),""),ROWS(C$14:C520))+1),"")</f>
        <v/>
      </c>
      <c r="D520" s="51" t="str">
        <f>IFERROR(INDEX('[1]REP DISEÑO'!$N$9:$N$1508,MATCH(C520,'[1]REP DISEÑO'!$D$9:$D$1508,0)),"")</f>
        <v/>
      </c>
      <c r="E520" s="51" t="str">
        <f>IFERROR(INDEX('[1]REP DISEÑO'!$G$9:$G$1508,MATCH(C520,'[1]REP DISEÑO'!$D$9:$D$1508,0)),"")</f>
        <v/>
      </c>
      <c r="F520" s="51" t="str">
        <f>IFERROR(INDEX('[1]REP DISEÑO'!$I$9:$I$1508,MATCH(C520,'[1]REP DISEÑO'!$D$9:$D$1508,0)),"")</f>
        <v/>
      </c>
      <c r="G520" s="51" t="str">
        <f>IFERROR(INDEX('[1]REP DISEÑO'!$M$9:$M$1508,MATCH(C520,'[1]REP DISEÑO'!$D$9:$D$1508,0)),"")</f>
        <v/>
      </c>
      <c r="H520" s="51" t="str">
        <f>IFERROR(INDEX('[1]REP DISEÑO'!$J$9:$J$1508,MATCH(C520,'[1]REP DISEÑO'!$D$9:$D$1508,0)),"")</f>
        <v/>
      </c>
      <c r="I520" s="52" t="str">
        <f>IFERROR(INDEX('[1]REP DISEÑO'!$C$9:$C$1508,MATCH(C520,'[1]REP DISEÑO'!$D$9:$D$1508,0)),"")</f>
        <v/>
      </c>
      <c r="J520" s="53" t="str">
        <f>IF(C520="","",IF(ISNUMBER(FIND("AMU",$C$14:$C$548)),1,(SUMIF('[1]REP PRODUCCIÓN'!$H$6:$H$1505,"*"&amp;C520&amp;"*",'[1]REP PRODUCCIÓN'!$E$6:$E$1505))))</f>
        <v/>
      </c>
      <c r="K520" s="53">
        <f t="shared" si="22"/>
        <v>0</v>
      </c>
      <c r="M520" s="54" t="str">
        <f>IFERROR(INDEX('[1]REP DISEÑO'!$BA$9:$BA$1008,MATCH('INDIC-DIS2'!C520,'[1]REP DISEÑO'!$D$9:$D$1008,0)),"")</f>
        <v/>
      </c>
      <c r="N520" s="55"/>
      <c r="O520" s="55"/>
      <c r="P520" s="55"/>
      <c r="R520" s="57" t="str">
        <f t="shared" si="23"/>
        <v/>
      </c>
    </row>
    <row r="521" spans="2:18" ht="26.25" customHeight="1" x14ac:dyDescent="0.25">
      <c r="B521" s="49">
        <f t="shared" si="21"/>
        <v>0</v>
      </c>
      <c r="C521" s="50" t="str">
        <f t="array" ref="C521">IFERROR(INDEX('[1]REP DISEÑO'!$D$9:$D$1008,SMALL(IF('[1]REP DISEÑO'!$AW$9:$AW$1008=$J$1,ROW('[1]REP DISEÑO'!$N$9:$N$1008)-ROW('[1]REP DISEÑO'!$N$9),""),ROWS(C$14:C521))+1),"")</f>
        <v/>
      </c>
      <c r="D521" s="51" t="str">
        <f>IFERROR(INDEX('[1]REP DISEÑO'!$N$9:$N$1508,MATCH(C521,'[1]REP DISEÑO'!$D$9:$D$1508,0)),"")</f>
        <v/>
      </c>
      <c r="E521" s="51" t="str">
        <f>IFERROR(INDEX('[1]REP DISEÑO'!$G$9:$G$1508,MATCH(C521,'[1]REP DISEÑO'!$D$9:$D$1508,0)),"")</f>
        <v/>
      </c>
      <c r="F521" s="51" t="str">
        <f>IFERROR(INDEX('[1]REP DISEÑO'!$I$9:$I$1508,MATCH(C521,'[1]REP DISEÑO'!$D$9:$D$1508,0)),"")</f>
        <v/>
      </c>
      <c r="G521" s="51" t="str">
        <f>IFERROR(INDEX('[1]REP DISEÑO'!$M$9:$M$1508,MATCH(C521,'[1]REP DISEÑO'!$D$9:$D$1508,0)),"")</f>
        <v/>
      </c>
      <c r="H521" s="51" t="str">
        <f>IFERROR(INDEX('[1]REP DISEÑO'!$J$9:$J$1508,MATCH(C521,'[1]REP DISEÑO'!$D$9:$D$1508,0)),"")</f>
        <v/>
      </c>
      <c r="I521" s="52" t="str">
        <f>IFERROR(INDEX('[1]REP DISEÑO'!$C$9:$C$1508,MATCH(C521,'[1]REP DISEÑO'!$D$9:$D$1508,0)),"")</f>
        <v/>
      </c>
      <c r="J521" s="53" t="str">
        <f>IF(C521="","",IF(ISNUMBER(FIND("AMU",$C$14:$C$548)),1,(SUMIF('[1]REP PRODUCCIÓN'!$H$6:$H$1505,"*"&amp;C521&amp;"*",'[1]REP PRODUCCIÓN'!$E$6:$E$1505))))</f>
        <v/>
      </c>
      <c r="K521" s="53">
        <f t="shared" si="22"/>
        <v>0</v>
      </c>
      <c r="M521" s="54" t="str">
        <f>IFERROR(INDEX('[1]REP DISEÑO'!$BA$9:$BA$1008,MATCH('INDIC-DIS2'!C521,'[1]REP DISEÑO'!$D$9:$D$1008,0)),"")</f>
        <v/>
      </c>
      <c r="N521" s="55"/>
      <c r="O521" s="55"/>
      <c r="P521" s="55"/>
      <c r="R521" s="57" t="str">
        <f t="shared" si="23"/>
        <v/>
      </c>
    </row>
    <row r="522" spans="2:18" ht="26.25" customHeight="1" x14ac:dyDescent="0.25">
      <c r="B522" s="49">
        <f t="shared" si="21"/>
        <v>0</v>
      </c>
      <c r="C522" s="50" t="str">
        <f t="array" ref="C522">IFERROR(INDEX('[1]REP DISEÑO'!$D$9:$D$1008,SMALL(IF('[1]REP DISEÑO'!$AW$9:$AW$1008=$J$1,ROW('[1]REP DISEÑO'!$N$9:$N$1008)-ROW('[1]REP DISEÑO'!$N$9),""),ROWS(C$14:C522))+1),"")</f>
        <v/>
      </c>
      <c r="D522" s="51" t="str">
        <f>IFERROR(INDEX('[1]REP DISEÑO'!$N$9:$N$1508,MATCH(C522,'[1]REP DISEÑO'!$D$9:$D$1508,0)),"")</f>
        <v/>
      </c>
      <c r="E522" s="51" t="str">
        <f>IFERROR(INDEX('[1]REP DISEÑO'!$G$9:$G$1508,MATCH(C522,'[1]REP DISEÑO'!$D$9:$D$1508,0)),"")</f>
        <v/>
      </c>
      <c r="F522" s="51" t="str">
        <f>IFERROR(INDEX('[1]REP DISEÑO'!$I$9:$I$1508,MATCH(C522,'[1]REP DISEÑO'!$D$9:$D$1508,0)),"")</f>
        <v/>
      </c>
      <c r="G522" s="51" t="str">
        <f>IFERROR(INDEX('[1]REP DISEÑO'!$M$9:$M$1508,MATCH(C522,'[1]REP DISEÑO'!$D$9:$D$1508,0)),"")</f>
        <v/>
      </c>
      <c r="H522" s="51" t="str">
        <f>IFERROR(INDEX('[1]REP DISEÑO'!$J$9:$J$1508,MATCH(C522,'[1]REP DISEÑO'!$D$9:$D$1508,0)),"")</f>
        <v/>
      </c>
      <c r="I522" s="52" t="str">
        <f>IFERROR(INDEX('[1]REP DISEÑO'!$C$9:$C$1508,MATCH(C522,'[1]REP DISEÑO'!$D$9:$D$1508,0)),"")</f>
        <v/>
      </c>
      <c r="J522" s="53" t="str">
        <f>IF(C522="","",IF(ISNUMBER(FIND("AMU",$C$14:$C$548)),1,(SUMIF('[1]REP PRODUCCIÓN'!$H$6:$H$1505,"*"&amp;C522&amp;"*",'[1]REP PRODUCCIÓN'!$E$6:$E$1505))))</f>
        <v/>
      </c>
      <c r="K522" s="53">
        <f t="shared" si="22"/>
        <v>0</v>
      </c>
      <c r="M522" s="54" t="str">
        <f>IFERROR(INDEX('[1]REP DISEÑO'!$BA$9:$BA$1008,MATCH('INDIC-DIS2'!C522,'[1]REP DISEÑO'!$D$9:$D$1008,0)),"")</f>
        <v/>
      </c>
      <c r="N522" s="55"/>
      <c r="O522" s="55"/>
      <c r="P522" s="55"/>
      <c r="R522" s="57" t="str">
        <f t="shared" si="23"/>
        <v/>
      </c>
    </row>
    <row r="523" spans="2:18" ht="26.25" customHeight="1" x14ac:dyDescent="0.25">
      <c r="B523" s="49">
        <f t="shared" si="21"/>
        <v>0</v>
      </c>
      <c r="C523" s="50" t="str">
        <f t="array" ref="C523">IFERROR(INDEX('[1]REP DISEÑO'!$D$9:$D$1008,SMALL(IF('[1]REP DISEÑO'!$AW$9:$AW$1008=$J$1,ROW('[1]REP DISEÑO'!$N$9:$N$1008)-ROW('[1]REP DISEÑO'!$N$9),""),ROWS(C$14:C523))+1),"")</f>
        <v/>
      </c>
      <c r="D523" s="51" t="str">
        <f>IFERROR(INDEX('[1]REP DISEÑO'!$N$9:$N$1508,MATCH(C523,'[1]REP DISEÑO'!$D$9:$D$1508,0)),"")</f>
        <v/>
      </c>
      <c r="E523" s="51" t="str">
        <f>IFERROR(INDEX('[1]REP DISEÑO'!$G$9:$G$1508,MATCH(C523,'[1]REP DISEÑO'!$D$9:$D$1508,0)),"")</f>
        <v/>
      </c>
      <c r="F523" s="51" t="str">
        <f>IFERROR(INDEX('[1]REP DISEÑO'!$I$9:$I$1508,MATCH(C523,'[1]REP DISEÑO'!$D$9:$D$1508,0)),"")</f>
        <v/>
      </c>
      <c r="G523" s="51" t="str">
        <f>IFERROR(INDEX('[1]REP DISEÑO'!$M$9:$M$1508,MATCH(C523,'[1]REP DISEÑO'!$D$9:$D$1508,0)),"")</f>
        <v/>
      </c>
      <c r="H523" s="51" t="str">
        <f>IFERROR(INDEX('[1]REP DISEÑO'!$J$9:$J$1508,MATCH(C523,'[1]REP DISEÑO'!$D$9:$D$1508,0)),"")</f>
        <v/>
      </c>
      <c r="I523" s="52" t="str">
        <f>IFERROR(INDEX('[1]REP DISEÑO'!$C$9:$C$1508,MATCH(C523,'[1]REP DISEÑO'!$D$9:$D$1508,0)),"")</f>
        <v/>
      </c>
      <c r="J523" s="53" t="str">
        <f>IF(C523="","",IF(ISNUMBER(FIND("AMU",$C$14:$C$548)),1,(SUMIF('[1]REP PRODUCCIÓN'!$H$6:$H$1505,"*"&amp;C523&amp;"*",'[1]REP PRODUCCIÓN'!$E$6:$E$1505))))</f>
        <v/>
      </c>
      <c r="K523" s="53">
        <f t="shared" si="22"/>
        <v>0</v>
      </c>
      <c r="M523" s="54" t="str">
        <f>IFERROR(INDEX('[1]REP DISEÑO'!$BA$9:$BA$1008,MATCH('INDIC-DIS2'!C523,'[1]REP DISEÑO'!$D$9:$D$1008,0)),"")</f>
        <v/>
      </c>
      <c r="N523" s="55"/>
      <c r="O523" s="55"/>
      <c r="P523" s="55"/>
      <c r="R523" s="57" t="str">
        <f t="shared" si="23"/>
        <v/>
      </c>
    </row>
    <row r="524" spans="2:18" ht="26.25" customHeight="1" x14ac:dyDescent="0.25">
      <c r="B524" s="49">
        <f t="shared" si="21"/>
        <v>0</v>
      </c>
      <c r="C524" s="50" t="str">
        <f t="array" ref="C524">IFERROR(INDEX('[1]REP DISEÑO'!$D$9:$D$1008,SMALL(IF('[1]REP DISEÑO'!$AW$9:$AW$1008=$J$1,ROW('[1]REP DISEÑO'!$N$9:$N$1008)-ROW('[1]REP DISEÑO'!$N$9),""),ROWS(C$14:C524))+1),"")</f>
        <v/>
      </c>
      <c r="D524" s="51" t="str">
        <f>IFERROR(INDEX('[1]REP DISEÑO'!$N$9:$N$1508,MATCH(C524,'[1]REP DISEÑO'!$D$9:$D$1508,0)),"")</f>
        <v/>
      </c>
      <c r="E524" s="51" t="str">
        <f>IFERROR(INDEX('[1]REP DISEÑO'!$G$9:$G$1508,MATCH(C524,'[1]REP DISEÑO'!$D$9:$D$1508,0)),"")</f>
        <v/>
      </c>
      <c r="F524" s="51" t="str">
        <f>IFERROR(INDEX('[1]REP DISEÑO'!$I$9:$I$1508,MATCH(C524,'[1]REP DISEÑO'!$D$9:$D$1508,0)),"")</f>
        <v/>
      </c>
      <c r="G524" s="51" t="str">
        <f>IFERROR(INDEX('[1]REP DISEÑO'!$M$9:$M$1508,MATCH(C524,'[1]REP DISEÑO'!$D$9:$D$1508,0)),"")</f>
        <v/>
      </c>
      <c r="H524" s="51" t="str">
        <f>IFERROR(INDEX('[1]REP DISEÑO'!$J$9:$J$1508,MATCH(C524,'[1]REP DISEÑO'!$D$9:$D$1508,0)),"")</f>
        <v/>
      </c>
      <c r="I524" s="52" t="str">
        <f>IFERROR(INDEX('[1]REP DISEÑO'!$C$9:$C$1508,MATCH(C524,'[1]REP DISEÑO'!$D$9:$D$1508,0)),"")</f>
        <v/>
      </c>
      <c r="J524" s="53" t="str">
        <f>IF(C524="","",IF(ISNUMBER(FIND("AMU",$C$14:$C$548)),1,(SUMIF('[1]REP PRODUCCIÓN'!$H$6:$H$1505,"*"&amp;C524&amp;"*",'[1]REP PRODUCCIÓN'!$E$6:$E$1505))))</f>
        <v/>
      </c>
      <c r="K524" s="53">
        <f t="shared" si="22"/>
        <v>0</v>
      </c>
      <c r="M524" s="54" t="str">
        <f>IFERROR(INDEX('[1]REP DISEÑO'!$BA$9:$BA$1008,MATCH('INDIC-DIS2'!C524,'[1]REP DISEÑO'!$D$9:$D$1008,0)),"")</f>
        <v/>
      </c>
      <c r="N524" s="55"/>
      <c r="O524" s="55"/>
      <c r="P524" s="55"/>
      <c r="R524" s="57" t="str">
        <f t="shared" si="23"/>
        <v/>
      </c>
    </row>
    <row r="525" spans="2:18" ht="26.25" customHeight="1" x14ac:dyDescent="0.25">
      <c r="B525" s="49">
        <f t="shared" si="21"/>
        <v>0</v>
      </c>
      <c r="C525" s="50" t="str">
        <f t="array" ref="C525">IFERROR(INDEX('[1]REP DISEÑO'!$D$9:$D$1008,SMALL(IF('[1]REP DISEÑO'!$AW$9:$AW$1008=$J$1,ROW('[1]REP DISEÑO'!$N$9:$N$1008)-ROW('[1]REP DISEÑO'!$N$9),""),ROWS(C$14:C525))+1),"")</f>
        <v/>
      </c>
      <c r="D525" s="51" t="str">
        <f>IFERROR(INDEX('[1]REP DISEÑO'!$N$9:$N$1508,MATCH(C525,'[1]REP DISEÑO'!$D$9:$D$1508,0)),"")</f>
        <v/>
      </c>
      <c r="E525" s="51" t="str">
        <f>IFERROR(INDEX('[1]REP DISEÑO'!$G$9:$G$1508,MATCH(C525,'[1]REP DISEÑO'!$D$9:$D$1508,0)),"")</f>
        <v/>
      </c>
      <c r="F525" s="51" t="str">
        <f>IFERROR(INDEX('[1]REP DISEÑO'!$I$9:$I$1508,MATCH(C525,'[1]REP DISEÑO'!$D$9:$D$1508,0)),"")</f>
        <v/>
      </c>
      <c r="G525" s="51" t="str">
        <f>IFERROR(INDEX('[1]REP DISEÑO'!$M$9:$M$1508,MATCH(C525,'[1]REP DISEÑO'!$D$9:$D$1508,0)),"")</f>
        <v/>
      </c>
      <c r="H525" s="51" t="str">
        <f>IFERROR(INDEX('[1]REP DISEÑO'!$J$9:$J$1508,MATCH(C525,'[1]REP DISEÑO'!$D$9:$D$1508,0)),"")</f>
        <v/>
      </c>
      <c r="I525" s="52" t="str">
        <f>IFERROR(INDEX('[1]REP DISEÑO'!$C$9:$C$1508,MATCH(C525,'[1]REP DISEÑO'!$D$9:$D$1508,0)),"")</f>
        <v/>
      </c>
      <c r="J525" s="53" t="str">
        <f>IF(C525="","",IF(ISNUMBER(FIND("AMU",$C$14:$C$548)),1,(SUMIF('[1]REP PRODUCCIÓN'!$H$6:$H$1505,"*"&amp;C525&amp;"*",'[1]REP PRODUCCIÓN'!$E$6:$E$1505))))</f>
        <v/>
      </c>
      <c r="K525" s="53">
        <f t="shared" si="22"/>
        <v>0</v>
      </c>
      <c r="M525" s="54" t="str">
        <f>IFERROR(INDEX('[1]REP DISEÑO'!$BA$9:$BA$1008,MATCH('INDIC-DIS2'!C525,'[1]REP DISEÑO'!$D$9:$D$1008,0)),"")</f>
        <v/>
      </c>
      <c r="N525" s="55"/>
      <c r="O525" s="55"/>
      <c r="P525" s="55"/>
      <c r="R525" s="57" t="str">
        <f t="shared" si="23"/>
        <v/>
      </c>
    </row>
    <row r="526" spans="2:18" ht="26.25" customHeight="1" x14ac:dyDescent="0.25">
      <c r="B526" s="49">
        <f t="shared" si="21"/>
        <v>0</v>
      </c>
      <c r="C526" s="50" t="str">
        <f t="array" ref="C526">IFERROR(INDEX('[1]REP DISEÑO'!$D$9:$D$1008,SMALL(IF('[1]REP DISEÑO'!$AW$9:$AW$1008=$J$1,ROW('[1]REP DISEÑO'!$N$9:$N$1008)-ROW('[1]REP DISEÑO'!$N$9),""),ROWS(C$14:C526))+1),"")</f>
        <v/>
      </c>
      <c r="D526" s="51" t="str">
        <f>IFERROR(INDEX('[1]REP DISEÑO'!$N$9:$N$1508,MATCH(C526,'[1]REP DISEÑO'!$D$9:$D$1508,0)),"")</f>
        <v/>
      </c>
      <c r="E526" s="51" t="str">
        <f>IFERROR(INDEX('[1]REP DISEÑO'!$G$9:$G$1508,MATCH(C526,'[1]REP DISEÑO'!$D$9:$D$1508,0)),"")</f>
        <v/>
      </c>
      <c r="F526" s="51" t="str">
        <f>IFERROR(INDEX('[1]REP DISEÑO'!$I$9:$I$1508,MATCH(C526,'[1]REP DISEÑO'!$D$9:$D$1508,0)),"")</f>
        <v/>
      </c>
      <c r="G526" s="51" t="str">
        <f>IFERROR(INDEX('[1]REP DISEÑO'!$M$9:$M$1508,MATCH(C526,'[1]REP DISEÑO'!$D$9:$D$1508,0)),"")</f>
        <v/>
      </c>
      <c r="H526" s="51" t="str">
        <f>IFERROR(INDEX('[1]REP DISEÑO'!$J$9:$J$1508,MATCH(C526,'[1]REP DISEÑO'!$D$9:$D$1508,0)),"")</f>
        <v/>
      </c>
      <c r="I526" s="52" t="str">
        <f>IFERROR(INDEX('[1]REP DISEÑO'!$C$9:$C$1508,MATCH(C526,'[1]REP DISEÑO'!$D$9:$D$1508,0)),"")</f>
        <v/>
      </c>
      <c r="J526" s="53" t="str">
        <f>IF(C526="","",IF(ISNUMBER(FIND("AMU",$C$14:$C$548)),1,(SUMIF('[1]REP PRODUCCIÓN'!$H$6:$H$1505,"*"&amp;C526&amp;"*",'[1]REP PRODUCCIÓN'!$E$6:$E$1505))))</f>
        <v/>
      </c>
      <c r="K526" s="53">
        <f t="shared" si="22"/>
        <v>0</v>
      </c>
      <c r="M526" s="54" t="str">
        <f>IFERROR(INDEX('[1]REP DISEÑO'!$BA$9:$BA$1008,MATCH('INDIC-DIS2'!C526,'[1]REP DISEÑO'!$D$9:$D$1008,0)),"")</f>
        <v/>
      </c>
      <c r="N526" s="55"/>
      <c r="O526" s="55"/>
      <c r="P526" s="55"/>
      <c r="R526" s="57" t="str">
        <f t="shared" si="23"/>
        <v/>
      </c>
    </row>
    <row r="527" spans="2:18" ht="26.25" customHeight="1" x14ac:dyDescent="0.25">
      <c r="B527" s="49">
        <f t="shared" ref="B527:B548" si="24">IF(J527="",0,IF(OR(J527&gt;0,ISNUMBER(FIND("AMU",$C$14:$C$548))),1,0))</f>
        <v>0</v>
      </c>
      <c r="C527" s="50" t="str">
        <f t="array" ref="C527">IFERROR(INDEX('[1]REP DISEÑO'!$D$9:$D$1008,SMALL(IF('[1]REP DISEÑO'!$AW$9:$AW$1008=$J$1,ROW('[1]REP DISEÑO'!$N$9:$N$1008)-ROW('[1]REP DISEÑO'!$N$9),""),ROWS(C$14:C527))+1),"")</f>
        <v/>
      </c>
      <c r="D527" s="51" t="str">
        <f>IFERROR(INDEX('[1]REP DISEÑO'!$N$9:$N$1508,MATCH(C527,'[1]REP DISEÑO'!$D$9:$D$1508,0)),"")</f>
        <v/>
      </c>
      <c r="E527" s="51" t="str">
        <f>IFERROR(INDEX('[1]REP DISEÑO'!$G$9:$G$1508,MATCH(C527,'[1]REP DISEÑO'!$D$9:$D$1508,0)),"")</f>
        <v/>
      </c>
      <c r="F527" s="51" t="str">
        <f>IFERROR(INDEX('[1]REP DISEÑO'!$I$9:$I$1508,MATCH(C527,'[1]REP DISEÑO'!$D$9:$D$1508,0)),"")</f>
        <v/>
      </c>
      <c r="G527" s="51" t="str">
        <f>IFERROR(INDEX('[1]REP DISEÑO'!$M$9:$M$1508,MATCH(C527,'[1]REP DISEÑO'!$D$9:$D$1508,0)),"")</f>
        <v/>
      </c>
      <c r="H527" s="51" t="str">
        <f>IFERROR(INDEX('[1]REP DISEÑO'!$J$9:$J$1508,MATCH(C527,'[1]REP DISEÑO'!$D$9:$D$1508,0)),"")</f>
        <v/>
      </c>
      <c r="I527" s="52" t="str">
        <f>IFERROR(INDEX('[1]REP DISEÑO'!$C$9:$C$1508,MATCH(C527,'[1]REP DISEÑO'!$D$9:$D$1508,0)),"")</f>
        <v/>
      </c>
      <c r="J527" s="53" t="str">
        <f>IF(C527="","",IF(ISNUMBER(FIND("AMU",$C$14:$C$548)),1,(SUMIF('[1]REP PRODUCCIÓN'!$H$6:$H$1505,"*"&amp;C527&amp;"*",'[1]REP PRODUCCIÓN'!$E$6:$E$1505))))</f>
        <v/>
      </c>
      <c r="K527" s="53">
        <f t="shared" ref="K527:K548" si="25">IF(B527=1,"OK",0)</f>
        <v>0</v>
      </c>
      <c r="M527" s="54" t="str">
        <f>IFERROR(INDEX('[1]REP DISEÑO'!$BA$9:$BA$1008,MATCH('INDIC-DIS2'!C527,'[1]REP DISEÑO'!$D$9:$D$1008,0)),"")</f>
        <v/>
      </c>
      <c r="N527" s="55"/>
      <c r="O527" s="55"/>
      <c r="P527" s="55"/>
      <c r="R527" s="57" t="str">
        <f t="shared" ref="R527:R548" si="26">IF(M527="","",1)</f>
        <v/>
      </c>
    </row>
    <row r="528" spans="2:18" ht="26.25" customHeight="1" x14ac:dyDescent="0.25">
      <c r="B528" s="49">
        <f t="shared" si="24"/>
        <v>0</v>
      </c>
      <c r="C528" s="50" t="str">
        <f t="array" ref="C528">IFERROR(INDEX('[1]REP DISEÑO'!$D$9:$D$1008,SMALL(IF('[1]REP DISEÑO'!$AW$9:$AW$1008=$J$1,ROW('[1]REP DISEÑO'!$N$9:$N$1008)-ROW('[1]REP DISEÑO'!$N$9),""),ROWS(C$14:C528))+1),"")</f>
        <v/>
      </c>
      <c r="D528" s="51" t="str">
        <f>IFERROR(INDEX('[1]REP DISEÑO'!$N$9:$N$1508,MATCH(C528,'[1]REP DISEÑO'!$D$9:$D$1508,0)),"")</f>
        <v/>
      </c>
      <c r="E528" s="51" t="str">
        <f>IFERROR(INDEX('[1]REP DISEÑO'!$G$9:$G$1508,MATCH(C528,'[1]REP DISEÑO'!$D$9:$D$1508,0)),"")</f>
        <v/>
      </c>
      <c r="F528" s="51" t="str">
        <f>IFERROR(INDEX('[1]REP DISEÑO'!$I$9:$I$1508,MATCH(C528,'[1]REP DISEÑO'!$D$9:$D$1508,0)),"")</f>
        <v/>
      </c>
      <c r="G528" s="51" t="str">
        <f>IFERROR(INDEX('[1]REP DISEÑO'!$M$9:$M$1508,MATCH(C528,'[1]REP DISEÑO'!$D$9:$D$1508,0)),"")</f>
        <v/>
      </c>
      <c r="H528" s="51" t="str">
        <f>IFERROR(INDEX('[1]REP DISEÑO'!$J$9:$J$1508,MATCH(C528,'[1]REP DISEÑO'!$D$9:$D$1508,0)),"")</f>
        <v/>
      </c>
      <c r="I528" s="52" t="str">
        <f>IFERROR(INDEX('[1]REP DISEÑO'!$C$9:$C$1508,MATCH(C528,'[1]REP DISEÑO'!$D$9:$D$1508,0)),"")</f>
        <v/>
      </c>
      <c r="J528" s="53" t="str">
        <f>IF(C528="","",IF(ISNUMBER(FIND("AMU",$C$14:$C$548)),1,(SUMIF('[1]REP PRODUCCIÓN'!$H$6:$H$1505,"*"&amp;C528&amp;"*",'[1]REP PRODUCCIÓN'!$E$6:$E$1505))))</f>
        <v/>
      </c>
      <c r="K528" s="53">
        <f t="shared" si="25"/>
        <v>0</v>
      </c>
      <c r="M528" s="54" t="str">
        <f>IFERROR(INDEX('[1]REP DISEÑO'!$BA$9:$BA$1008,MATCH('INDIC-DIS2'!C528,'[1]REP DISEÑO'!$D$9:$D$1008,0)),"")</f>
        <v/>
      </c>
      <c r="N528" s="55"/>
      <c r="O528" s="55"/>
      <c r="P528" s="55"/>
      <c r="R528" s="57" t="str">
        <f t="shared" si="26"/>
        <v/>
      </c>
    </row>
    <row r="529" spans="2:18" ht="26.25" customHeight="1" x14ac:dyDescent="0.25">
      <c r="B529" s="49">
        <f t="shared" si="24"/>
        <v>0</v>
      </c>
      <c r="C529" s="50" t="str">
        <f t="array" ref="C529">IFERROR(INDEX('[1]REP DISEÑO'!$D$9:$D$1008,SMALL(IF('[1]REP DISEÑO'!$AW$9:$AW$1008=$J$1,ROW('[1]REP DISEÑO'!$N$9:$N$1008)-ROW('[1]REP DISEÑO'!$N$9),""),ROWS(C$14:C529))+1),"")</f>
        <v/>
      </c>
      <c r="D529" s="51" t="str">
        <f>IFERROR(INDEX('[1]REP DISEÑO'!$N$9:$N$1508,MATCH(C529,'[1]REP DISEÑO'!$D$9:$D$1508,0)),"")</f>
        <v/>
      </c>
      <c r="E529" s="51" t="str">
        <f>IFERROR(INDEX('[1]REP DISEÑO'!$G$9:$G$1508,MATCH(C529,'[1]REP DISEÑO'!$D$9:$D$1508,0)),"")</f>
        <v/>
      </c>
      <c r="F529" s="51" t="str">
        <f>IFERROR(INDEX('[1]REP DISEÑO'!$I$9:$I$1508,MATCH(C529,'[1]REP DISEÑO'!$D$9:$D$1508,0)),"")</f>
        <v/>
      </c>
      <c r="G529" s="51" t="str">
        <f>IFERROR(INDEX('[1]REP DISEÑO'!$M$9:$M$1508,MATCH(C529,'[1]REP DISEÑO'!$D$9:$D$1508,0)),"")</f>
        <v/>
      </c>
      <c r="H529" s="51" t="str">
        <f>IFERROR(INDEX('[1]REP DISEÑO'!$J$9:$J$1508,MATCH(C529,'[1]REP DISEÑO'!$D$9:$D$1508,0)),"")</f>
        <v/>
      </c>
      <c r="I529" s="52" t="str">
        <f>IFERROR(INDEX('[1]REP DISEÑO'!$C$9:$C$1508,MATCH(C529,'[1]REP DISEÑO'!$D$9:$D$1508,0)),"")</f>
        <v/>
      </c>
      <c r="J529" s="53" t="str">
        <f>IF(C529="","",IF(ISNUMBER(FIND("AMU",$C$14:$C$548)),1,(SUMIF('[1]REP PRODUCCIÓN'!$H$6:$H$1505,"*"&amp;C529&amp;"*",'[1]REP PRODUCCIÓN'!$E$6:$E$1505))))</f>
        <v/>
      </c>
      <c r="K529" s="53">
        <f t="shared" si="25"/>
        <v>0</v>
      </c>
      <c r="M529" s="54" t="str">
        <f>IFERROR(INDEX('[1]REP DISEÑO'!$BA$9:$BA$1008,MATCH('INDIC-DIS2'!C529,'[1]REP DISEÑO'!$D$9:$D$1008,0)),"")</f>
        <v/>
      </c>
      <c r="N529" s="55"/>
      <c r="O529" s="55"/>
      <c r="P529" s="55"/>
      <c r="R529" s="57" t="str">
        <f t="shared" si="26"/>
        <v/>
      </c>
    </row>
    <row r="530" spans="2:18" ht="26.25" customHeight="1" x14ac:dyDescent="0.25">
      <c r="B530" s="49">
        <f t="shared" si="24"/>
        <v>0</v>
      </c>
      <c r="C530" s="50" t="str">
        <f t="array" ref="C530">IFERROR(INDEX('[1]REP DISEÑO'!$D$9:$D$1008,SMALL(IF('[1]REP DISEÑO'!$AW$9:$AW$1008=$J$1,ROW('[1]REP DISEÑO'!$N$9:$N$1008)-ROW('[1]REP DISEÑO'!$N$9),""),ROWS(C$14:C530))+1),"")</f>
        <v/>
      </c>
      <c r="D530" s="51" t="str">
        <f>IFERROR(INDEX('[1]REP DISEÑO'!$N$9:$N$1508,MATCH(C530,'[1]REP DISEÑO'!$D$9:$D$1508,0)),"")</f>
        <v/>
      </c>
      <c r="E530" s="51" t="str">
        <f>IFERROR(INDEX('[1]REP DISEÑO'!$G$9:$G$1508,MATCH(C530,'[1]REP DISEÑO'!$D$9:$D$1508,0)),"")</f>
        <v/>
      </c>
      <c r="F530" s="51" t="str">
        <f>IFERROR(INDEX('[1]REP DISEÑO'!$I$9:$I$1508,MATCH(C530,'[1]REP DISEÑO'!$D$9:$D$1508,0)),"")</f>
        <v/>
      </c>
      <c r="G530" s="51" t="str">
        <f>IFERROR(INDEX('[1]REP DISEÑO'!$M$9:$M$1508,MATCH(C530,'[1]REP DISEÑO'!$D$9:$D$1508,0)),"")</f>
        <v/>
      </c>
      <c r="H530" s="51" t="str">
        <f>IFERROR(INDEX('[1]REP DISEÑO'!$J$9:$J$1508,MATCH(C530,'[1]REP DISEÑO'!$D$9:$D$1508,0)),"")</f>
        <v/>
      </c>
      <c r="I530" s="52" t="str">
        <f>IFERROR(INDEX('[1]REP DISEÑO'!$C$9:$C$1508,MATCH(C530,'[1]REP DISEÑO'!$D$9:$D$1508,0)),"")</f>
        <v/>
      </c>
      <c r="J530" s="53" t="str">
        <f>IF(C530="","",IF(ISNUMBER(FIND("AMU",$C$14:$C$548)),1,(SUMIF('[1]REP PRODUCCIÓN'!$H$6:$H$1505,"*"&amp;C530&amp;"*",'[1]REP PRODUCCIÓN'!$E$6:$E$1505))))</f>
        <v/>
      </c>
      <c r="K530" s="53">
        <f t="shared" si="25"/>
        <v>0</v>
      </c>
      <c r="M530" s="54" t="str">
        <f>IFERROR(INDEX('[1]REP DISEÑO'!$BA$9:$BA$1008,MATCH('INDIC-DIS2'!C530,'[1]REP DISEÑO'!$D$9:$D$1008,0)),"")</f>
        <v/>
      </c>
      <c r="N530" s="55"/>
      <c r="O530" s="55"/>
      <c r="P530" s="55"/>
      <c r="R530" s="57" t="str">
        <f t="shared" si="26"/>
        <v/>
      </c>
    </row>
    <row r="531" spans="2:18" ht="26.25" customHeight="1" x14ac:dyDescent="0.25">
      <c r="B531" s="49">
        <f t="shared" si="24"/>
        <v>0</v>
      </c>
      <c r="C531" s="50" t="str">
        <f t="array" ref="C531">IFERROR(INDEX('[1]REP DISEÑO'!$D$9:$D$1008,SMALL(IF('[1]REP DISEÑO'!$AW$9:$AW$1008=$J$1,ROW('[1]REP DISEÑO'!$N$9:$N$1008)-ROW('[1]REP DISEÑO'!$N$9),""),ROWS(C$14:C531))+1),"")</f>
        <v/>
      </c>
      <c r="D531" s="51" t="str">
        <f>IFERROR(INDEX('[1]REP DISEÑO'!$N$9:$N$1508,MATCH(C531,'[1]REP DISEÑO'!$D$9:$D$1508,0)),"")</f>
        <v/>
      </c>
      <c r="E531" s="51" t="str">
        <f>IFERROR(INDEX('[1]REP DISEÑO'!$G$9:$G$1508,MATCH(C531,'[1]REP DISEÑO'!$D$9:$D$1508,0)),"")</f>
        <v/>
      </c>
      <c r="F531" s="51" t="str">
        <f>IFERROR(INDEX('[1]REP DISEÑO'!$I$9:$I$1508,MATCH(C531,'[1]REP DISEÑO'!$D$9:$D$1508,0)),"")</f>
        <v/>
      </c>
      <c r="G531" s="51" t="str">
        <f>IFERROR(INDEX('[1]REP DISEÑO'!$M$9:$M$1508,MATCH(C531,'[1]REP DISEÑO'!$D$9:$D$1508,0)),"")</f>
        <v/>
      </c>
      <c r="H531" s="51" t="str">
        <f>IFERROR(INDEX('[1]REP DISEÑO'!$J$9:$J$1508,MATCH(C531,'[1]REP DISEÑO'!$D$9:$D$1508,0)),"")</f>
        <v/>
      </c>
      <c r="I531" s="52" t="str">
        <f>IFERROR(INDEX('[1]REP DISEÑO'!$C$9:$C$1508,MATCH(C531,'[1]REP DISEÑO'!$D$9:$D$1508,0)),"")</f>
        <v/>
      </c>
      <c r="J531" s="53" t="str">
        <f>IF(C531="","",IF(ISNUMBER(FIND("AMU",$C$14:$C$548)),1,(SUMIF('[1]REP PRODUCCIÓN'!$H$6:$H$1505,"*"&amp;C531&amp;"*",'[1]REP PRODUCCIÓN'!$E$6:$E$1505))))</f>
        <v/>
      </c>
      <c r="K531" s="53">
        <f t="shared" si="25"/>
        <v>0</v>
      </c>
      <c r="M531" s="54" t="str">
        <f>IFERROR(INDEX('[1]REP DISEÑO'!$BA$9:$BA$1008,MATCH('INDIC-DIS2'!C531,'[1]REP DISEÑO'!$D$9:$D$1008,0)),"")</f>
        <v/>
      </c>
      <c r="N531" s="55"/>
      <c r="O531" s="55"/>
      <c r="P531" s="55"/>
      <c r="R531" s="57" t="str">
        <f t="shared" si="26"/>
        <v/>
      </c>
    </row>
    <row r="532" spans="2:18" ht="26.25" customHeight="1" x14ac:dyDescent="0.25">
      <c r="B532" s="49">
        <f t="shared" si="24"/>
        <v>0</v>
      </c>
      <c r="C532" s="50" t="str">
        <f t="array" ref="C532">IFERROR(INDEX('[1]REP DISEÑO'!$D$9:$D$1008,SMALL(IF('[1]REP DISEÑO'!$AW$9:$AW$1008=$J$1,ROW('[1]REP DISEÑO'!$N$9:$N$1008)-ROW('[1]REP DISEÑO'!$N$9),""),ROWS(C$14:C532))+1),"")</f>
        <v/>
      </c>
      <c r="D532" s="51" t="str">
        <f>IFERROR(INDEX('[1]REP DISEÑO'!$N$9:$N$1508,MATCH(C532,'[1]REP DISEÑO'!$D$9:$D$1508,0)),"")</f>
        <v/>
      </c>
      <c r="E532" s="51" t="str">
        <f>IFERROR(INDEX('[1]REP DISEÑO'!$G$9:$G$1508,MATCH(C532,'[1]REP DISEÑO'!$D$9:$D$1508,0)),"")</f>
        <v/>
      </c>
      <c r="F532" s="51" t="str">
        <f>IFERROR(INDEX('[1]REP DISEÑO'!$I$9:$I$1508,MATCH(C532,'[1]REP DISEÑO'!$D$9:$D$1508,0)),"")</f>
        <v/>
      </c>
      <c r="G532" s="51" t="str">
        <f>IFERROR(INDEX('[1]REP DISEÑO'!$M$9:$M$1508,MATCH(C532,'[1]REP DISEÑO'!$D$9:$D$1508,0)),"")</f>
        <v/>
      </c>
      <c r="H532" s="51" t="str">
        <f>IFERROR(INDEX('[1]REP DISEÑO'!$J$9:$J$1508,MATCH(C532,'[1]REP DISEÑO'!$D$9:$D$1508,0)),"")</f>
        <v/>
      </c>
      <c r="I532" s="52" t="str">
        <f>IFERROR(INDEX('[1]REP DISEÑO'!$C$9:$C$1508,MATCH(C532,'[1]REP DISEÑO'!$D$9:$D$1508,0)),"")</f>
        <v/>
      </c>
      <c r="J532" s="53" t="str">
        <f>IF(C532="","",IF(ISNUMBER(FIND("AMU",$C$14:$C$548)),1,(SUMIF('[1]REP PRODUCCIÓN'!$H$6:$H$1505,"*"&amp;C532&amp;"*",'[1]REP PRODUCCIÓN'!$E$6:$E$1505))))</f>
        <v/>
      </c>
      <c r="K532" s="53">
        <f t="shared" si="25"/>
        <v>0</v>
      </c>
      <c r="M532" s="54" t="str">
        <f>IFERROR(INDEX('[1]REP DISEÑO'!$BA$9:$BA$1008,MATCH('INDIC-DIS2'!C532,'[1]REP DISEÑO'!$D$9:$D$1008,0)),"")</f>
        <v/>
      </c>
      <c r="N532" s="55"/>
      <c r="O532" s="55"/>
      <c r="P532" s="55"/>
      <c r="R532" s="57" t="str">
        <f t="shared" si="26"/>
        <v/>
      </c>
    </row>
    <row r="533" spans="2:18" ht="26.25" customHeight="1" x14ac:dyDescent="0.25">
      <c r="B533" s="49">
        <f t="shared" si="24"/>
        <v>0</v>
      </c>
      <c r="C533" s="50" t="str">
        <f t="array" ref="C533">IFERROR(INDEX('[1]REP DISEÑO'!$D$9:$D$1008,SMALL(IF('[1]REP DISEÑO'!$AW$9:$AW$1008=$J$1,ROW('[1]REP DISEÑO'!$N$9:$N$1008)-ROW('[1]REP DISEÑO'!$N$9),""),ROWS(C$14:C533))+1),"")</f>
        <v/>
      </c>
      <c r="D533" s="51" t="str">
        <f>IFERROR(INDEX('[1]REP DISEÑO'!$N$9:$N$1508,MATCH(C533,'[1]REP DISEÑO'!$D$9:$D$1508,0)),"")</f>
        <v/>
      </c>
      <c r="E533" s="51" t="str">
        <f>IFERROR(INDEX('[1]REP DISEÑO'!$G$9:$G$1508,MATCH(C533,'[1]REP DISEÑO'!$D$9:$D$1508,0)),"")</f>
        <v/>
      </c>
      <c r="F533" s="51" t="str">
        <f>IFERROR(INDEX('[1]REP DISEÑO'!$I$9:$I$1508,MATCH(C533,'[1]REP DISEÑO'!$D$9:$D$1508,0)),"")</f>
        <v/>
      </c>
      <c r="G533" s="51" t="str">
        <f>IFERROR(INDEX('[1]REP DISEÑO'!$M$9:$M$1508,MATCH(C533,'[1]REP DISEÑO'!$D$9:$D$1508,0)),"")</f>
        <v/>
      </c>
      <c r="H533" s="51" t="str">
        <f>IFERROR(INDEX('[1]REP DISEÑO'!$J$9:$J$1508,MATCH(C533,'[1]REP DISEÑO'!$D$9:$D$1508,0)),"")</f>
        <v/>
      </c>
      <c r="I533" s="52" t="str">
        <f>IFERROR(INDEX('[1]REP DISEÑO'!$C$9:$C$1508,MATCH(C533,'[1]REP DISEÑO'!$D$9:$D$1508,0)),"")</f>
        <v/>
      </c>
      <c r="J533" s="53" t="str">
        <f>IF(C533="","",IF(ISNUMBER(FIND("AMU",$C$14:$C$548)),1,(SUMIF('[1]REP PRODUCCIÓN'!$H$6:$H$1505,"*"&amp;C533&amp;"*",'[1]REP PRODUCCIÓN'!$E$6:$E$1505))))</f>
        <v/>
      </c>
      <c r="K533" s="53">
        <f t="shared" si="25"/>
        <v>0</v>
      </c>
      <c r="M533" s="54" t="str">
        <f>IFERROR(INDEX('[1]REP DISEÑO'!$BA$9:$BA$1008,MATCH('INDIC-DIS2'!C533,'[1]REP DISEÑO'!$D$9:$D$1008,0)),"")</f>
        <v/>
      </c>
      <c r="N533" s="55"/>
      <c r="O533" s="55"/>
      <c r="P533" s="55"/>
      <c r="R533" s="57" t="str">
        <f t="shared" si="26"/>
        <v/>
      </c>
    </row>
    <row r="534" spans="2:18" ht="26.25" customHeight="1" x14ac:dyDescent="0.25">
      <c r="B534" s="49">
        <f t="shared" si="24"/>
        <v>0</v>
      </c>
      <c r="C534" s="50" t="str">
        <f t="array" ref="C534">IFERROR(INDEX('[1]REP DISEÑO'!$D$9:$D$1008,SMALL(IF('[1]REP DISEÑO'!$AW$9:$AW$1008=$J$1,ROW('[1]REP DISEÑO'!$N$9:$N$1008)-ROW('[1]REP DISEÑO'!$N$9),""),ROWS(C$14:C534))+1),"")</f>
        <v/>
      </c>
      <c r="D534" s="51" t="str">
        <f>IFERROR(INDEX('[1]REP DISEÑO'!$N$9:$N$1508,MATCH(C534,'[1]REP DISEÑO'!$D$9:$D$1508,0)),"")</f>
        <v/>
      </c>
      <c r="E534" s="51" t="str">
        <f>IFERROR(INDEX('[1]REP DISEÑO'!$G$9:$G$1508,MATCH(C534,'[1]REP DISEÑO'!$D$9:$D$1508,0)),"")</f>
        <v/>
      </c>
      <c r="F534" s="51" t="str">
        <f>IFERROR(INDEX('[1]REP DISEÑO'!$I$9:$I$1508,MATCH(C534,'[1]REP DISEÑO'!$D$9:$D$1508,0)),"")</f>
        <v/>
      </c>
      <c r="G534" s="51" t="str">
        <f>IFERROR(INDEX('[1]REP DISEÑO'!$M$9:$M$1508,MATCH(C534,'[1]REP DISEÑO'!$D$9:$D$1508,0)),"")</f>
        <v/>
      </c>
      <c r="H534" s="51" t="str">
        <f>IFERROR(INDEX('[1]REP DISEÑO'!$J$9:$J$1508,MATCH(C534,'[1]REP DISEÑO'!$D$9:$D$1508,0)),"")</f>
        <v/>
      </c>
      <c r="I534" s="52" t="str">
        <f>IFERROR(INDEX('[1]REP DISEÑO'!$C$9:$C$1508,MATCH(C534,'[1]REP DISEÑO'!$D$9:$D$1508,0)),"")</f>
        <v/>
      </c>
      <c r="J534" s="53" t="str">
        <f>IF(C534="","",IF(ISNUMBER(FIND("AMU",$C$14:$C$548)),1,(SUMIF('[1]REP PRODUCCIÓN'!$H$6:$H$1505,"*"&amp;C534&amp;"*",'[1]REP PRODUCCIÓN'!$E$6:$E$1505))))</f>
        <v/>
      </c>
      <c r="K534" s="53">
        <f t="shared" si="25"/>
        <v>0</v>
      </c>
      <c r="M534" s="54" t="str">
        <f>IFERROR(INDEX('[1]REP DISEÑO'!$BA$9:$BA$1008,MATCH('INDIC-DIS2'!C534,'[1]REP DISEÑO'!$D$9:$D$1008,0)),"")</f>
        <v/>
      </c>
      <c r="N534" s="55"/>
      <c r="O534" s="55"/>
      <c r="P534" s="55"/>
      <c r="R534" s="57" t="str">
        <f t="shared" si="26"/>
        <v/>
      </c>
    </row>
    <row r="535" spans="2:18" ht="26.25" customHeight="1" x14ac:dyDescent="0.25">
      <c r="B535" s="49">
        <f t="shared" si="24"/>
        <v>0</v>
      </c>
      <c r="C535" s="50" t="str">
        <f t="array" ref="C535">IFERROR(INDEX('[1]REP DISEÑO'!$D$9:$D$1008,SMALL(IF('[1]REP DISEÑO'!$AW$9:$AW$1008=$J$1,ROW('[1]REP DISEÑO'!$N$9:$N$1008)-ROW('[1]REP DISEÑO'!$N$9),""),ROWS(C$14:C535))+1),"")</f>
        <v/>
      </c>
      <c r="D535" s="51" t="str">
        <f>IFERROR(INDEX('[1]REP DISEÑO'!$N$9:$N$1508,MATCH(C535,'[1]REP DISEÑO'!$D$9:$D$1508,0)),"")</f>
        <v/>
      </c>
      <c r="E535" s="51" t="str">
        <f>IFERROR(INDEX('[1]REP DISEÑO'!$G$9:$G$1508,MATCH(C535,'[1]REP DISEÑO'!$D$9:$D$1508,0)),"")</f>
        <v/>
      </c>
      <c r="F535" s="51" t="str">
        <f>IFERROR(INDEX('[1]REP DISEÑO'!$I$9:$I$1508,MATCH(C535,'[1]REP DISEÑO'!$D$9:$D$1508,0)),"")</f>
        <v/>
      </c>
      <c r="G535" s="51" t="str">
        <f>IFERROR(INDEX('[1]REP DISEÑO'!$M$9:$M$1508,MATCH(C535,'[1]REP DISEÑO'!$D$9:$D$1508,0)),"")</f>
        <v/>
      </c>
      <c r="H535" s="51" t="str">
        <f>IFERROR(INDEX('[1]REP DISEÑO'!$J$9:$J$1508,MATCH(C535,'[1]REP DISEÑO'!$D$9:$D$1508,0)),"")</f>
        <v/>
      </c>
      <c r="I535" s="52" t="str">
        <f>IFERROR(INDEX('[1]REP DISEÑO'!$C$9:$C$1508,MATCH(C535,'[1]REP DISEÑO'!$D$9:$D$1508,0)),"")</f>
        <v/>
      </c>
      <c r="J535" s="53" t="str">
        <f>IF(C535="","",IF(ISNUMBER(FIND("AMU",$C$14:$C$548)),1,(SUMIF('[1]REP PRODUCCIÓN'!$H$6:$H$1505,"*"&amp;C535&amp;"*",'[1]REP PRODUCCIÓN'!$E$6:$E$1505))))</f>
        <v/>
      </c>
      <c r="K535" s="53">
        <f t="shared" si="25"/>
        <v>0</v>
      </c>
      <c r="M535" s="54" t="str">
        <f>IFERROR(INDEX('[1]REP DISEÑO'!$BA$9:$BA$1008,MATCH('INDIC-DIS2'!C535,'[1]REP DISEÑO'!$D$9:$D$1008,0)),"")</f>
        <v/>
      </c>
      <c r="N535" s="55"/>
      <c r="O535" s="55"/>
      <c r="P535" s="55"/>
      <c r="R535" s="57" t="str">
        <f t="shared" si="26"/>
        <v/>
      </c>
    </row>
    <row r="536" spans="2:18" ht="26.25" customHeight="1" x14ac:dyDescent="0.25">
      <c r="B536" s="49">
        <f t="shared" si="24"/>
        <v>0</v>
      </c>
      <c r="C536" s="50" t="str">
        <f t="array" ref="C536">IFERROR(INDEX('[1]REP DISEÑO'!$D$9:$D$1008,SMALL(IF('[1]REP DISEÑO'!$AW$9:$AW$1008=$J$1,ROW('[1]REP DISEÑO'!$N$9:$N$1008)-ROW('[1]REP DISEÑO'!$N$9),""),ROWS(C$14:C536))+1),"")</f>
        <v/>
      </c>
      <c r="D536" s="51" t="str">
        <f>IFERROR(INDEX('[1]REP DISEÑO'!$N$9:$N$1508,MATCH(C536,'[1]REP DISEÑO'!$D$9:$D$1508,0)),"")</f>
        <v/>
      </c>
      <c r="E536" s="51" t="str">
        <f>IFERROR(INDEX('[1]REP DISEÑO'!$G$9:$G$1508,MATCH(C536,'[1]REP DISEÑO'!$D$9:$D$1508,0)),"")</f>
        <v/>
      </c>
      <c r="F536" s="51" t="str">
        <f>IFERROR(INDEX('[1]REP DISEÑO'!$I$9:$I$1508,MATCH(C536,'[1]REP DISEÑO'!$D$9:$D$1508,0)),"")</f>
        <v/>
      </c>
      <c r="G536" s="51" t="str">
        <f>IFERROR(INDEX('[1]REP DISEÑO'!$M$9:$M$1508,MATCH(C536,'[1]REP DISEÑO'!$D$9:$D$1508,0)),"")</f>
        <v/>
      </c>
      <c r="H536" s="51" t="str">
        <f>IFERROR(INDEX('[1]REP DISEÑO'!$J$9:$J$1508,MATCH(C536,'[1]REP DISEÑO'!$D$9:$D$1508,0)),"")</f>
        <v/>
      </c>
      <c r="I536" s="52" t="str">
        <f>IFERROR(INDEX('[1]REP DISEÑO'!$C$9:$C$1508,MATCH(C536,'[1]REP DISEÑO'!$D$9:$D$1508,0)),"")</f>
        <v/>
      </c>
      <c r="J536" s="53" t="str">
        <f>IF(C536="","",IF(ISNUMBER(FIND("AMU",$C$14:$C$548)),1,(SUMIF('[1]REP PRODUCCIÓN'!$H$6:$H$1505,"*"&amp;C536&amp;"*",'[1]REP PRODUCCIÓN'!$E$6:$E$1505))))</f>
        <v/>
      </c>
      <c r="K536" s="53">
        <f t="shared" si="25"/>
        <v>0</v>
      </c>
      <c r="M536" s="54" t="str">
        <f>IFERROR(INDEX('[1]REP DISEÑO'!$BA$9:$BA$1008,MATCH('INDIC-DIS2'!C536,'[1]REP DISEÑO'!$D$9:$D$1008,0)),"")</f>
        <v/>
      </c>
      <c r="N536" s="55"/>
      <c r="O536" s="55"/>
      <c r="P536" s="55"/>
      <c r="R536" s="57" t="str">
        <f t="shared" si="26"/>
        <v/>
      </c>
    </row>
    <row r="537" spans="2:18" ht="26.25" customHeight="1" x14ac:dyDescent="0.25">
      <c r="B537" s="49">
        <f t="shared" si="24"/>
        <v>0</v>
      </c>
      <c r="C537" s="50" t="str">
        <f t="array" ref="C537">IFERROR(INDEX('[1]REP DISEÑO'!$D$9:$D$1008,SMALL(IF('[1]REP DISEÑO'!$AW$9:$AW$1008=$J$1,ROW('[1]REP DISEÑO'!$N$9:$N$1008)-ROW('[1]REP DISEÑO'!$N$9),""),ROWS(C$14:C537))+1),"")</f>
        <v/>
      </c>
      <c r="D537" s="51" t="str">
        <f>IFERROR(INDEX('[1]REP DISEÑO'!$N$9:$N$1508,MATCH(C537,'[1]REP DISEÑO'!$D$9:$D$1508,0)),"")</f>
        <v/>
      </c>
      <c r="E537" s="51" t="str">
        <f>IFERROR(INDEX('[1]REP DISEÑO'!$G$9:$G$1508,MATCH(C537,'[1]REP DISEÑO'!$D$9:$D$1508,0)),"")</f>
        <v/>
      </c>
      <c r="F537" s="51" t="str">
        <f>IFERROR(INDEX('[1]REP DISEÑO'!$I$9:$I$1508,MATCH(C537,'[1]REP DISEÑO'!$D$9:$D$1508,0)),"")</f>
        <v/>
      </c>
      <c r="G537" s="51" t="str">
        <f>IFERROR(INDEX('[1]REP DISEÑO'!$M$9:$M$1508,MATCH(C537,'[1]REP DISEÑO'!$D$9:$D$1508,0)),"")</f>
        <v/>
      </c>
      <c r="H537" s="51" t="str">
        <f>IFERROR(INDEX('[1]REP DISEÑO'!$J$9:$J$1508,MATCH(C537,'[1]REP DISEÑO'!$D$9:$D$1508,0)),"")</f>
        <v/>
      </c>
      <c r="I537" s="52" t="str">
        <f>IFERROR(INDEX('[1]REP DISEÑO'!$C$9:$C$1508,MATCH(C537,'[1]REP DISEÑO'!$D$9:$D$1508,0)),"")</f>
        <v/>
      </c>
      <c r="J537" s="53" t="str">
        <f>IF(C537="","",IF(ISNUMBER(FIND("AMU",$C$14:$C$548)),1,(SUMIF('[1]REP PRODUCCIÓN'!$H$6:$H$1505,"*"&amp;C537&amp;"*",'[1]REP PRODUCCIÓN'!$E$6:$E$1505))))</f>
        <v/>
      </c>
      <c r="K537" s="53">
        <f t="shared" si="25"/>
        <v>0</v>
      </c>
      <c r="M537" s="54" t="str">
        <f>IFERROR(INDEX('[1]REP DISEÑO'!$BA$9:$BA$1008,MATCH('INDIC-DIS2'!C537,'[1]REP DISEÑO'!$D$9:$D$1008,0)),"")</f>
        <v/>
      </c>
      <c r="N537" s="55"/>
      <c r="O537" s="55"/>
      <c r="P537" s="55"/>
      <c r="R537" s="57" t="str">
        <f t="shared" si="26"/>
        <v/>
      </c>
    </row>
    <row r="538" spans="2:18" ht="26.25" customHeight="1" x14ac:dyDescent="0.25">
      <c r="B538" s="49">
        <f t="shared" si="24"/>
        <v>0</v>
      </c>
      <c r="C538" s="50" t="str">
        <f t="array" ref="C538">IFERROR(INDEX('[1]REP DISEÑO'!$D$9:$D$1008,SMALL(IF('[1]REP DISEÑO'!$AW$9:$AW$1008=$J$1,ROW('[1]REP DISEÑO'!$N$9:$N$1008)-ROW('[1]REP DISEÑO'!$N$9),""),ROWS(C$14:C538))+1),"")</f>
        <v/>
      </c>
      <c r="D538" s="51" t="str">
        <f>IFERROR(INDEX('[1]REP DISEÑO'!$N$9:$N$1508,MATCH(C538,'[1]REP DISEÑO'!$D$9:$D$1508,0)),"")</f>
        <v/>
      </c>
      <c r="E538" s="51" t="str">
        <f>IFERROR(INDEX('[1]REP DISEÑO'!$G$9:$G$1508,MATCH(C538,'[1]REP DISEÑO'!$D$9:$D$1508,0)),"")</f>
        <v/>
      </c>
      <c r="F538" s="51" t="str">
        <f>IFERROR(INDEX('[1]REP DISEÑO'!$I$9:$I$1508,MATCH(C538,'[1]REP DISEÑO'!$D$9:$D$1508,0)),"")</f>
        <v/>
      </c>
      <c r="G538" s="51" t="str">
        <f>IFERROR(INDEX('[1]REP DISEÑO'!$M$9:$M$1508,MATCH(C538,'[1]REP DISEÑO'!$D$9:$D$1508,0)),"")</f>
        <v/>
      </c>
      <c r="H538" s="51" t="str">
        <f>IFERROR(INDEX('[1]REP DISEÑO'!$J$9:$J$1508,MATCH(C538,'[1]REP DISEÑO'!$D$9:$D$1508,0)),"")</f>
        <v/>
      </c>
      <c r="I538" s="52" t="str">
        <f>IFERROR(INDEX('[1]REP DISEÑO'!$C$9:$C$1508,MATCH(C538,'[1]REP DISEÑO'!$D$9:$D$1508,0)),"")</f>
        <v/>
      </c>
      <c r="J538" s="53" t="str">
        <f>IF(C538="","",IF(ISNUMBER(FIND("AMU",$C$14:$C$548)),1,(SUMIF('[1]REP PRODUCCIÓN'!$H$6:$H$1505,"*"&amp;C538&amp;"*",'[1]REP PRODUCCIÓN'!$E$6:$E$1505))))</f>
        <v/>
      </c>
      <c r="K538" s="53">
        <f t="shared" si="25"/>
        <v>0</v>
      </c>
      <c r="M538" s="54" t="str">
        <f>IFERROR(INDEX('[1]REP DISEÑO'!$BA$9:$BA$1008,MATCH('INDIC-DIS2'!C538,'[1]REP DISEÑO'!$D$9:$D$1008,0)),"")</f>
        <v/>
      </c>
      <c r="N538" s="55"/>
      <c r="O538" s="55"/>
      <c r="P538" s="55"/>
      <c r="R538" s="57" t="str">
        <f t="shared" si="26"/>
        <v/>
      </c>
    </row>
    <row r="539" spans="2:18" ht="26.25" customHeight="1" x14ac:dyDescent="0.25">
      <c r="B539" s="49">
        <f t="shared" si="24"/>
        <v>0</v>
      </c>
      <c r="C539" s="50" t="str">
        <f t="array" ref="C539">IFERROR(INDEX('[1]REP DISEÑO'!$D$9:$D$1008,SMALL(IF('[1]REP DISEÑO'!$AW$9:$AW$1008=$J$1,ROW('[1]REP DISEÑO'!$N$9:$N$1008)-ROW('[1]REP DISEÑO'!$N$9),""),ROWS(C$14:C539))+1),"")</f>
        <v/>
      </c>
      <c r="D539" s="51" t="str">
        <f>IFERROR(INDEX('[1]REP DISEÑO'!$N$9:$N$1508,MATCH(C539,'[1]REP DISEÑO'!$D$9:$D$1508,0)),"")</f>
        <v/>
      </c>
      <c r="E539" s="51" t="str">
        <f>IFERROR(INDEX('[1]REP DISEÑO'!$G$9:$G$1508,MATCH(C539,'[1]REP DISEÑO'!$D$9:$D$1508,0)),"")</f>
        <v/>
      </c>
      <c r="F539" s="51" t="str">
        <f>IFERROR(INDEX('[1]REP DISEÑO'!$I$9:$I$1508,MATCH(C539,'[1]REP DISEÑO'!$D$9:$D$1508,0)),"")</f>
        <v/>
      </c>
      <c r="G539" s="51" t="str">
        <f>IFERROR(INDEX('[1]REP DISEÑO'!$M$9:$M$1508,MATCH(C539,'[1]REP DISEÑO'!$D$9:$D$1508,0)),"")</f>
        <v/>
      </c>
      <c r="H539" s="51" t="str">
        <f>IFERROR(INDEX('[1]REP DISEÑO'!$J$9:$J$1508,MATCH(C539,'[1]REP DISEÑO'!$D$9:$D$1508,0)),"")</f>
        <v/>
      </c>
      <c r="I539" s="52" t="str">
        <f>IFERROR(INDEX('[1]REP DISEÑO'!$C$9:$C$1508,MATCH(C539,'[1]REP DISEÑO'!$D$9:$D$1508,0)),"")</f>
        <v/>
      </c>
      <c r="J539" s="53" t="str">
        <f>IF(C539="","",IF(ISNUMBER(FIND("AMU",$C$14:$C$548)),1,(SUMIF('[1]REP PRODUCCIÓN'!$H$6:$H$1505,"*"&amp;C539&amp;"*",'[1]REP PRODUCCIÓN'!$E$6:$E$1505))))</f>
        <v/>
      </c>
      <c r="K539" s="53">
        <f t="shared" si="25"/>
        <v>0</v>
      </c>
      <c r="M539" s="54" t="str">
        <f>IFERROR(INDEX('[1]REP DISEÑO'!$BA$9:$BA$1008,MATCH('INDIC-DIS2'!C539,'[1]REP DISEÑO'!$D$9:$D$1008,0)),"")</f>
        <v/>
      </c>
      <c r="N539" s="55"/>
      <c r="O539" s="55"/>
      <c r="P539" s="55"/>
      <c r="R539" s="57" t="str">
        <f t="shared" si="26"/>
        <v/>
      </c>
    </row>
    <row r="540" spans="2:18" ht="26.25" customHeight="1" x14ac:dyDescent="0.25">
      <c r="B540" s="49">
        <f t="shared" si="24"/>
        <v>0</v>
      </c>
      <c r="C540" s="50" t="str">
        <f t="array" ref="C540">IFERROR(INDEX('[1]REP DISEÑO'!$D$9:$D$1008,SMALL(IF('[1]REP DISEÑO'!$AW$9:$AW$1008=$J$1,ROW('[1]REP DISEÑO'!$N$9:$N$1008)-ROW('[1]REP DISEÑO'!$N$9),""),ROWS(C$14:C540))+1),"")</f>
        <v/>
      </c>
      <c r="D540" s="51" t="str">
        <f>IFERROR(INDEX('[1]REP DISEÑO'!$N$9:$N$1508,MATCH(C540,'[1]REP DISEÑO'!$D$9:$D$1508,0)),"")</f>
        <v/>
      </c>
      <c r="E540" s="51" t="str">
        <f>IFERROR(INDEX('[1]REP DISEÑO'!$G$9:$G$1508,MATCH(C540,'[1]REP DISEÑO'!$D$9:$D$1508,0)),"")</f>
        <v/>
      </c>
      <c r="F540" s="51" t="str">
        <f>IFERROR(INDEX('[1]REP DISEÑO'!$I$9:$I$1508,MATCH(C540,'[1]REP DISEÑO'!$D$9:$D$1508,0)),"")</f>
        <v/>
      </c>
      <c r="G540" s="51" t="str">
        <f>IFERROR(INDEX('[1]REP DISEÑO'!$M$9:$M$1508,MATCH(C540,'[1]REP DISEÑO'!$D$9:$D$1508,0)),"")</f>
        <v/>
      </c>
      <c r="H540" s="51" t="str">
        <f>IFERROR(INDEX('[1]REP DISEÑO'!$J$9:$J$1508,MATCH(C540,'[1]REP DISEÑO'!$D$9:$D$1508,0)),"")</f>
        <v/>
      </c>
      <c r="I540" s="52" t="str">
        <f>IFERROR(INDEX('[1]REP DISEÑO'!$C$9:$C$1508,MATCH(C540,'[1]REP DISEÑO'!$D$9:$D$1508,0)),"")</f>
        <v/>
      </c>
      <c r="J540" s="53" t="str">
        <f>IF(C540="","",IF(ISNUMBER(FIND("AMU",$C$14:$C$548)),1,(SUMIF('[1]REP PRODUCCIÓN'!$H$6:$H$1505,"*"&amp;C540&amp;"*",'[1]REP PRODUCCIÓN'!$E$6:$E$1505))))</f>
        <v/>
      </c>
      <c r="K540" s="53">
        <f t="shared" si="25"/>
        <v>0</v>
      </c>
      <c r="M540" s="54" t="str">
        <f>IFERROR(INDEX('[1]REP DISEÑO'!$BA$9:$BA$1008,MATCH('INDIC-DIS2'!C540,'[1]REP DISEÑO'!$D$9:$D$1008,0)),"")</f>
        <v/>
      </c>
      <c r="N540" s="55"/>
      <c r="O540" s="55"/>
      <c r="P540" s="55"/>
      <c r="R540" s="57" t="str">
        <f t="shared" si="26"/>
        <v/>
      </c>
    </row>
    <row r="541" spans="2:18" ht="26.25" customHeight="1" x14ac:dyDescent="0.25">
      <c r="B541" s="49">
        <f t="shared" si="24"/>
        <v>0</v>
      </c>
      <c r="C541" s="50" t="str">
        <f t="array" ref="C541">IFERROR(INDEX('[1]REP DISEÑO'!$D$9:$D$1008,SMALL(IF('[1]REP DISEÑO'!$AW$9:$AW$1008=$J$1,ROW('[1]REP DISEÑO'!$N$9:$N$1008)-ROW('[1]REP DISEÑO'!$N$9),""),ROWS(C$14:C541))+1),"")</f>
        <v/>
      </c>
      <c r="D541" s="51" t="str">
        <f>IFERROR(INDEX('[1]REP DISEÑO'!$N$9:$N$1508,MATCH(C541,'[1]REP DISEÑO'!$D$9:$D$1508,0)),"")</f>
        <v/>
      </c>
      <c r="E541" s="51" t="str">
        <f>IFERROR(INDEX('[1]REP DISEÑO'!$G$9:$G$1508,MATCH(C541,'[1]REP DISEÑO'!$D$9:$D$1508,0)),"")</f>
        <v/>
      </c>
      <c r="F541" s="51" t="str">
        <f>IFERROR(INDEX('[1]REP DISEÑO'!$I$9:$I$1508,MATCH(C541,'[1]REP DISEÑO'!$D$9:$D$1508,0)),"")</f>
        <v/>
      </c>
      <c r="G541" s="51" t="str">
        <f>IFERROR(INDEX('[1]REP DISEÑO'!$M$9:$M$1508,MATCH(C541,'[1]REP DISEÑO'!$D$9:$D$1508,0)),"")</f>
        <v/>
      </c>
      <c r="H541" s="51" t="str">
        <f>IFERROR(INDEX('[1]REP DISEÑO'!$J$9:$J$1508,MATCH(C541,'[1]REP DISEÑO'!$D$9:$D$1508,0)),"")</f>
        <v/>
      </c>
      <c r="I541" s="52" t="str">
        <f>IFERROR(INDEX('[1]REP DISEÑO'!$C$9:$C$1508,MATCH(C541,'[1]REP DISEÑO'!$D$9:$D$1508,0)),"")</f>
        <v/>
      </c>
      <c r="J541" s="53" t="str">
        <f>IF(C541="","",IF(ISNUMBER(FIND("AMU",$C$14:$C$548)),1,(SUMIF('[1]REP PRODUCCIÓN'!$H$6:$H$1505,"*"&amp;C541&amp;"*",'[1]REP PRODUCCIÓN'!$E$6:$E$1505))))</f>
        <v/>
      </c>
      <c r="K541" s="53">
        <f t="shared" si="25"/>
        <v>0</v>
      </c>
      <c r="M541" s="54" t="str">
        <f>IFERROR(INDEX('[1]REP DISEÑO'!$BA$9:$BA$1008,MATCH('INDIC-DIS2'!C541,'[1]REP DISEÑO'!$D$9:$D$1008,0)),"")</f>
        <v/>
      </c>
      <c r="N541" s="55"/>
      <c r="O541" s="55"/>
      <c r="P541" s="55"/>
      <c r="R541" s="57" t="str">
        <f t="shared" si="26"/>
        <v/>
      </c>
    </row>
    <row r="542" spans="2:18" ht="26.25" customHeight="1" x14ac:dyDescent="0.25">
      <c r="B542" s="49">
        <f t="shared" si="24"/>
        <v>0</v>
      </c>
      <c r="C542" s="50" t="str">
        <f t="array" ref="C542">IFERROR(INDEX('[1]REP DISEÑO'!$D$9:$D$1008,SMALL(IF('[1]REP DISEÑO'!$AW$9:$AW$1008=$J$1,ROW('[1]REP DISEÑO'!$N$9:$N$1008)-ROW('[1]REP DISEÑO'!$N$9),""),ROWS(C$14:C542))+1),"")</f>
        <v/>
      </c>
      <c r="D542" s="51" t="str">
        <f>IFERROR(INDEX('[1]REP DISEÑO'!$N$9:$N$1508,MATCH(C542,'[1]REP DISEÑO'!$D$9:$D$1508,0)),"")</f>
        <v/>
      </c>
      <c r="E542" s="51" t="str">
        <f>IFERROR(INDEX('[1]REP DISEÑO'!$G$9:$G$1508,MATCH(C542,'[1]REP DISEÑO'!$D$9:$D$1508,0)),"")</f>
        <v/>
      </c>
      <c r="F542" s="51" t="str">
        <f>IFERROR(INDEX('[1]REP DISEÑO'!$I$9:$I$1508,MATCH(C542,'[1]REP DISEÑO'!$D$9:$D$1508,0)),"")</f>
        <v/>
      </c>
      <c r="G542" s="51" t="str">
        <f>IFERROR(INDEX('[1]REP DISEÑO'!$M$9:$M$1508,MATCH(C542,'[1]REP DISEÑO'!$D$9:$D$1508,0)),"")</f>
        <v/>
      </c>
      <c r="H542" s="51" t="str">
        <f>IFERROR(INDEX('[1]REP DISEÑO'!$J$9:$J$1508,MATCH(C542,'[1]REP DISEÑO'!$D$9:$D$1508,0)),"")</f>
        <v/>
      </c>
      <c r="I542" s="52" t="str">
        <f>IFERROR(INDEX('[1]REP DISEÑO'!$C$9:$C$1508,MATCH(C542,'[1]REP DISEÑO'!$D$9:$D$1508,0)),"")</f>
        <v/>
      </c>
      <c r="J542" s="53" t="str">
        <f>IF(C542="","",IF(ISNUMBER(FIND("AMU",$C$14:$C$548)),1,(SUMIF('[1]REP PRODUCCIÓN'!$H$6:$H$1505,"*"&amp;C542&amp;"*",'[1]REP PRODUCCIÓN'!$E$6:$E$1505))))</f>
        <v/>
      </c>
      <c r="K542" s="53">
        <f t="shared" si="25"/>
        <v>0</v>
      </c>
      <c r="M542" s="54" t="str">
        <f>IFERROR(INDEX('[1]REP DISEÑO'!$BA$9:$BA$1008,MATCH('INDIC-DIS2'!C542,'[1]REP DISEÑO'!$D$9:$D$1008,0)),"")</f>
        <v/>
      </c>
      <c r="N542" s="55"/>
      <c r="O542" s="55"/>
      <c r="P542" s="55"/>
      <c r="R542" s="57" t="str">
        <f t="shared" si="26"/>
        <v/>
      </c>
    </row>
    <row r="543" spans="2:18" ht="26.25" customHeight="1" x14ac:dyDescent="0.25">
      <c r="B543" s="49">
        <f t="shared" si="24"/>
        <v>0</v>
      </c>
      <c r="C543" s="50" t="str">
        <f t="array" ref="C543">IFERROR(INDEX('[1]REP DISEÑO'!$D$9:$D$1008,SMALL(IF('[1]REP DISEÑO'!$AW$9:$AW$1008=$J$1,ROW('[1]REP DISEÑO'!$N$9:$N$1008)-ROW('[1]REP DISEÑO'!$N$9),""),ROWS(C$14:C543))+1),"")</f>
        <v/>
      </c>
      <c r="D543" s="51" t="str">
        <f>IFERROR(INDEX('[1]REP DISEÑO'!$N$9:$N$1508,MATCH(C543,'[1]REP DISEÑO'!$D$9:$D$1508,0)),"")</f>
        <v/>
      </c>
      <c r="E543" s="51" t="str">
        <f>IFERROR(INDEX('[1]REP DISEÑO'!$G$9:$G$1508,MATCH(C543,'[1]REP DISEÑO'!$D$9:$D$1508,0)),"")</f>
        <v/>
      </c>
      <c r="F543" s="51" t="str">
        <f>IFERROR(INDEX('[1]REP DISEÑO'!$I$9:$I$1508,MATCH(C543,'[1]REP DISEÑO'!$D$9:$D$1508,0)),"")</f>
        <v/>
      </c>
      <c r="G543" s="51" t="str">
        <f>IFERROR(INDEX('[1]REP DISEÑO'!$M$9:$M$1508,MATCH(C543,'[1]REP DISEÑO'!$D$9:$D$1508,0)),"")</f>
        <v/>
      </c>
      <c r="H543" s="51" t="str">
        <f>IFERROR(INDEX('[1]REP DISEÑO'!$J$9:$J$1508,MATCH(C543,'[1]REP DISEÑO'!$D$9:$D$1508,0)),"")</f>
        <v/>
      </c>
      <c r="I543" s="52" t="str">
        <f>IFERROR(INDEX('[1]REP DISEÑO'!$C$9:$C$1508,MATCH(C543,'[1]REP DISEÑO'!$D$9:$D$1508,0)),"")</f>
        <v/>
      </c>
      <c r="J543" s="53" t="str">
        <f>IF(C543="","",IF(ISNUMBER(FIND("AMU",$C$14:$C$548)),1,(SUMIF('[1]REP PRODUCCIÓN'!$H$6:$H$1505,"*"&amp;C543&amp;"*",'[1]REP PRODUCCIÓN'!$E$6:$E$1505))))</f>
        <v/>
      </c>
      <c r="K543" s="53">
        <f t="shared" si="25"/>
        <v>0</v>
      </c>
      <c r="M543" s="54" t="str">
        <f>IFERROR(INDEX('[1]REP DISEÑO'!$BA$9:$BA$1008,MATCH('INDIC-DIS2'!C543,'[1]REP DISEÑO'!$D$9:$D$1008,0)),"")</f>
        <v/>
      </c>
      <c r="N543" s="55"/>
      <c r="O543" s="55"/>
      <c r="P543" s="55"/>
      <c r="R543" s="57" t="str">
        <f t="shared" si="26"/>
        <v/>
      </c>
    </row>
    <row r="544" spans="2:18" ht="26.25" customHeight="1" x14ac:dyDescent="0.25">
      <c r="B544" s="49">
        <f t="shared" si="24"/>
        <v>0</v>
      </c>
      <c r="C544" s="50" t="str">
        <f t="array" ref="C544">IFERROR(INDEX('[1]REP DISEÑO'!$D$9:$D$1008,SMALL(IF('[1]REP DISEÑO'!$AW$9:$AW$1008=$J$1,ROW('[1]REP DISEÑO'!$N$9:$N$1008)-ROW('[1]REP DISEÑO'!$N$9),""),ROWS(C$14:C544))+1),"")</f>
        <v/>
      </c>
      <c r="D544" s="51" t="str">
        <f>IFERROR(INDEX('[1]REP DISEÑO'!$N$9:$N$1508,MATCH(C544,'[1]REP DISEÑO'!$D$9:$D$1508,0)),"")</f>
        <v/>
      </c>
      <c r="E544" s="51" t="str">
        <f>IFERROR(INDEX('[1]REP DISEÑO'!$G$9:$G$1508,MATCH(C544,'[1]REP DISEÑO'!$D$9:$D$1508,0)),"")</f>
        <v/>
      </c>
      <c r="F544" s="51" t="str">
        <f>IFERROR(INDEX('[1]REP DISEÑO'!$I$9:$I$1508,MATCH(C544,'[1]REP DISEÑO'!$D$9:$D$1508,0)),"")</f>
        <v/>
      </c>
      <c r="G544" s="51" t="str">
        <f>IFERROR(INDEX('[1]REP DISEÑO'!$M$9:$M$1508,MATCH(C544,'[1]REP DISEÑO'!$D$9:$D$1508,0)),"")</f>
        <v/>
      </c>
      <c r="H544" s="51" t="str">
        <f>IFERROR(INDEX('[1]REP DISEÑO'!$J$9:$J$1508,MATCH(C544,'[1]REP DISEÑO'!$D$9:$D$1508,0)),"")</f>
        <v/>
      </c>
      <c r="I544" s="52" t="str">
        <f>IFERROR(INDEX('[1]REP DISEÑO'!$C$9:$C$1508,MATCH(C544,'[1]REP DISEÑO'!$D$9:$D$1508,0)),"")</f>
        <v/>
      </c>
      <c r="J544" s="53" t="str">
        <f>IF(C544="","",IF(ISNUMBER(FIND("AMU",$C$14:$C$548)),1,(SUMIF('[1]REP PRODUCCIÓN'!$H$6:$H$1505,"*"&amp;C544&amp;"*",'[1]REP PRODUCCIÓN'!$E$6:$E$1505))))</f>
        <v/>
      </c>
      <c r="K544" s="53">
        <f t="shared" si="25"/>
        <v>0</v>
      </c>
      <c r="M544" s="54" t="str">
        <f>IFERROR(INDEX('[1]REP DISEÑO'!$BA$9:$BA$1008,MATCH('INDIC-DIS2'!C544,'[1]REP DISEÑO'!$D$9:$D$1008,0)),"")</f>
        <v/>
      </c>
      <c r="N544" s="55"/>
      <c r="O544" s="55"/>
      <c r="P544" s="55"/>
      <c r="R544" s="57" t="str">
        <f t="shared" si="26"/>
        <v/>
      </c>
    </row>
    <row r="545" spans="2:18" ht="26.25" customHeight="1" x14ac:dyDescent="0.25">
      <c r="B545" s="49">
        <f t="shared" si="24"/>
        <v>0</v>
      </c>
      <c r="C545" s="50" t="str">
        <f t="array" ref="C545">IFERROR(INDEX('[1]REP DISEÑO'!$D$9:$D$1008,SMALL(IF('[1]REP DISEÑO'!$AW$9:$AW$1008=$J$1,ROW('[1]REP DISEÑO'!$N$9:$N$1008)-ROW('[1]REP DISEÑO'!$N$9),""),ROWS(C$14:C545))+1),"")</f>
        <v/>
      </c>
      <c r="D545" s="51" t="str">
        <f>IFERROR(INDEX('[1]REP DISEÑO'!$N$9:$N$1508,MATCH(C545,'[1]REP DISEÑO'!$D$9:$D$1508,0)),"")</f>
        <v/>
      </c>
      <c r="E545" s="51" t="str">
        <f>IFERROR(INDEX('[1]REP DISEÑO'!$G$9:$G$1508,MATCH(C545,'[1]REP DISEÑO'!$D$9:$D$1508,0)),"")</f>
        <v/>
      </c>
      <c r="F545" s="51" t="str">
        <f>IFERROR(INDEX('[1]REP DISEÑO'!$I$9:$I$1508,MATCH(C545,'[1]REP DISEÑO'!$D$9:$D$1508,0)),"")</f>
        <v/>
      </c>
      <c r="G545" s="51" t="str">
        <f>IFERROR(INDEX('[1]REP DISEÑO'!$M$9:$M$1508,MATCH(C545,'[1]REP DISEÑO'!$D$9:$D$1508,0)),"")</f>
        <v/>
      </c>
      <c r="H545" s="51" t="str">
        <f>IFERROR(INDEX('[1]REP DISEÑO'!$J$9:$J$1508,MATCH(C545,'[1]REP DISEÑO'!$D$9:$D$1508,0)),"")</f>
        <v/>
      </c>
      <c r="I545" s="52" t="str">
        <f>IFERROR(INDEX('[1]REP DISEÑO'!$C$9:$C$1508,MATCH(C545,'[1]REP DISEÑO'!$D$9:$D$1508,0)),"")</f>
        <v/>
      </c>
      <c r="J545" s="53" t="str">
        <f>IF(C545="","",IF(ISNUMBER(FIND("AMU",$C$14:$C$548)),1,(SUMIF('[1]REP PRODUCCIÓN'!$H$6:$H$1505,"*"&amp;C545&amp;"*",'[1]REP PRODUCCIÓN'!$E$6:$E$1505))))</f>
        <v/>
      </c>
      <c r="K545" s="53">
        <f t="shared" si="25"/>
        <v>0</v>
      </c>
      <c r="M545" s="54" t="str">
        <f>IFERROR(INDEX('[1]REP DISEÑO'!$BA$9:$BA$1008,MATCH('INDIC-DIS2'!C545,'[1]REP DISEÑO'!$D$9:$D$1008,0)),"")</f>
        <v/>
      </c>
      <c r="N545" s="55"/>
      <c r="O545" s="55"/>
      <c r="P545" s="55"/>
      <c r="R545" s="57" t="str">
        <f t="shared" si="26"/>
        <v/>
      </c>
    </row>
    <row r="546" spans="2:18" ht="26.25" customHeight="1" x14ac:dyDescent="0.25">
      <c r="B546" s="49">
        <f t="shared" si="24"/>
        <v>0</v>
      </c>
      <c r="C546" s="50" t="str">
        <f t="array" ref="C546">IFERROR(INDEX('[1]REP DISEÑO'!$D$9:$D$1008,SMALL(IF('[1]REP DISEÑO'!$AW$9:$AW$1008=$J$1,ROW('[1]REP DISEÑO'!$N$9:$N$1008)-ROW('[1]REP DISEÑO'!$N$9),""),ROWS(C$14:C546))+1),"")</f>
        <v/>
      </c>
      <c r="D546" s="51" t="str">
        <f>IFERROR(INDEX('[1]REP DISEÑO'!$N$9:$N$1508,MATCH(C546,'[1]REP DISEÑO'!$D$9:$D$1508,0)),"")</f>
        <v/>
      </c>
      <c r="E546" s="51" t="str">
        <f>IFERROR(INDEX('[1]REP DISEÑO'!$G$9:$G$1508,MATCH(C546,'[1]REP DISEÑO'!$D$9:$D$1508,0)),"")</f>
        <v/>
      </c>
      <c r="F546" s="51" t="str">
        <f>IFERROR(INDEX('[1]REP DISEÑO'!$I$9:$I$1508,MATCH(C546,'[1]REP DISEÑO'!$D$9:$D$1508,0)),"")</f>
        <v/>
      </c>
      <c r="G546" s="51" t="str">
        <f>IFERROR(INDEX('[1]REP DISEÑO'!$M$9:$M$1508,MATCH(C546,'[1]REP DISEÑO'!$D$9:$D$1508,0)),"")</f>
        <v/>
      </c>
      <c r="H546" s="51" t="str">
        <f>IFERROR(INDEX('[1]REP DISEÑO'!$J$9:$J$1508,MATCH(C546,'[1]REP DISEÑO'!$D$9:$D$1508,0)),"")</f>
        <v/>
      </c>
      <c r="I546" s="52" t="str">
        <f>IFERROR(INDEX('[1]REP DISEÑO'!$C$9:$C$1508,MATCH(C546,'[1]REP DISEÑO'!$D$9:$D$1508,0)),"")</f>
        <v/>
      </c>
      <c r="J546" s="53" t="str">
        <f>IF(C546="","",IF(ISNUMBER(FIND("AMU",$C$14:$C$548)),1,(SUMIF('[1]REP PRODUCCIÓN'!$H$6:$H$1505,"*"&amp;C546&amp;"*",'[1]REP PRODUCCIÓN'!$E$6:$E$1505))))</f>
        <v/>
      </c>
      <c r="K546" s="53">
        <f t="shared" si="25"/>
        <v>0</v>
      </c>
      <c r="M546" s="54" t="str">
        <f>IFERROR(INDEX('[1]REP DISEÑO'!$BA$9:$BA$1008,MATCH('INDIC-DIS2'!C546,'[1]REP DISEÑO'!$D$9:$D$1008,0)),"")</f>
        <v/>
      </c>
      <c r="N546" s="55"/>
      <c r="O546" s="55"/>
      <c r="P546" s="55"/>
      <c r="R546" s="57" t="str">
        <f t="shared" si="26"/>
        <v/>
      </c>
    </row>
    <row r="547" spans="2:18" ht="26.25" customHeight="1" x14ac:dyDescent="0.25">
      <c r="B547" s="49">
        <f t="shared" si="24"/>
        <v>0</v>
      </c>
      <c r="C547" s="50" t="str">
        <f t="array" ref="C547">IFERROR(INDEX('[1]REP DISEÑO'!$D$9:$D$1008,SMALL(IF('[1]REP DISEÑO'!$AW$9:$AW$1008=$J$1,ROW('[1]REP DISEÑO'!$N$9:$N$1008)-ROW('[1]REP DISEÑO'!$N$9),""),ROWS(C$14:C547))+1),"")</f>
        <v/>
      </c>
      <c r="D547" s="51" t="str">
        <f>IFERROR(INDEX('[1]REP DISEÑO'!$N$9:$N$1508,MATCH(C547,'[1]REP DISEÑO'!$D$9:$D$1508,0)),"")</f>
        <v/>
      </c>
      <c r="E547" s="51" t="str">
        <f>IFERROR(INDEX('[1]REP DISEÑO'!$G$9:$G$1508,MATCH(C547,'[1]REP DISEÑO'!$D$9:$D$1508,0)),"")</f>
        <v/>
      </c>
      <c r="F547" s="51" t="str">
        <f>IFERROR(INDEX('[1]REP DISEÑO'!$I$9:$I$1508,MATCH(C547,'[1]REP DISEÑO'!$D$9:$D$1508,0)),"")</f>
        <v/>
      </c>
      <c r="G547" s="51" t="str">
        <f>IFERROR(INDEX('[1]REP DISEÑO'!$M$9:$M$1508,MATCH(C547,'[1]REP DISEÑO'!$D$9:$D$1508,0)),"")</f>
        <v/>
      </c>
      <c r="H547" s="51" t="str">
        <f>IFERROR(INDEX('[1]REP DISEÑO'!$J$9:$J$1508,MATCH(C547,'[1]REP DISEÑO'!$D$9:$D$1508,0)),"")</f>
        <v/>
      </c>
      <c r="I547" s="52" t="str">
        <f>IFERROR(INDEX('[1]REP DISEÑO'!$C$9:$C$1508,MATCH(C547,'[1]REP DISEÑO'!$D$9:$D$1508,0)),"")</f>
        <v/>
      </c>
      <c r="J547" s="53" t="str">
        <f>IF(C547="","",IF(ISNUMBER(FIND("AMU",$C$14:$C$548)),1,(SUMIF('[1]REP PRODUCCIÓN'!$H$6:$H$1505,"*"&amp;C547&amp;"*",'[1]REP PRODUCCIÓN'!$E$6:$E$1505))))</f>
        <v/>
      </c>
      <c r="K547" s="53">
        <f t="shared" si="25"/>
        <v>0</v>
      </c>
      <c r="M547" s="54" t="str">
        <f>IFERROR(INDEX('[1]REP DISEÑO'!$BA$9:$BA$1008,MATCH('INDIC-DIS2'!C547,'[1]REP DISEÑO'!$D$9:$D$1008,0)),"")</f>
        <v/>
      </c>
      <c r="N547" s="55"/>
      <c r="O547" s="55"/>
      <c r="P547" s="55"/>
      <c r="R547" s="57" t="str">
        <f t="shared" si="26"/>
        <v/>
      </c>
    </row>
    <row r="548" spans="2:18" ht="26.25" customHeight="1" thickBot="1" x14ac:dyDescent="0.3">
      <c r="B548" s="49">
        <f t="shared" si="24"/>
        <v>0</v>
      </c>
      <c r="C548" s="50" t="str">
        <f t="array" ref="C548">IFERROR(INDEX('[1]REP DISEÑO'!$D$9:$D$1008,SMALL(IF('[1]REP DISEÑO'!$AW$9:$AW$1008=$J$1,ROW('[1]REP DISEÑO'!$N$9:$N$1008)-ROW('[1]REP DISEÑO'!$N$9),""),ROWS(C$14:C548))+1),"")</f>
        <v/>
      </c>
      <c r="D548" s="51" t="str">
        <f>IFERROR(INDEX('[1]REP DISEÑO'!$N$9:$N$1508,MATCH(C548,'[1]REP DISEÑO'!$D$9:$D$1508,0)),"")</f>
        <v/>
      </c>
      <c r="E548" s="51" t="str">
        <f>IFERROR(INDEX('[1]REP DISEÑO'!$G$9:$G$1508,MATCH(C548,'[1]REP DISEÑO'!$D$9:$D$1508,0)),"")</f>
        <v/>
      </c>
      <c r="F548" s="51" t="str">
        <f>IFERROR(INDEX('[1]REP DISEÑO'!$I$9:$I$1508,MATCH(C548,'[1]REP DISEÑO'!$D$9:$D$1508,0)),"")</f>
        <v/>
      </c>
      <c r="G548" s="51" t="str">
        <f>IFERROR(INDEX('[1]REP DISEÑO'!$M$9:$M$1508,MATCH(C548,'[1]REP DISEÑO'!$D$9:$D$1508,0)),"")</f>
        <v/>
      </c>
      <c r="H548" s="51" t="str">
        <f>IFERROR(INDEX('[1]REP DISEÑO'!$J$9:$J$1508,MATCH(C548,'[1]REP DISEÑO'!$D$9:$D$1508,0)),"")</f>
        <v/>
      </c>
      <c r="I548" s="52" t="str">
        <f>IFERROR(INDEX('[1]REP DISEÑO'!$C$9:$C$1508,MATCH(C548,'[1]REP DISEÑO'!$D$9:$D$1508,0)),"")</f>
        <v/>
      </c>
      <c r="J548" s="53" t="str">
        <f>IF(C548="","",IF(ISNUMBER(FIND("AMU",$C$14:$C$548)),1,(SUMIF('[1]REP PRODUCCIÓN'!$H$6:$H$1505,"*"&amp;C548&amp;"*",'[1]REP PRODUCCIÓN'!$E$6:$E$1505))))</f>
        <v/>
      </c>
      <c r="K548" s="53">
        <f t="shared" si="25"/>
        <v>0</v>
      </c>
      <c r="M548" s="54" t="str">
        <f>IFERROR(INDEX('[1]REP DISEÑO'!$BA$9:$BA$1008,MATCH('INDIC-DIS2'!C548,'[1]REP DISEÑO'!$D$9:$D$1008,0)),"")</f>
        <v/>
      </c>
      <c r="N548" s="55"/>
      <c r="O548" s="55"/>
      <c r="P548" s="55"/>
      <c r="R548" s="57" t="str">
        <f t="shared" si="26"/>
        <v/>
      </c>
    </row>
    <row r="549" spans="2:18" ht="15" thickTop="1" thickBot="1" x14ac:dyDescent="0.3">
      <c r="D549" s="58"/>
      <c r="E549" s="59"/>
      <c r="F549" s="59"/>
      <c r="G549" s="59"/>
      <c r="H549" s="59"/>
      <c r="I549" s="59"/>
      <c r="M549" s="49">
        <v>0</v>
      </c>
      <c r="N549" s="49">
        <v>0</v>
      </c>
      <c r="O549" s="49">
        <v>0</v>
      </c>
      <c r="P549" s="49">
        <v>0</v>
      </c>
      <c r="R549" s="1">
        <f>SUM(R14:R548)</f>
        <v>87</v>
      </c>
    </row>
    <row r="550" spans="2:18" ht="14.25" thickTop="1" x14ac:dyDescent="0.25"/>
  </sheetData>
  <sheetProtection autoFilter="0"/>
  <autoFilter ref="C13:P548" xr:uid="{00000000-0009-0000-0000-000004000000}"/>
  <mergeCells count="14">
    <mergeCell ref="C9:D9"/>
    <mergeCell ref="C10:D10"/>
    <mergeCell ref="C12:K12"/>
    <mergeCell ref="M12:P12"/>
    <mergeCell ref="C1:I1"/>
    <mergeCell ref="J1:K1"/>
    <mergeCell ref="C2:K2"/>
    <mergeCell ref="C3:D3"/>
    <mergeCell ref="F3:G3"/>
    <mergeCell ref="C4:D4"/>
    <mergeCell ref="F4:G10"/>
    <mergeCell ref="C5:D5"/>
    <mergeCell ref="C6:D6"/>
    <mergeCell ref="C7:D8"/>
  </mergeCells>
  <conditionalFormatting sqref="D14:D548">
    <cfRule type="containsText" dxfId="7" priority="1" operator="containsText" text="GABRIELA">
      <formula>NOT(ISERROR(SEARCH("GABRIELA",D14)))</formula>
    </cfRule>
  </conditionalFormatting>
  <conditionalFormatting sqref="D14:E472 D474:E548 H14:H548 E473">
    <cfRule type="containsText" dxfId="6" priority="5" operator="containsText" text="VANE">
      <formula>NOT(ISERROR(SEARCH("VANE",D14)))</formula>
    </cfRule>
  </conditionalFormatting>
  <conditionalFormatting sqref="D14:E472 H14:H548 E473 D474:E548">
    <cfRule type="containsText" dxfId="5" priority="6" operator="containsText" text="MAY">
      <formula>NOT(ISERROR(SEARCH("MAY",D14)))</formula>
    </cfRule>
    <cfRule type="containsText" dxfId="4" priority="7" operator="containsText" text="SANT">
      <formula>NOT(ISERROR(SEARCH("SANT",D14)))</formula>
    </cfRule>
  </conditionalFormatting>
  <conditionalFormatting sqref="J14:J548">
    <cfRule type="containsText" dxfId="3" priority="8" operator="containsText" text="OK">
      <formula>NOT(ISERROR(SEARCH("OK",J14)))</formula>
    </cfRule>
  </conditionalFormatting>
  <conditionalFormatting sqref="J14:K548">
    <cfRule type="cellIs" dxfId="2" priority="2" operator="equal">
      <formula>0</formula>
    </cfRule>
    <cfRule type="cellIs" dxfId="1" priority="3" operator="equal">
      <formula>0</formula>
    </cfRule>
  </conditionalFormatting>
  <conditionalFormatting sqref="K14:K548">
    <cfRule type="containsText" dxfId="0" priority="4" operator="containsText" text="OK">
      <formula>NOT(ISERROR(SEARCH("OK",K14)))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INDIC-DIS2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2026-04-28T20:36:22Z</dcterms:created>
  <dcterms:modified xsi:type="dcterms:W3CDTF">2026-04-28T20:41:15Z</dcterms:modified>
</cp:coreProperties>
</file>